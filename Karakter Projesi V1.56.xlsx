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comments3.xml" ContentType="application/vnd.openxmlformats-officedocument.spreadsheetml.comments+xml"/>
  <Override PartName="/xl/tables/table8.xml" ContentType="application/vnd.openxmlformats-officedocument.spreadsheetml.table+xml"/>
  <Override PartName="/xl/comments4.xml" ContentType="application/vnd.openxmlformats-officedocument.spreadsheetml.comments+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Savaş Kartları\S2026\"/>
    </mc:Choice>
  </mc:AlternateContent>
  <xr:revisionPtr revIDLastSave="0" documentId="13_ncr:1_{7FE8559D-8904-4C91-B96F-2E02B47AD4A2}" xr6:coauthVersionLast="47" xr6:coauthVersionMax="47" xr10:uidLastSave="{00000000-0000-0000-0000-000000000000}"/>
  <bookViews>
    <workbookView xWindow="38280" yWindow="3360" windowWidth="29040" windowHeight="16440" tabRatio="580" activeTab="1" xr2:uid="{00000000-000D-0000-FFFF-FFFF00000000}"/>
  </bookViews>
  <sheets>
    <sheet name="PROJE_OZETI" sheetId="1" r:id="rId1"/>
    <sheet name="V1_Kadro_56" sheetId="2" r:id="rId2"/>
    <sheet name="V1_Uretilecek_14" sheetId="3" r:id="rId3"/>
    <sheet name="V1_Sinif_Nadirlik" sheetId="4" r:id="rId4"/>
    <sheet name="V1_Sinif_Irk" sheetId="5" r:id="rId5"/>
    <sheet name="V1_Irk_Dagilimi" sheetId="6" r:id="rId6"/>
    <sheet name="QA_KONTROL" sheetId="7" r:id="rId7"/>
    <sheet name="KAYNAK_VE_KURALLAR" sheetId="8" r:id="rId8"/>
    <sheet name="Gorsel_Durum_311" sheetId="9" r:id="rId9"/>
    <sheet name="Irk_Sozlugu" sheetId="10" r:id="rId10"/>
    <sheet name="Tum_Karakterler_311" sheetId="11" r:id="rId11"/>
    <sheet name="Destek" sheetId="12" r:id="rId12"/>
    <sheet name="Ninja" sheetId="13" r:id="rId13"/>
    <sheet name="Tank" sheetId="14" r:id="rId14"/>
    <sheet name="Büyücü" sheetId="15" r:id="rId15"/>
    <sheet name="Savaşçı" sheetId="16" r:id="rId16"/>
    <sheet name="Hikaye_Aglari" sheetId="17" r:id="rId17"/>
    <sheet name="Büyücü Yetenekleri" sheetId="18" r:id="rId18"/>
    <sheet name="Destek Yetenekleri" sheetId="19" r:id="rId19"/>
    <sheet name="Savaşçı Yetenekleri" sheetId="20" r:id="rId20"/>
    <sheet name="Suikastçı Yetenekleri" sheetId="21" r:id="rId21"/>
    <sheet name="Tank Yetenekleri" sheetId="22" r:id="rId22"/>
    <sheet name="Denge_Degisiklikleri" sheetId="23" state="hidden" r:id="rId23"/>
    <sheet name="Yeni_Irk_Dagilimi" sheetId="24" state="hidden" r:id="rId24"/>
    <sheet name="Tum_Irk_Kararlari_311" sheetId="25" state="hidden" r:id="rId25"/>
  </sheets>
  <definedNames>
    <definedName name="_xlnm.Print_Area" localSheetId="7">KAYNAK_VE_KURALLAR!$A$1:$D$12</definedName>
    <definedName name="_xlnm.Print_Area" localSheetId="0">PROJE_OZETI!$A$1:$H$30</definedName>
    <definedName name="_xlnm.Print_Area" localSheetId="6">QA_KONTROL!$A$1:$D$16</definedName>
    <definedName name="_xlnm.Print_Area" localSheetId="5">V1_Irk_Dagilimi!$A$1:$C$19</definedName>
    <definedName name="_xlnm.Print_Area" localSheetId="1">V1_Kadro_56!$A$1:$J$60</definedName>
    <definedName name="_xlnm.Print_Area" localSheetId="4">V1_Sinif_Irk!$A$1:$P$10</definedName>
    <definedName name="_xlnm.Print_Area" localSheetId="3">V1_Sinif_Nadirlik!$A$1:$G$18</definedName>
    <definedName name="_xlnm.Print_Area" localSheetId="2">V1_Uretilecek_14!$A$1:$I$18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3" i="16" l="1"/>
  <c r="N63" i="16" s="1"/>
  <c r="M62" i="16"/>
  <c r="N62" i="16" s="1"/>
  <c r="M61" i="16"/>
  <c r="N61" i="16" s="1"/>
  <c r="M60" i="16"/>
  <c r="N60" i="16" s="1"/>
  <c r="M59" i="16"/>
  <c r="N59" i="16" s="1"/>
  <c r="M58" i="16"/>
  <c r="N58" i="16" s="1"/>
  <c r="M57" i="16"/>
  <c r="N57" i="16" s="1"/>
  <c r="M56" i="16"/>
  <c r="N56" i="16" s="1"/>
  <c r="M55" i="16"/>
  <c r="N55" i="16" s="1"/>
  <c r="M54" i="16"/>
  <c r="N54" i="16" s="1"/>
  <c r="M53" i="16"/>
  <c r="N53" i="16" s="1"/>
  <c r="M52" i="16"/>
  <c r="N52" i="16" s="1"/>
  <c r="M51" i="16"/>
  <c r="N51" i="16" s="1"/>
  <c r="M50" i="16"/>
  <c r="N50" i="16" s="1"/>
  <c r="M49" i="16"/>
  <c r="N49" i="16" s="1"/>
  <c r="M48" i="16"/>
  <c r="N48" i="16" s="1"/>
  <c r="M47" i="16"/>
  <c r="N47" i="16" s="1"/>
  <c r="M46" i="16"/>
  <c r="N46" i="16" s="1"/>
  <c r="M45" i="16"/>
  <c r="N45" i="16" s="1"/>
  <c r="M44" i="16"/>
  <c r="N44" i="16" s="1"/>
  <c r="M43" i="16"/>
  <c r="N43" i="16" s="1"/>
  <c r="M42" i="16"/>
  <c r="N42" i="16" s="1"/>
  <c r="M41" i="16"/>
  <c r="N41" i="16" s="1"/>
  <c r="M40" i="16"/>
  <c r="N40" i="16" s="1"/>
  <c r="M39" i="16"/>
  <c r="N39" i="16" s="1"/>
  <c r="M38" i="16"/>
  <c r="N38" i="16" s="1"/>
  <c r="M37" i="16"/>
  <c r="N37" i="16" s="1"/>
  <c r="M36" i="16"/>
  <c r="N36" i="16" s="1"/>
  <c r="M35" i="16"/>
  <c r="N35" i="16" s="1"/>
  <c r="M34" i="16"/>
  <c r="N34" i="16" s="1"/>
  <c r="M33" i="16"/>
  <c r="N33" i="16" s="1"/>
  <c r="M32" i="16"/>
  <c r="N32" i="16" s="1"/>
  <c r="M31" i="16"/>
  <c r="N31" i="16" s="1"/>
  <c r="M30" i="16"/>
  <c r="N30" i="16" s="1"/>
  <c r="M29" i="16"/>
  <c r="N29" i="16" s="1"/>
  <c r="M28" i="16"/>
  <c r="N28" i="16" s="1"/>
  <c r="M27" i="16"/>
  <c r="N27" i="16" s="1"/>
  <c r="M26" i="16"/>
  <c r="N26" i="16" s="1"/>
  <c r="M25" i="16"/>
  <c r="N25" i="16" s="1"/>
  <c r="M24" i="16"/>
  <c r="N24" i="16" s="1"/>
  <c r="M23" i="16"/>
  <c r="N23" i="16" s="1"/>
  <c r="M22" i="16"/>
  <c r="N22" i="16" s="1"/>
  <c r="M21" i="16"/>
  <c r="N21" i="16" s="1"/>
  <c r="M20" i="16"/>
  <c r="N20" i="16" s="1"/>
  <c r="M19" i="16"/>
  <c r="N19" i="16" s="1"/>
  <c r="M18" i="16"/>
  <c r="N18" i="16" s="1"/>
  <c r="M17" i="16"/>
  <c r="N17" i="16" s="1"/>
  <c r="M16" i="16"/>
  <c r="N16" i="16" s="1"/>
  <c r="M15" i="16"/>
  <c r="N15" i="16" s="1"/>
  <c r="M14" i="16"/>
  <c r="N14" i="16" s="1"/>
  <c r="M13" i="16"/>
  <c r="N13" i="16" s="1"/>
  <c r="M12" i="16"/>
  <c r="N12" i="16" s="1"/>
  <c r="M11" i="16"/>
  <c r="N11" i="16" s="1"/>
  <c r="M10" i="16"/>
  <c r="N10" i="16" s="1"/>
  <c r="M9" i="16"/>
  <c r="N9" i="16" s="1"/>
  <c r="M8" i="16"/>
  <c r="N8" i="16" s="1"/>
  <c r="M7" i="16"/>
  <c r="N7" i="16" s="1"/>
  <c r="M6" i="16"/>
  <c r="N6" i="16" s="1"/>
  <c r="M5" i="16"/>
  <c r="N5" i="16" s="1"/>
  <c r="M4" i="16"/>
  <c r="N4" i="16" s="1"/>
  <c r="M3" i="16"/>
  <c r="N3" i="16" s="1"/>
  <c r="M2" i="16"/>
  <c r="N2" i="16" s="1"/>
  <c r="M63" i="15"/>
  <c r="N63" i="15" s="1"/>
  <c r="M62" i="15"/>
  <c r="N62" i="15" s="1"/>
  <c r="M61" i="15"/>
  <c r="N61" i="15" s="1"/>
  <c r="M60" i="15"/>
  <c r="N60" i="15" s="1"/>
  <c r="M59" i="15"/>
  <c r="N59" i="15" s="1"/>
  <c r="M58" i="15"/>
  <c r="N58" i="15" s="1"/>
  <c r="M57" i="15"/>
  <c r="N57" i="15" s="1"/>
  <c r="M56" i="15"/>
  <c r="N56" i="15" s="1"/>
  <c r="M55" i="15"/>
  <c r="N55" i="15" s="1"/>
  <c r="M54" i="15"/>
  <c r="N54" i="15" s="1"/>
  <c r="M53" i="15"/>
  <c r="N53" i="15" s="1"/>
  <c r="M52" i="15"/>
  <c r="N52" i="15" s="1"/>
  <c r="M51" i="15"/>
  <c r="N51" i="15" s="1"/>
  <c r="M50" i="15"/>
  <c r="N50" i="15" s="1"/>
  <c r="M49" i="15"/>
  <c r="N49" i="15" s="1"/>
  <c r="M48" i="15"/>
  <c r="N48" i="15" s="1"/>
  <c r="M47" i="15"/>
  <c r="N47" i="15" s="1"/>
  <c r="M46" i="15"/>
  <c r="N46" i="15" s="1"/>
  <c r="M45" i="15"/>
  <c r="N45" i="15" s="1"/>
  <c r="M44" i="15"/>
  <c r="N44" i="15" s="1"/>
  <c r="M43" i="15"/>
  <c r="N43" i="15" s="1"/>
  <c r="M42" i="15"/>
  <c r="N42" i="15" s="1"/>
  <c r="M41" i="15"/>
  <c r="N41" i="15" s="1"/>
  <c r="M40" i="15"/>
  <c r="N40" i="15" s="1"/>
  <c r="M39" i="15"/>
  <c r="N39" i="15" s="1"/>
  <c r="M38" i="15"/>
  <c r="N38" i="15" s="1"/>
  <c r="M37" i="15"/>
  <c r="N37" i="15" s="1"/>
  <c r="M36" i="15"/>
  <c r="N36" i="15" s="1"/>
  <c r="M35" i="15"/>
  <c r="N35" i="15" s="1"/>
  <c r="M34" i="15"/>
  <c r="N34" i="15" s="1"/>
  <c r="M33" i="15"/>
  <c r="N33" i="15" s="1"/>
  <c r="M32" i="15"/>
  <c r="N32" i="15" s="1"/>
  <c r="M31" i="15"/>
  <c r="N31" i="15" s="1"/>
  <c r="M30" i="15"/>
  <c r="N30" i="15" s="1"/>
  <c r="M29" i="15"/>
  <c r="N29" i="15" s="1"/>
  <c r="M28" i="15"/>
  <c r="N28" i="15" s="1"/>
  <c r="M27" i="15"/>
  <c r="N27" i="15" s="1"/>
  <c r="M26" i="15"/>
  <c r="N26" i="15" s="1"/>
  <c r="M25" i="15"/>
  <c r="N25" i="15" s="1"/>
  <c r="M24" i="15"/>
  <c r="N24" i="15" s="1"/>
  <c r="M23" i="15"/>
  <c r="N23" i="15" s="1"/>
  <c r="M22" i="15"/>
  <c r="N22" i="15" s="1"/>
  <c r="M21" i="15"/>
  <c r="N21" i="15" s="1"/>
  <c r="M20" i="15"/>
  <c r="N20" i="15" s="1"/>
  <c r="M19" i="15"/>
  <c r="N19" i="15" s="1"/>
  <c r="M18" i="15"/>
  <c r="N18" i="15" s="1"/>
  <c r="M17" i="15"/>
  <c r="N17" i="15" s="1"/>
  <c r="M16" i="15"/>
  <c r="N16" i="15" s="1"/>
  <c r="M15" i="15"/>
  <c r="N15" i="15" s="1"/>
  <c r="M14" i="15"/>
  <c r="N14" i="15" s="1"/>
  <c r="M13" i="15"/>
  <c r="N13" i="15" s="1"/>
  <c r="M12" i="15"/>
  <c r="N12" i="15" s="1"/>
  <c r="M11" i="15"/>
  <c r="N11" i="15" s="1"/>
  <c r="M10" i="15"/>
  <c r="N10" i="15" s="1"/>
  <c r="M9" i="15"/>
  <c r="N9" i="15" s="1"/>
  <c r="M8" i="15"/>
  <c r="N8" i="15" s="1"/>
  <c r="M7" i="15"/>
  <c r="N7" i="15" s="1"/>
  <c r="M6" i="15"/>
  <c r="N6" i="15" s="1"/>
  <c r="M5" i="15"/>
  <c r="N5" i="15" s="1"/>
  <c r="M4" i="15"/>
  <c r="N4" i="15" s="1"/>
  <c r="M3" i="15"/>
  <c r="N3" i="15" s="1"/>
  <c r="M2" i="15"/>
  <c r="N2" i="15" s="1"/>
  <c r="M63" i="14"/>
  <c r="N63" i="14" s="1"/>
  <c r="M62" i="14"/>
  <c r="N62" i="14" s="1"/>
  <c r="M61" i="14"/>
  <c r="N61" i="14" s="1"/>
  <c r="M60" i="14"/>
  <c r="N60" i="14" s="1"/>
  <c r="M59" i="14"/>
  <c r="N59" i="14" s="1"/>
  <c r="M58" i="14"/>
  <c r="N58" i="14" s="1"/>
  <c r="M57" i="14"/>
  <c r="N57" i="14" s="1"/>
  <c r="M56" i="14"/>
  <c r="N56" i="14" s="1"/>
  <c r="M55" i="14"/>
  <c r="N55" i="14" s="1"/>
  <c r="M54" i="14"/>
  <c r="N54" i="14" s="1"/>
  <c r="M53" i="14"/>
  <c r="N53" i="14" s="1"/>
  <c r="M52" i="14"/>
  <c r="N52" i="14" s="1"/>
  <c r="M51" i="14"/>
  <c r="N51" i="14" s="1"/>
  <c r="M50" i="14"/>
  <c r="N50" i="14" s="1"/>
  <c r="M49" i="14"/>
  <c r="N49" i="14" s="1"/>
  <c r="M48" i="14"/>
  <c r="N48" i="14" s="1"/>
  <c r="M47" i="14"/>
  <c r="N47" i="14" s="1"/>
  <c r="M46" i="14"/>
  <c r="N46" i="14" s="1"/>
  <c r="M45" i="14"/>
  <c r="N45" i="14" s="1"/>
  <c r="M44" i="14"/>
  <c r="N44" i="14" s="1"/>
  <c r="M43" i="14"/>
  <c r="N43" i="14" s="1"/>
  <c r="M42" i="14"/>
  <c r="N42" i="14" s="1"/>
  <c r="M41" i="14"/>
  <c r="N41" i="14" s="1"/>
  <c r="M40" i="14"/>
  <c r="N40" i="14" s="1"/>
  <c r="M39" i="14"/>
  <c r="N39" i="14" s="1"/>
  <c r="M38" i="14"/>
  <c r="N38" i="14" s="1"/>
  <c r="M37" i="14"/>
  <c r="N37" i="14" s="1"/>
  <c r="M36" i="14"/>
  <c r="N36" i="14" s="1"/>
  <c r="M35" i="14"/>
  <c r="N35" i="14" s="1"/>
  <c r="M34" i="14"/>
  <c r="N34" i="14" s="1"/>
  <c r="M33" i="14"/>
  <c r="N33" i="14" s="1"/>
  <c r="M32" i="14"/>
  <c r="N32" i="14" s="1"/>
  <c r="M31" i="14"/>
  <c r="N31" i="14" s="1"/>
  <c r="M30" i="14"/>
  <c r="N30" i="14" s="1"/>
  <c r="M29" i="14"/>
  <c r="N29" i="14" s="1"/>
  <c r="M28" i="14"/>
  <c r="N28" i="14" s="1"/>
  <c r="M27" i="14"/>
  <c r="N27" i="14" s="1"/>
  <c r="M26" i="14"/>
  <c r="N26" i="14" s="1"/>
  <c r="M25" i="14"/>
  <c r="N25" i="14" s="1"/>
  <c r="M24" i="14"/>
  <c r="N24" i="14" s="1"/>
  <c r="M23" i="14"/>
  <c r="N23" i="14" s="1"/>
  <c r="M22" i="14"/>
  <c r="N22" i="14" s="1"/>
  <c r="M21" i="14"/>
  <c r="N21" i="14" s="1"/>
  <c r="M20" i="14"/>
  <c r="N20" i="14" s="1"/>
  <c r="M18" i="14"/>
  <c r="N18" i="14" s="1"/>
  <c r="M17" i="14"/>
  <c r="N17" i="14" s="1"/>
  <c r="M16" i="14"/>
  <c r="N16" i="14" s="1"/>
  <c r="M15" i="14"/>
  <c r="N15" i="14" s="1"/>
  <c r="M14" i="14"/>
  <c r="N14" i="14" s="1"/>
  <c r="M13" i="14"/>
  <c r="N13" i="14" s="1"/>
  <c r="M12" i="14"/>
  <c r="N12" i="14" s="1"/>
  <c r="M11" i="14"/>
  <c r="N11" i="14" s="1"/>
  <c r="M10" i="14"/>
  <c r="N10" i="14" s="1"/>
  <c r="M9" i="14"/>
  <c r="N9" i="14" s="1"/>
  <c r="M8" i="14"/>
  <c r="N8" i="14" s="1"/>
  <c r="M7" i="14"/>
  <c r="N7" i="14" s="1"/>
  <c r="M6" i="14"/>
  <c r="N6" i="14" s="1"/>
  <c r="M5" i="14"/>
  <c r="N5" i="14" s="1"/>
  <c r="M4" i="14"/>
  <c r="N4" i="14" s="1"/>
  <c r="M3" i="14"/>
  <c r="N3" i="14" s="1"/>
  <c r="M2" i="14"/>
  <c r="N2" i="14" s="1"/>
  <c r="M63" i="13"/>
  <c r="N63" i="13" s="1"/>
  <c r="M62" i="13"/>
  <c r="N62" i="13" s="1"/>
  <c r="M61" i="13"/>
  <c r="N61" i="13" s="1"/>
  <c r="M60" i="13"/>
  <c r="N60" i="13" s="1"/>
  <c r="M59" i="13"/>
  <c r="N59" i="13" s="1"/>
  <c r="M58" i="13"/>
  <c r="N58" i="13" s="1"/>
  <c r="M57" i="13"/>
  <c r="N57" i="13" s="1"/>
  <c r="M56" i="13"/>
  <c r="N56" i="13" s="1"/>
  <c r="M55" i="13"/>
  <c r="N55" i="13" s="1"/>
  <c r="M54" i="13"/>
  <c r="N54" i="13" s="1"/>
  <c r="M53" i="13"/>
  <c r="N53" i="13" s="1"/>
  <c r="M52" i="13"/>
  <c r="N52" i="13" s="1"/>
  <c r="M51" i="13"/>
  <c r="N51" i="13" s="1"/>
  <c r="M50" i="13"/>
  <c r="N50" i="13" s="1"/>
  <c r="M49" i="13"/>
  <c r="N49" i="13" s="1"/>
  <c r="M48" i="13"/>
  <c r="N48" i="13" s="1"/>
  <c r="M47" i="13"/>
  <c r="N47" i="13" s="1"/>
  <c r="M46" i="13"/>
  <c r="N46" i="13" s="1"/>
  <c r="M45" i="13"/>
  <c r="N45" i="13" s="1"/>
  <c r="M44" i="13"/>
  <c r="N44" i="13" s="1"/>
  <c r="M43" i="13"/>
  <c r="N43" i="13" s="1"/>
  <c r="M42" i="13"/>
  <c r="N42" i="13" s="1"/>
  <c r="M41" i="13"/>
  <c r="N41" i="13" s="1"/>
  <c r="M40" i="13"/>
  <c r="N40" i="13" s="1"/>
  <c r="M39" i="13"/>
  <c r="N39" i="13" s="1"/>
  <c r="M38" i="13"/>
  <c r="N38" i="13" s="1"/>
  <c r="M37" i="13"/>
  <c r="N37" i="13" s="1"/>
  <c r="M36" i="13"/>
  <c r="N36" i="13" s="1"/>
  <c r="M35" i="13"/>
  <c r="N35" i="13" s="1"/>
  <c r="M34" i="13"/>
  <c r="N34" i="13" s="1"/>
  <c r="M33" i="13"/>
  <c r="N33" i="13" s="1"/>
  <c r="M32" i="13"/>
  <c r="N32" i="13" s="1"/>
  <c r="M31" i="13"/>
  <c r="N31" i="13" s="1"/>
  <c r="M30" i="13"/>
  <c r="N30" i="13" s="1"/>
  <c r="M29" i="13"/>
  <c r="N29" i="13" s="1"/>
  <c r="M28" i="13"/>
  <c r="N28" i="13" s="1"/>
  <c r="M27" i="13"/>
  <c r="N27" i="13" s="1"/>
  <c r="M26" i="13"/>
  <c r="N26" i="13" s="1"/>
  <c r="M25" i="13"/>
  <c r="N25" i="13" s="1"/>
  <c r="M24" i="13"/>
  <c r="N24" i="13" s="1"/>
  <c r="M23" i="13"/>
  <c r="N23" i="13" s="1"/>
  <c r="M22" i="13"/>
  <c r="N22" i="13" s="1"/>
  <c r="M21" i="13"/>
  <c r="N21" i="13" s="1"/>
  <c r="M20" i="13"/>
  <c r="N20" i="13" s="1"/>
  <c r="M19" i="13"/>
  <c r="N19" i="13" s="1"/>
  <c r="M17" i="13"/>
  <c r="N17" i="13" s="1"/>
  <c r="M16" i="13"/>
  <c r="N16" i="13" s="1"/>
  <c r="M15" i="13"/>
  <c r="N15" i="13" s="1"/>
  <c r="M14" i="13"/>
  <c r="N14" i="13" s="1"/>
  <c r="M13" i="13"/>
  <c r="N13" i="13" s="1"/>
  <c r="M12" i="13"/>
  <c r="N12" i="13" s="1"/>
  <c r="M11" i="13"/>
  <c r="N11" i="13" s="1"/>
  <c r="M10" i="13"/>
  <c r="N10" i="13" s="1"/>
  <c r="M9" i="13"/>
  <c r="N9" i="13" s="1"/>
  <c r="M8" i="13"/>
  <c r="N8" i="13" s="1"/>
  <c r="M7" i="13"/>
  <c r="N7" i="13" s="1"/>
  <c r="M6" i="13"/>
  <c r="N6" i="13" s="1"/>
  <c r="M5" i="13"/>
  <c r="N5" i="13" s="1"/>
  <c r="M4" i="13"/>
  <c r="N4" i="13" s="1"/>
  <c r="M3" i="13"/>
  <c r="N3" i="13" s="1"/>
  <c r="M2" i="13"/>
  <c r="N2" i="13" s="1"/>
  <c r="M64" i="12"/>
  <c r="N64" i="12" s="1"/>
  <c r="M63" i="12"/>
  <c r="N63" i="12" s="1"/>
  <c r="M62" i="12"/>
  <c r="N62" i="12" s="1"/>
  <c r="M61" i="12"/>
  <c r="N61" i="12" s="1"/>
  <c r="M60" i="12"/>
  <c r="N60" i="12" s="1"/>
  <c r="M59" i="12"/>
  <c r="N59" i="12" s="1"/>
  <c r="M58" i="12"/>
  <c r="N58" i="12" s="1"/>
  <c r="M57" i="12"/>
  <c r="N57" i="12" s="1"/>
  <c r="M56" i="12"/>
  <c r="N56" i="12" s="1"/>
  <c r="M55" i="12"/>
  <c r="N55" i="12" s="1"/>
  <c r="M54" i="12"/>
  <c r="N54" i="12" s="1"/>
  <c r="M53" i="12"/>
  <c r="N53" i="12" s="1"/>
  <c r="M52" i="12"/>
  <c r="N52" i="12" s="1"/>
  <c r="M51" i="12"/>
  <c r="N51" i="12" s="1"/>
  <c r="M50" i="12"/>
  <c r="N50" i="12" s="1"/>
  <c r="M49" i="12"/>
  <c r="N49" i="12" s="1"/>
  <c r="M48" i="12"/>
  <c r="N48" i="12" s="1"/>
  <c r="M47" i="12"/>
  <c r="N47" i="12" s="1"/>
  <c r="M46" i="12"/>
  <c r="N46" i="12" s="1"/>
  <c r="M45" i="12"/>
  <c r="N45" i="12" s="1"/>
  <c r="M44" i="12"/>
  <c r="N44" i="12" s="1"/>
  <c r="M43" i="12"/>
  <c r="N43" i="12" s="1"/>
  <c r="M41" i="12"/>
  <c r="N41" i="12" s="1"/>
  <c r="M40" i="12"/>
  <c r="N40" i="12" s="1"/>
  <c r="M39" i="12"/>
  <c r="N39" i="12" s="1"/>
  <c r="M38" i="12"/>
  <c r="N38" i="12" s="1"/>
  <c r="M37" i="12"/>
  <c r="N37" i="12" s="1"/>
  <c r="M36" i="12"/>
  <c r="N36" i="12" s="1"/>
  <c r="M35" i="12"/>
  <c r="N35" i="12" s="1"/>
  <c r="M34" i="12"/>
  <c r="N34" i="12" s="1"/>
  <c r="M33" i="12"/>
  <c r="N33" i="12" s="1"/>
  <c r="M32" i="12"/>
  <c r="N32" i="12" s="1"/>
  <c r="M31" i="12"/>
  <c r="N31" i="12" s="1"/>
  <c r="M30" i="12"/>
  <c r="N30" i="12" s="1"/>
  <c r="M29" i="12"/>
  <c r="N29" i="12" s="1"/>
  <c r="M28" i="12"/>
  <c r="N28" i="12" s="1"/>
  <c r="M27" i="12"/>
  <c r="N27" i="12" s="1"/>
  <c r="M26" i="12"/>
  <c r="N26" i="12" s="1"/>
  <c r="M25" i="12"/>
  <c r="N25" i="12" s="1"/>
  <c r="M24" i="12"/>
  <c r="N24" i="12" s="1"/>
  <c r="M23" i="12"/>
  <c r="N23" i="12" s="1"/>
  <c r="M22" i="12"/>
  <c r="N22" i="12" s="1"/>
  <c r="M21" i="12"/>
  <c r="N21" i="12" s="1"/>
  <c r="M20" i="12"/>
  <c r="N20" i="12" s="1"/>
  <c r="M19" i="12"/>
  <c r="N19" i="12" s="1"/>
  <c r="M18" i="12"/>
  <c r="N18" i="12" s="1"/>
  <c r="M16" i="12"/>
  <c r="N16" i="12" s="1"/>
  <c r="M15" i="12"/>
  <c r="N15" i="12" s="1"/>
  <c r="M14" i="12"/>
  <c r="N14" i="12" s="1"/>
  <c r="M13" i="12"/>
  <c r="N13" i="12" s="1"/>
  <c r="M12" i="12"/>
  <c r="N12" i="12" s="1"/>
  <c r="M11" i="12"/>
  <c r="N11" i="12" s="1"/>
  <c r="M10" i="12"/>
  <c r="N10" i="12" s="1"/>
  <c r="M9" i="12"/>
  <c r="N9" i="12" s="1"/>
  <c r="M8" i="12"/>
  <c r="N8" i="12" s="1"/>
  <c r="M7" i="12"/>
  <c r="N7" i="12" s="1"/>
  <c r="M6" i="12"/>
  <c r="N6" i="12" s="1"/>
  <c r="M5" i="12"/>
  <c r="N5" i="12" s="1"/>
  <c r="M4" i="12"/>
  <c r="N4" i="12" s="1"/>
  <c r="M3" i="12"/>
  <c r="N3" i="12" s="1"/>
  <c r="M2" i="12"/>
  <c r="N2" i="12" s="1"/>
  <c r="C16" i="7"/>
  <c r="D16" i="7" s="1"/>
  <c r="C13" i="7"/>
  <c r="D13" i="7" s="1"/>
  <c r="C12" i="7"/>
  <c r="D12" i="7" s="1"/>
  <c r="C11" i="7"/>
  <c r="D11" i="7" s="1"/>
  <c r="C10" i="7"/>
  <c r="D10" i="7" s="1"/>
  <c r="C9" i="7"/>
  <c r="D9" i="7" s="1"/>
  <c r="C8" i="7"/>
  <c r="D8" i="7" s="1"/>
  <c r="C7" i="7"/>
  <c r="D7" i="7" s="1"/>
  <c r="C6" i="7"/>
  <c r="D6" i="7" s="1"/>
  <c r="C5" i="7"/>
  <c r="D5" i="7" s="1"/>
  <c r="B18" i="6"/>
  <c r="C18" i="6" s="1"/>
  <c r="B17" i="6"/>
  <c r="C17" i="6" s="1"/>
  <c r="B16" i="6"/>
  <c r="C16" i="6" s="1"/>
  <c r="B15" i="6"/>
  <c r="C15" i="6" s="1"/>
  <c r="B14" i="6"/>
  <c r="C14" i="6" s="1"/>
  <c r="B13" i="6"/>
  <c r="C13" i="6" s="1"/>
  <c r="B12" i="6"/>
  <c r="C12" i="6" s="1"/>
  <c r="B11" i="6"/>
  <c r="C11" i="6" s="1"/>
  <c r="B10" i="6"/>
  <c r="C10" i="6" s="1"/>
  <c r="B9" i="6"/>
  <c r="C9" i="6" s="1"/>
  <c r="B8" i="6"/>
  <c r="C8" i="6" s="1"/>
  <c r="B7" i="6"/>
  <c r="C7" i="6" s="1"/>
  <c r="B6" i="6"/>
  <c r="C6" i="6" s="1"/>
  <c r="B5" i="6"/>
  <c r="C5" i="6" s="1"/>
  <c r="O9" i="5"/>
  <c r="N9" i="5"/>
  <c r="M9" i="5"/>
  <c r="L9" i="5"/>
  <c r="K9" i="5"/>
  <c r="J9" i="5"/>
  <c r="I9" i="5"/>
  <c r="H9" i="5"/>
  <c r="G9" i="5"/>
  <c r="F9" i="5"/>
  <c r="E9" i="5"/>
  <c r="D9" i="5"/>
  <c r="C9" i="5"/>
  <c r="B9" i="5"/>
  <c r="O8" i="5"/>
  <c r="N8" i="5"/>
  <c r="M8" i="5"/>
  <c r="L8" i="5"/>
  <c r="K8" i="5"/>
  <c r="J8" i="5"/>
  <c r="I8" i="5"/>
  <c r="H8" i="5"/>
  <c r="G8" i="5"/>
  <c r="F8" i="5"/>
  <c r="E8" i="5"/>
  <c r="D8" i="5"/>
  <c r="C8" i="5"/>
  <c r="B8" i="5"/>
  <c r="O7" i="5"/>
  <c r="N7" i="5"/>
  <c r="M7" i="5"/>
  <c r="L7" i="5"/>
  <c r="K7" i="5"/>
  <c r="J7" i="5"/>
  <c r="I7" i="5"/>
  <c r="H7" i="5"/>
  <c r="G7" i="5"/>
  <c r="F7" i="5"/>
  <c r="E7" i="5"/>
  <c r="D7" i="5"/>
  <c r="C7" i="5"/>
  <c r="B7" i="5"/>
  <c r="O6" i="5"/>
  <c r="N6" i="5"/>
  <c r="M6" i="5"/>
  <c r="L6" i="5"/>
  <c r="K6" i="5"/>
  <c r="J6" i="5"/>
  <c r="I6" i="5"/>
  <c r="H6" i="5"/>
  <c r="G6" i="5"/>
  <c r="F6" i="5"/>
  <c r="E6" i="5"/>
  <c r="D6" i="5"/>
  <c r="C6" i="5"/>
  <c r="B6" i="5"/>
  <c r="O5" i="5"/>
  <c r="N5" i="5"/>
  <c r="M5" i="5"/>
  <c r="L5" i="5"/>
  <c r="K5" i="5"/>
  <c r="J5" i="5"/>
  <c r="I5" i="5"/>
  <c r="H5" i="5"/>
  <c r="G5" i="5"/>
  <c r="F5" i="5"/>
  <c r="E5" i="5"/>
  <c r="D5" i="5"/>
  <c r="C5" i="5"/>
  <c r="B5" i="5"/>
  <c r="F9" i="4"/>
  <c r="E9" i="4"/>
  <c r="D9" i="4"/>
  <c r="C9" i="4"/>
  <c r="B9" i="4"/>
  <c r="F8" i="4"/>
  <c r="E8" i="4"/>
  <c r="D8" i="4"/>
  <c r="C8" i="4"/>
  <c r="B8" i="4"/>
  <c r="F7" i="4"/>
  <c r="E7" i="4"/>
  <c r="D7" i="4"/>
  <c r="C7" i="4"/>
  <c r="B7" i="4"/>
  <c r="F6" i="4"/>
  <c r="E6" i="4"/>
  <c r="D6" i="4"/>
  <c r="C6" i="4"/>
  <c r="B6" i="4"/>
  <c r="F5" i="4"/>
  <c r="E5" i="4"/>
  <c r="D5" i="4"/>
  <c r="C5" i="4"/>
  <c r="B5" i="4"/>
  <c r="H4" i="1"/>
  <c r="F4" i="1"/>
  <c r="D4" i="1"/>
  <c r="B4" i="1"/>
  <c r="M312" i="11"/>
  <c r="N312" i="11" s="1"/>
  <c r="M311" i="11"/>
  <c r="N311" i="11" s="1"/>
  <c r="M310" i="11"/>
  <c r="N310" i="11" s="1"/>
  <c r="M309" i="11"/>
  <c r="N309" i="11" s="1"/>
  <c r="M308" i="11"/>
  <c r="N308" i="11" s="1"/>
  <c r="M307" i="11"/>
  <c r="N307" i="11" s="1"/>
  <c r="M306" i="11"/>
  <c r="N306" i="11" s="1"/>
  <c r="M305" i="11"/>
  <c r="N305" i="11" s="1"/>
  <c r="M304" i="11"/>
  <c r="N304" i="11" s="1"/>
  <c r="M303" i="11"/>
  <c r="N303" i="11" s="1"/>
  <c r="M302" i="11"/>
  <c r="N302" i="11" s="1"/>
  <c r="M301" i="11"/>
  <c r="N301" i="11" s="1"/>
  <c r="M300" i="11"/>
  <c r="N300" i="11" s="1"/>
  <c r="M299" i="11"/>
  <c r="N299" i="11" s="1"/>
  <c r="M298" i="11"/>
  <c r="N298" i="11" s="1"/>
  <c r="M297" i="11"/>
  <c r="N297" i="11" s="1"/>
  <c r="M296" i="11"/>
  <c r="N296" i="11" s="1"/>
  <c r="M295" i="11"/>
  <c r="N295" i="11" s="1"/>
  <c r="M294" i="11"/>
  <c r="N294" i="11" s="1"/>
  <c r="M293" i="11"/>
  <c r="N293" i="11" s="1"/>
  <c r="M292" i="11"/>
  <c r="N292" i="11" s="1"/>
  <c r="M291" i="11"/>
  <c r="N291" i="11" s="1"/>
  <c r="M290" i="11"/>
  <c r="N290" i="11" s="1"/>
  <c r="M289" i="11"/>
  <c r="N289" i="11" s="1"/>
  <c r="M288" i="11"/>
  <c r="N288" i="11" s="1"/>
  <c r="M287" i="11"/>
  <c r="N287" i="11" s="1"/>
  <c r="M286" i="11"/>
  <c r="N286" i="11" s="1"/>
  <c r="M285" i="11"/>
  <c r="N285" i="11" s="1"/>
  <c r="M284" i="11"/>
  <c r="N284" i="11" s="1"/>
  <c r="M283" i="11"/>
  <c r="N283" i="11" s="1"/>
  <c r="M282" i="11"/>
  <c r="N282" i="11" s="1"/>
  <c r="M281" i="11"/>
  <c r="N281" i="11" s="1"/>
  <c r="M280" i="11"/>
  <c r="N280" i="11" s="1"/>
  <c r="M279" i="11"/>
  <c r="N279" i="11" s="1"/>
  <c r="M278" i="11"/>
  <c r="N278" i="11" s="1"/>
  <c r="M277" i="11"/>
  <c r="N277" i="11" s="1"/>
  <c r="M276" i="11"/>
  <c r="N276" i="11" s="1"/>
  <c r="M275" i="11"/>
  <c r="N275" i="11" s="1"/>
  <c r="M274" i="11"/>
  <c r="N274" i="11" s="1"/>
  <c r="M273" i="11"/>
  <c r="N273" i="11" s="1"/>
  <c r="M272" i="11"/>
  <c r="N272" i="11" s="1"/>
  <c r="M271" i="11"/>
  <c r="N271" i="11" s="1"/>
  <c r="M270" i="11"/>
  <c r="N270" i="11" s="1"/>
  <c r="M269" i="11"/>
  <c r="N269" i="11" s="1"/>
  <c r="M268" i="11"/>
  <c r="N268" i="11" s="1"/>
  <c r="M267" i="11"/>
  <c r="N267" i="11" s="1"/>
  <c r="M266" i="11"/>
  <c r="N266" i="11" s="1"/>
  <c r="M265" i="11"/>
  <c r="N265" i="11" s="1"/>
  <c r="M264" i="11"/>
  <c r="N264" i="11" s="1"/>
  <c r="M263" i="11"/>
  <c r="N263" i="11" s="1"/>
  <c r="M262" i="11"/>
  <c r="N262" i="11" s="1"/>
  <c r="M261" i="11"/>
  <c r="N261" i="11" s="1"/>
  <c r="M260" i="11"/>
  <c r="N260" i="11" s="1"/>
  <c r="M259" i="11"/>
  <c r="N259" i="11" s="1"/>
  <c r="M258" i="11"/>
  <c r="N258" i="11" s="1"/>
  <c r="M257" i="11"/>
  <c r="N257" i="11" s="1"/>
  <c r="M256" i="11"/>
  <c r="N256" i="11" s="1"/>
  <c r="M255" i="11"/>
  <c r="N255" i="11" s="1"/>
  <c r="M254" i="11"/>
  <c r="N254" i="11" s="1"/>
  <c r="M253" i="11"/>
  <c r="N253" i="11" s="1"/>
  <c r="M252" i="11"/>
  <c r="N252" i="11" s="1"/>
  <c r="M251" i="11"/>
  <c r="N251" i="11" s="1"/>
  <c r="M250" i="11"/>
  <c r="N250" i="11" s="1"/>
  <c r="M249" i="11"/>
  <c r="N249" i="11" s="1"/>
  <c r="M248" i="11"/>
  <c r="N248" i="11" s="1"/>
  <c r="M247" i="11"/>
  <c r="N247" i="11" s="1"/>
  <c r="M246" i="11"/>
  <c r="N246" i="11" s="1"/>
  <c r="M245" i="11"/>
  <c r="N245" i="11" s="1"/>
  <c r="M244" i="11"/>
  <c r="N244" i="11" s="1"/>
  <c r="M243" i="11"/>
  <c r="N243" i="11" s="1"/>
  <c r="M242" i="11"/>
  <c r="N242" i="11" s="1"/>
  <c r="M241" i="11"/>
  <c r="N241" i="11" s="1"/>
  <c r="M240" i="11"/>
  <c r="N240" i="11" s="1"/>
  <c r="M239" i="11"/>
  <c r="N239" i="11" s="1"/>
  <c r="M238" i="11"/>
  <c r="N238" i="11" s="1"/>
  <c r="M237" i="11"/>
  <c r="N237" i="11" s="1"/>
  <c r="M236" i="11"/>
  <c r="N236" i="11" s="1"/>
  <c r="M235" i="11"/>
  <c r="N235" i="11" s="1"/>
  <c r="M234" i="11"/>
  <c r="N234" i="11" s="1"/>
  <c r="M233" i="11"/>
  <c r="N233" i="11" s="1"/>
  <c r="M232" i="11"/>
  <c r="N232" i="11" s="1"/>
  <c r="M231" i="11"/>
  <c r="N231" i="11" s="1"/>
  <c r="M230" i="11"/>
  <c r="N230" i="11" s="1"/>
  <c r="M229" i="11"/>
  <c r="N229" i="11" s="1"/>
  <c r="M228" i="11"/>
  <c r="N228" i="11" s="1"/>
  <c r="M227" i="11"/>
  <c r="N227" i="11" s="1"/>
  <c r="M226" i="11"/>
  <c r="N226" i="11" s="1"/>
  <c r="M225" i="11"/>
  <c r="N225" i="11" s="1"/>
  <c r="M224" i="11"/>
  <c r="N224" i="11" s="1"/>
  <c r="M223" i="11"/>
  <c r="N223" i="11" s="1"/>
  <c r="M222" i="11"/>
  <c r="N222" i="11" s="1"/>
  <c r="M221" i="11"/>
  <c r="N221" i="11" s="1"/>
  <c r="M220" i="11"/>
  <c r="N220" i="11" s="1"/>
  <c r="M219" i="11"/>
  <c r="N219" i="11" s="1"/>
  <c r="M218" i="11"/>
  <c r="N218" i="11" s="1"/>
  <c r="M217" i="11"/>
  <c r="N217" i="11" s="1"/>
  <c r="M216" i="11"/>
  <c r="N216" i="11" s="1"/>
  <c r="M215" i="11"/>
  <c r="N215" i="11" s="1"/>
  <c r="M214" i="11"/>
  <c r="N214" i="11" s="1"/>
  <c r="M213" i="11"/>
  <c r="N213" i="11" s="1"/>
  <c r="M212" i="11"/>
  <c r="N212" i="11" s="1"/>
  <c r="M211" i="11"/>
  <c r="N211" i="11" s="1"/>
  <c r="M210" i="11"/>
  <c r="N210" i="11" s="1"/>
  <c r="M209" i="11"/>
  <c r="N209" i="11" s="1"/>
  <c r="M208" i="11"/>
  <c r="N208" i="11" s="1"/>
  <c r="M207" i="11"/>
  <c r="N207" i="11" s="1"/>
  <c r="M206" i="11"/>
  <c r="N206" i="11" s="1"/>
  <c r="M205" i="11"/>
  <c r="N205" i="11" s="1"/>
  <c r="M204" i="11"/>
  <c r="N204" i="11" s="1"/>
  <c r="M203" i="11"/>
  <c r="N203" i="11" s="1"/>
  <c r="M202" i="11"/>
  <c r="N202" i="11" s="1"/>
  <c r="M201" i="11"/>
  <c r="N201" i="11" s="1"/>
  <c r="M200" i="11"/>
  <c r="N200" i="11" s="1"/>
  <c r="M199" i="11"/>
  <c r="N199" i="11" s="1"/>
  <c r="M198" i="11"/>
  <c r="N198" i="11" s="1"/>
  <c r="M197" i="11"/>
  <c r="N197" i="11" s="1"/>
  <c r="M196" i="11"/>
  <c r="N196" i="11" s="1"/>
  <c r="M195" i="11"/>
  <c r="N195" i="11" s="1"/>
  <c r="M194" i="11"/>
  <c r="N194" i="11" s="1"/>
  <c r="M193" i="11"/>
  <c r="N193" i="11" s="1"/>
  <c r="M192" i="11"/>
  <c r="N192" i="11" s="1"/>
  <c r="M191" i="11"/>
  <c r="N191" i="11" s="1"/>
  <c r="M190" i="11"/>
  <c r="N190" i="11" s="1"/>
  <c r="M189" i="11"/>
  <c r="N189" i="11" s="1"/>
  <c r="M188" i="11"/>
  <c r="N188" i="11" s="1"/>
  <c r="M187" i="11"/>
  <c r="N187" i="11" s="1"/>
  <c r="M186" i="11"/>
  <c r="N186" i="11" s="1"/>
  <c r="M185" i="11"/>
  <c r="N185" i="11" s="1"/>
  <c r="M184" i="11"/>
  <c r="N184" i="11" s="1"/>
  <c r="M183" i="11"/>
  <c r="N183" i="11" s="1"/>
  <c r="M182" i="11"/>
  <c r="N182" i="11" s="1"/>
  <c r="M181" i="11"/>
  <c r="N181" i="11" s="1"/>
  <c r="M180" i="11"/>
  <c r="N180" i="11" s="1"/>
  <c r="M179" i="11"/>
  <c r="N179" i="11" s="1"/>
  <c r="M178" i="11"/>
  <c r="N178" i="11" s="1"/>
  <c r="M177" i="11"/>
  <c r="N177" i="11" s="1"/>
  <c r="M176" i="11"/>
  <c r="N176" i="11" s="1"/>
  <c r="M175" i="11"/>
  <c r="N175" i="11" s="1"/>
  <c r="M174" i="11"/>
  <c r="N174" i="11" s="1"/>
  <c r="M173" i="11"/>
  <c r="N173" i="11" s="1"/>
  <c r="M172" i="11"/>
  <c r="N172" i="11" s="1"/>
  <c r="M171" i="11"/>
  <c r="N171" i="11" s="1"/>
  <c r="M170" i="11"/>
  <c r="N170" i="11" s="1"/>
  <c r="M169" i="11"/>
  <c r="N169" i="11" s="1"/>
  <c r="M168" i="11"/>
  <c r="N168" i="11" s="1"/>
  <c r="M167" i="11"/>
  <c r="N167" i="11" s="1"/>
  <c r="M166" i="11"/>
  <c r="N166" i="11" s="1"/>
  <c r="M165" i="11"/>
  <c r="N165" i="11" s="1"/>
  <c r="M164" i="11"/>
  <c r="N164" i="11" s="1"/>
  <c r="M163" i="11"/>
  <c r="N163" i="11" s="1"/>
  <c r="M162" i="11"/>
  <c r="N162" i="11" s="1"/>
  <c r="M161" i="11"/>
  <c r="N161" i="11" s="1"/>
  <c r="M160" i="11"/>
  <c r="N160" i="11" s="1"/>
  <c r="M159" i="11"/>
  <c r="N159" i="11" s="1"/>
  <c r="M158" i="11"/>
  <c r="N158" i="11" s="1"/>
  <c r="M157" i="11"/>
  <c r="N157" i="11" s="1"/>
  <c r="M156" i="11"/>
  <c r="N156" i="11" s="1"/>
  <c r="M155" i="11"/>
  <c r="N155" i="11" s="1"/>
  <c r="M154" i="11"/>
  <c r="N154" i="11" s="1"/>
  <c r="M153" i="11"/>
  <c r="N153" i="11" s="1"/>
  <c r="M152" i="11"/>
  <c r="N152" i="11" s="1"/>
  <c r="M151" i="11"/>
  <c r="N151" i="11" s="1"/>
  <c r="M150" i="11"/>
  <c r="N150" i="11" s="1"/>
  <c r="M149" i="11"/>
  <c r="N149" i="11" s="1"/>
  <c r="M148" i="11"/>
  <c r="N148" i="11" s="1"/>
  <c r="M147" i="11"/>
  <c r="N147" i="11" s="1"/>
  <c r="M146" i="11"/>
  <c r="N146" i="11" s="1"/>
  <c r="M145" i="11"/>
  <c r="N145" i="11" s="1"/>
  <c r="M143" i="11"/>
  <c r="N143" i="11" s="1"/>
  <c r="M142" i="11"/>
  <c r="N142" i="11" s="1"/>
  <c r="M141" i="11"/>
  <c r="N141" i="11" s="1"/>
  <c r="M140" i="11"/>
  <c r="N140" i="11" s="1"/>
  <c r="M139" i="11"/>
  <c r="N139" i="11" s="1"/>
  <c r="M138" i="11"/>
  <c r="N138" i="11" s="1"/>
  <c r="M137" i="11"/>
  <c r="N137" i="11" s="1"/>
  <c r="M136" i="11"/>
  <c r="N136" i="11" s="1"/>
  <c r="M135" i="11"/>
  <c r="N135" i="11" s="1"/>
  <c r="M134" i="11"/>
  <c r="N134" i="11" s="1"/>
  <c r="M133" i="11"/>
  <c r="N133" i="11" s="1"/>
  <c r="M132" i="11"/>
  <c r="N132" i="11" s="1"/>
  <c r="M131" i="11"/>
  <c r="N131" i="11" s="1"/>
  <c r="M130" i="11"/>
  <c r="N130" i="11" s="1"/>
  <c r="M129" i="11"/>
  <c r="N129" i="11" s="1"/>
  <c r="M128" i="11"/>
  <c r="N128" i="11" s="1"/>
  <c r="M127" i="11"/>
  <c r="N127" i="11" s="1"/>
  <c r="M126" i="11"/>
  <c r="N126" i="11" s="1"/>
  <c r="M125" i="11"/>
  <c r="N125" i="11" s="1"/>
  <c r="M124" i="11"/>
  <c r="N124" i="11" s="1"/>
  <c r="M123" i="11"/>
  <c r="N123" i="11" s="1"/>
  <c r="M122" i="11"/>
  <c r="N122" i="11" s="1"/>
  <c r="M121" i="11"/>
  <c r="N121" i="11" s="1"/>
  <c r="M120" i="11"/>
  <c r="N120" i="11" s="1"/>
  <c r="M119" i="11"/>
  <c r="N119" i="11" s="1"/>
  <c r="M118" i="11"/>
  <c r="N118" i="11" s="1"/>
  <c r="M117" i="11"/>
  <c r="N117" i="11" s="1"/>
  <c r="M116" i="11"/>
  <c r="N116" i="11" s="1"/>
  <c r="M115" i="11"/>
  <c r="N115" i="11" s="1"/>
  <c r="M114" i="11"/>
  <c r="N114" i="11" s="1"/>
  <c r="M113" i="11"/>
  <c r="N113" i="11" s="1"/>
  <c r="M112" i="11"/>
  <c r="N112" i="11" s="1"/>
  <c r="M111" i="11"/>
  <c r="N111" i="11" s="1"/>
  <c r="M110" i="11"/>
  <c r="N110" i="11" s="1"/>
  <c r="M109" i="11"/>
  <c r="N109" i="11" s="1"/>
  <c r="M108" i="11"/>
  <c r="N108" i="11" s="1"/>
  <c r="M107" i="11"/>
  <c r="N107" i="11" s="1"/>
  <c r="M106" i="11"/>
  <c r="N106" i="11" s="1"/>
  <c r="M105" i="11"/>
  <c r="N105" i="11" s="1"/>
  <c r="M104" i="11"/>
  <c r="N104" i="11" s="1"/>
  <c r="M103" i="11"/>
  <c r="N103" i="11" s="1"/>
  <c r="M102" i="11"/>
  <c r="N102" i="11" s="1"/>
  <c r="M101" i="11"/>
  <c r="N101" i="11" s="1"/>
  <c r="M100" i="11"/>
  <c r="N100" i="11" s="1"/>
  <c r="M99" i="11"/>
  <c r="N99" i="11" s="1"/>
  <c r="M98" i="11"/>
  <c r="N98" i="11" s="1"/>
  <c r="M97" i="11"/>
  <c r="N97" i="11" s="1"/>
  <c r="M96" i="11"/>
  <c r="N96" i="11" s="1"/>
  <c r="M95" i="11"/>
  <c r="N95" i="11" s="1"/>
  <c r="M94" i="11"/>
  <c r="N94" i="11" s="1"/>
  <c r="M93" i="11"/>
  <c r="N93" i="11" s="1"/>
  <c r="M92" i="11"/>
  <c r="N92" i="11" s="1"/>
  <c r="M91" i="11"/>
  <c r="N91" i="11" s="1"/>
  <c r="M90" i="11"/>
  <c r="N90" i="11" s="1"/>
  <c r="M89" i="11"/>
  <c r="N89" i="11" s="1"/>
  <c r="M88" i="11"/>
  <c r="N88" i="11" s="1"/>
  <c r="M87" i="11"/>
  <c r="N87" i="11" s="1"/>
  <c r="M86" i="11"/>
  <c r="N86" i="11" s="1"/>
  <c r="M85" i="11"/>
  <c r="N85" i="11" s="1"/>
  <c r="M84" i="11"/>
  <c r="N84" i="11" s="1"/>
  <c r="M83" i="11"/>
  <c r="N83" i="11" s="1"/>
  <c r="M82" i="11"/>
  <c r="N82" i="11" s="1"/>
  <c r="M80" i="11"/>
  <c r="N80" i="11" s="1"/>
  <c r="M79" i="11"/>
  <c r="N79" i="11" s="1"/>
  <c r="M78" i="11"/>
  <c r="N78" i="11" s="1"/>
  <c r="M77" i="11"/>
  <c r="N77" i="11" s="1"/>
  <c r="M76" i="11"/>
  <c r="N76" i="11" s="1"/>
  <c r="M75" i="11"/>
  <c r="N75" i="11" s="1"/>
  <c r="M74" i="11"/>
  <c r="N74" i="11" s="1"/>
  <c r="M73" i="11"/>
  <c r="N73" i="11" s="1"/>
  <c r="M72" i="11"/>
  <c r="N72" i="11" s="1"/>
  <c r="M71" i="11"/>
  <c r="N71" i="11" s="1"/>
  <c r="M70" i="11"/>
  <c r="N70" i="11" s="1"/>
  <c r="M69" i="11"/>
  <c r="N69" i="11" s="1"/>
  <c r="M68" i="11"/>
  <c r="N68" i="11" s="1"/>
  <c r="M67" i="11"/>
  <c r="N67" i="11" s="1"/>
  <c r="M66" i="11"/>
  <c r="N66" i="11" s="1"/>
  <c r="M65" i="11"/>
  <c r="N65" i="11" s="1"/>
  <c r="M64" i="11"/>
  <c r="N64" i="11" s="1"/>
  <c r="M63" i="11"/>
  <c r="N63" i="11" s="1"/>
  <c r="M62" i="11"/>
  <c r="N62" i="11" s="1"/>
  <c r="M61" i="11"/>
  <c r="N61" i="11" s="1"/>
  <c r="M60" i="11"/>
  <c r="N60" i="11" s="1"/>
  <c r="M59" i="11"/>
  <c r="N59" i="11" s="1"/>
  <c r="M58" i="11"/>
  <c r="N58" i="11" s="1"/>
  <c r="M57" i="11"/>
  <c r="N57" i="11" s="1"/>
  <c r="M56" i="11"/>
  <c r="N56" i="11" s="1"/>
  <c r="M55" i="11"/>
  <c r="N55" i="11" s="1"/>
  <c r="M54" i="11"/>
  <c r="N54" i="11" s="1"/>
  <c r="M53" i="11"/>
  <c r="N53" i="11" s="1"/>
  <c r="M52" i="11"/>
  <c r="N52" i="11" s="1"/>
  <c r="M51" i="11"/>
  <c r="N51" i="11" s="1"/>
  <c r="M50" i="11"/>
  <c r="N50" i="11" s="1"/>
  <c r="M49" i="11"/>
  <c r="N49" i="11" s="1"/>
  <c r="M48" i="11"/>
  <c r="N48" i="11" s="1"/>
  <c r="M47" i="11"/>
  <c r="N47" i="11" s="1"/>
  <c r="M46" i="11"/>
  <c r="N46" i="11" s="1"/>
  <c r="M45" i="11"/>
  <c r="N45" i="11" s="1"/>
  <c r="M44" i="11"/>
  <c r="N44" i="11" s="1"/>
  <c r="M43" i="11"/>
  <c r="N43" i="11" s="1"/>
  <c r="M41" i="11"/>
  <c r="N41" i="11" s="1"/>
  <c r="M40" i="11"/>
  <c r="N40" i="11" s="1"/>
  <c r="M39" i="11"/>
  <c r="N39" i="11" s="1"/>
  <c r="M38" i="11"/>
  <c r="N38" i="11" s="1"/>
  <c r="M37" i="11"/>
  <c r="N37" i="11" s="1"/>
  <c r="M36" i="11"/>
  <c r="N36" i="11" s="1"/>
  <c r="M35" i="11"/>
  <c r="N35" i="11" s="1"/>
  <c r="M34" i="11"/>
  <c r="N34" i="11" s="1"/>
  <c r="M33" i="11"/>
  <c r="N33" i="11" s="1"/>
  <c r="M32" i="11"/>
  <c r="N32" i="11" s="1"/>
  <c r="M31" i="11"/>
  <c r="N31" i="11" s="1"/>
  <c r="M30" i="11"/>
  <c r="N30" i="11" s="1"/>
  <c r="M29" i="11"/>
  <c r="N29" i="11" s="1"/>
  <c r="M28" i="11"/>
  <c r="N28" i="11" s="1"/>
  <c r="M27" i="11"/>
  <c r="N27" i="11" s="1"/>
  <c r="M26" i="11"/>
  <c r="N26" i="11" s="1"/>
  <c r="M25" i="11"/>
  <c r="N25" i="11" s="1"/>
  <c r="M24" i="11"/>
  <c r="N24" i="11" s="1"/>
  <c r="M23" i="11"/>
  <c r="N23" i="11" s="1"/>
  <c r="M22" i="11"/>
  <c r="N22" i="11" s="1"/>
  <c r="M21" i="11"/>
  <c r="N21" i="11" s="1"/>
  <c r="M20" i="11"/>
  <c r="N20" i="11" s="1"/>
  <c r="M19" i="11"/>
  <c r="N19" i="11" s="1"/>
  <c r="M18" i="11"/>
  <c r="N18" i="11" s="1"/>
  <c r="M16" i="11"/>
  <c r="N16" i="11" s="1"/>
  <c r="M15" i="11"/>
  <c r="N15" i="11" s="1"/>
  <c r="M14" i="11"/>
  <c r="N14" i="11" s="1"/>
  <c r="M13" i="11"/>
  <c r="N13" i="11" s="1"/>
  <c r="M12" i="11"/>
  <c r="N12" i="11" s="1"/>
  <c r="M11" i="11"/>
  <c r="N11" i="11" s="1"/>
  <c r="M10" i="11"/>
  <c r="N10" i="11" s="1"/>
  <c r="M9" i="11"/>
  <c r="N9" i="11" s="1"/>
  <c r="M8" i="11"/>
  <c r="N8" i="11" s="1"/>
  <c r="M7" i="11"/>
  <c r="N7" i="11" s="1"/>
  <c r="M6" i="11"/>
  <c r="N6" i="11" s="1"/>
  <c r="M5" i="11"/>
  <c r="N5" i="11" s="1"/>
  <c r="M4" i="11"/>
  <c r="N4" i="11" s="1"/>
  <c r="M3" i="11"/>
  <c r="N3" i="11" s="1"/>
  <c r="M2" i="11"/>
  <c r="N2" i="11" s="1"/>
  <c r="E10" i="5" l="1"/>
  <c r="M10" i="5"/>
  <c r="K10" i="5"/>
  <c r="E10" i="4"/>
  <c r="D10" i="5"/>
  <c r="O10" i="5"/>
  <c r="G6" i="4"/>
  <c r="P6" i="5"/>
  <c r="P7" i="5"/>
  <c r="C19" i="6"/>
  <c r="G10" i="5"/>
  <c r="I10" i="5"/>
  <c r="C10" i="4"/>
  <c r="J10" i="5"/>
  <c r="G7" i="4"/>
  <c r="P8" i="5"/>
  <c r="F10" i="5"/>
  <c r="F10" i="4"/>
  <c r="G9" i="4"/>
  <c r="G8" i="4"/>
  <c r="G5" i="4"/>
  <c r="C10" i="5"/>
  <c r="P5" i="5"/>
  <c r="P9" i="5"/>
  <c r="C14" i="7"/>
  <c r="D14" i="7" s="1"/>
  <c r="B10" i="4"/>
  <c r="L10" i="5"/>
  <c r="B19" i="6"/>
  <c r="B10" i="5"/>
  <c r="D10" i="4"/>
  <c r="N10" i="5"/>
  <c r="C15" i="7"/>
  <c r="D15" i="7" s="1"/>
  <c r="H10" i="5"/>
  <c r="P10" i="5" l="1"/>
  <c r="G1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Notion AI</author>
  </authors>
  <commentList>
    <comment ref="A1" authorId="0" shapeId="0" xr:uid="{00000000-0006-0000-0A00-000001000000}">
      <text>
        <r>
          <rPr>
            <sz val="10"/>
            <rFont val="Arial"/>
            <family val="2"/>
            <charset val="162"/>
          </rPr>
          <t>TEK DOĞRULUK KAYNAĞI: Karakter verilerini önce bu sayfada güncelleyin. ID benzersiz anahtardır.</t>
        </r>
      </text>
    </comment>
    <comment ref="H1" authorId="0" shapeId="0" xr:uid="{00000000-0006-0000-0A00-000002000000}">
      <text>
        <r>
          <rPr>
            <sz val="10"/>
            <rFont val="Arial"/>
            <family val="2"/>
            <charset val="162"/>
          </rPr>
          <t>Element, sınıftan bağımsız bir güç kaynağı olarak dağıtıldı. Her sınıfta 19 elementin tamamı temsil edilir. Hikâyeler ve yetenek metinleri korunmuştur.</t>
        </r>
      </text>
    </comment>
    <comment ref="M1" authorId="0" shapeId="0" xr:uid="{00000000-0006-0000-0A00-000003000000}">
      <text>
        <r>
          <rPr>
            <sz val="10"/>
            <rFont val="Arial"/>
            <family val="2"/>
            <charset val="162"/>
          </rPr>
          <t>Boşluklar ve noktalama işaretleri dâhil karakter sayısıdır. Hikâye değiştirildiğinde otomatik hesaplanır.</t>
        </r>
      </text>
    </comment>
    <comment ref="N1" authorId="0" shapeId="0" xr:uid="{00000000-0006-0000-0A00-000004000000}">
      <text>
        <r>
          <rPr>
            <sz val="10"/>
            <rFont val="Arial"/>
            <family val="2"/>
            <charset val="162"/>
          </rPr>
          <t>Boşluklar ve noktalama dâhil en fazla 130 karakter. Metin değiştirildiğinde kontrol otomatik yenilenir.</t>
        </r>
      </text>
    </comment>
    <comment ref="F2" authorId="0" shapeId="0" xr:uid="{00000000-0006-0000-0A00-000005000000}">
      <text>
        <r>
          <rPr>
            <sz val="10"/>
            <rFont val="Arial"/>
            <family val="2"/>
            <charset val="162"/>
          </rPr>
          <t>Önceki taslak: İnsan
Yeni ana ırk: İnsan
Güçlü — isim/hikâye
Görsel: İnsan görünümlü</t>
        </r>
      </text>
    </comment>
    <comment ref="H2" authorId="0" shapeId="0" xr:uid="{00000000-0006-0000-0A00-000006000000}">
      <text>
        <r>
          <rPr>
            <sz val="10"/>
            <rFont val="Arial"/>
            <family val="2"/>
            <charset val="162"/>
          </rPr>
          <t>Önceki element: Yaşam
Yeni element: Metal
Sınıflar arası dağılım için karakter adı, hikâyesi ve mevcut yetenek temaları birlikte değerlendirildi.</t>
        </r>
      </text>
    </comment>
    <comment ref="F3" authorId="0" shapeId="0" xr:uid="{00000000-0006-0000-0A00-000007000000}">
      <text>
        <r>
          <rPr>
            <sz val="10"/>
            <rFont val="Arial"/>
            <family val="2"/>
            <charset val="162"/>
          </rPr>
          <t>Önceki taslak: İnsan
Yeni ana ırk: İnsan
Güçlü — isim/hikâye
Görsel: İnsan görünümlü</t>
        </r>
      </text>
    </comment>
    <comment ref="H3" authorId="0" shapeId="0" xr:uid="{00000000-0006-0000-0A00-000008000000}">
      <text>
        <r>
          <rPr>
            <sz val="10"/>
            <rFont val="Arial"/>
            <family val="2"/>
            <charset val="162"/>
          </rPr>
          <t>Önceki element: Ruh
Yeni element: Metal
Sınıflar arası dağılım için karakter adı, hikâyesi ve mevcut yetenek temaları birlikte değerlendirildi.</t>
        </r>
      </text>
    </comment>
    <comment ref="F4" authorId="0" shapeId="0" xr:uid="{00000000-0006-0000-0A00-000009000000}">
      <text>
        <r>
          <rPr>
            <sz val="10"/>
            <rFont val="Arial"/>
            <family val="2"/>
            <charset val="162"/>
          </rPr>
          <t>Önceki taslak: İnsan
Yeni ana ırk: İnsan
Güçlü — isim/hikâye
Görsel: İnsan görünümlü</t>
        </r>
      </text>
    </comment>
    <comment ref="H4" authorId="0" shapeId="0" xr:uid="{00000000-0006-0000-0A00-00000A000000}">
      <text>
        <r>
          <rPr>
            <sz val="10"/>
            <rFont val="Arial"/>
            <family val="2"/>
            <charset val="162"/>
          </rPr>
          <t>Önceki element: Işık
Yeni element: Savaş
Sınıflar arası dağılım için karakter adı, hikâyesi ve mevcut yetenek temaları birlikte değerlendirildi.</t>
        </r>
      </text>
    </comment>
    <comment ref="F5" authorId="0" shapeId="0" xr:uid="{00000000-0006-0000-0A00-00000B000000}">
      <text>
        <r>
          <rPr>
            <sz val="10"/>
            <rFont val="Arial"/>
            <family val="2"/>
            <charset val="162"/>
          </rPr>
          <t>Önceki taslak: İnsan
Yeni ana ırk: Elf
Orta
Görsel: İnsan görünümlü | Dağılım revizyonu: İnsan → Elf.</t>
        </r>
      </text>
    </comment>
    <comment ref="F6" authorId="0" shapeId="0" xr:uid="{00000000-0006-0000-0A00-00000C000000}">
      <text>
        <r>
          <rPr>
            <sz val="10"/>
            <rFont val="Arial"/>
            <family val="2"/>
            <charset val="162"/>
          </rPr>
          <t>Önceki taslak: İnsan
Yeni ana ırk: İnsan
Güçlü — isim/hikâye
Görsel: İnsan görünümlü</t>
        </r>
      </text>
    </comment>
    <comment ref="F7" authorId="0" shapeId="0" xr:uid="{00000000-0006-0000-0A00-00000D000000}">
      <text>
        <r>
          <rPr>
            <sz val="10"/>
            <rFont val="Arial"/>
            <family val="2"/>
            <charset val="162"/>
          </rPr>
          <t>Önceki taslak: Elf
Yeni ana ırk: Elf
Kesin — kullanıcı onayı/kuralı
Görsel: Elf görünümlü</t>
        </r>
      </text>
    </comment>
    <comment ref="H7" authorId="0" shapeId="0" xr:uid="{00000000-0006-0000-0A00-00000E000000}">
      <text>
        <r>
          <rPr>
            <sz val="10"/>
            <rFont val="Arial"/>
            <family val="2"/>
            <charset val="162"/>
          </rPr>
          <t>Önceki element: Yaşam
Yeni element: Fırtına
Bu sınıfta element çeşitliliği sağlamak üzere yeni ana güç kaynağı önerildi; hikâye ve yetenek metni değiştirilmedi.</t>
        </r>
      </text>
    </comment>
    <comment ref="F8" authorId="0" shapeId="0" xr:uid="{00000000-0006-0000-0A00-00000F000000}">
      <text>
        <r>
          <rPr>
            <sz val="10"/>
            <rFont val="Arial"/>
            <family val="2"/>
            <charset val="162"/>
          </rPr>
          <t>Önceki taslak: Melek
Yeni ana ırk: Melek
Kesin — kullanıcı onayı/kuralı
Görsel: İnsan görünümlü</t>
        </r>
      </text>
    </comment>
    <comment ref="F9" authorId="0" shapeId="0" xr:uid="{00000000-0006-0000-0A00-000010000000}">
      <text>
        <r>
          <rPr>
            <sz val="10"/>
            <rFont val="Arial"/>
            <family val="2"/>
            <charset val="162"/>
          </rPr>
          <t>Önceki taslak: Ölümsüz
Yeni ana ırk: Ölümsüz
Kesin — kullanıcı onayı/kuralı
Görsel: İnsan görünümlü</t>
        </r>
      </text>
    </comment>
    <comment ref="H9" authorId="0" shapeId="0" xr:uid="{00000000-0006-0000-0A00-000011000000}">
      <text>
        <r>
          <rPr>
            <sz val="10"/>
            <rFont val="Arial"/>
            <family val="2"/>
            <charset val="162"/>
          </rPr>
          <t>Önceki element: Yaşam
Yeni element: Ateş
Bu sınıfta element çeşitliliği sağlamak üzere yeni ana güç kaynağı önerildi; hikâye ve yetenek metni değiştirilmedi.</t>
        </r>
      </text>
    </comment>
    <comment ref="F10" authorId="0" shapeId="0" xr:uid="{00000000-0006-0000-0A00-000012000000}">
      <text>
        <r>
          <rPr>
            <sz val="10"/>
            <rFont val="Arial"/>
            <family val="2"/>
            <charset val="162"/>
          </rPr>
          <t>Önceki taslak: İnsan
Yeni ana ırk: İnsan
Güçlü — isim/hikâye
Görsel: İnsan görünümlü</t>
        </r>
      </text>
    </comment>
    <comment ref="F11" authorId="0" shapeId="0" xr:uid="{00000000-0006-0000-0A00-000013000000}">
      <text>
        <r>
          <rPr>
            <sz val="10"/>
            <rFont val="Arial"/>
            <family val="2"/>
            <charset val="162"/>
          </rPr>
          <t>Önceki taslak: Elf
Yeni ana ırk: Elf
Kesin — kullanıcı onayı/kuralı
Görsel: Elf görünümlü</t>
        </r>
      </text>
    </comment>
    <comment ref="H11" authorId="0" shapeId="0" xr:uid="{00000000-0006-0000-0A00-000014000000}">
      <text>
        <r>
          <rPr>
            <sz val="10"/>
            <rFont val="Arial"/>
            <family val="2"/>
            <charset val="162"/>
          </rPr>
          <t>Önceki element: Doğa
Yeni element: Enerji
Sınıflar arası dağılım için karakter adı, hikâyesi ve mevcut yetenek temaları birlikte değerlendirildi.</t>
        </r>
      </text>
    </comment>
    <comment ref="F12" authorId="0" shapeId="0" xr:uid="{00000000-0006-0000-0A00-000015000000}">
      <text>
        <r>
          <rPr>
            <sz val="10"/>
            <rFont val="Arial"/>
            <family val="2"/>
            <charset val="162"/>
          </rPr>
          <t>Önceki taslak: İnsan
Yeni ana ırk: İnsan
Güçlü — isim/hikâye
Görsel: İnsan görünümlü</t>
        </r>
      </text>
    </comment>
    <comment ref="H12" authorId="0" shapeId="0" xr:uid="{00000000-0006-0000-0A00-000016000000}">
      <text>
        <r>
          <rPr>
            <sz val="10"/>
            <rFont val="Arial"/>
            <family val="2"/>
            <charset val="162"/>
          </rPr>
          <t>Önceki element: Zihin
Yeni element: Gölge
Sınıflar arası dağılım için karakter adı, hikâyesi ve mevcut yetenek temaları birlikte değerlendirildi.</t>
        </r>
      </text>
    </comment>
    <comment ref="F13" authorId="0" shapeId="0" xr:uid="{00000000-0006-0000-0A00-000017000000}">
      <text>
        <r>
          <rPr>
            <sz val="10"/>
            <rFont val="Arial"/>
            <family val="2"/>
            <charset val="162"/>
          </rPr>
          <t>Önceki taslak: İnsan
Yeni ana ırk: İnsan
Kesin — kullanıcı onayı/kuralı
Görsel: İnsan görünümlü</t>
        </r>
      </text>
    </comment>
    <comment ref="H13" authorId="0" shapeId="0" xr:uid="{00000000-0006-0000-0A00-000018000000}">
      <text>
        <r>
          <rPr>
            <sz val="10"/>
            <rFont val="Arial"/>
            <family val="2"/>
            <charset val="162"/>
          </rPr>
          <t>Önceki element: Yaşam
Yeni element: Metal
Sınıflar arası dağılım için karakter adı, hikâyesi ve mevcut yetenek temaları birlikte değerlendirildi.</t>
        </r>
      </text>
    </comment>
    <comment ref="F14" authorId="0" shapeId="0" xr:uid="{00000000-0006-0000-0A00-000019000000}">
      <text>
        <r>
          <rPr>
            <sz val="10"/>
            <rFont val="Arial"/>
            <family val="2"/>
            <charset val="162"/>
          </rPr>
          <t>Önceki taslak: İnsan
Yeni ana ırk: Elf
Orta
Görsel: İnsan görünümlü | Dağılım revizyonu: İnsan → Elf.</t>
        </r>
      </text>
    </comment>
    <comment ref="H14" authorId="0" shapeId="0" xr:uid="{00000000-0006-0000-0A00-00001A000000}">
      <text>
        <r>
          <rPr>
            <sz val="10"/>
            <rFont val="Arial"/>
            <family val="2"/>
            <charset val="162"/>
          </rPr>
          <t>Önceki element: Işık
Yeni element: Savaş
Sınıflar arası dağılım için karakter adı, hikâyesi ve mevcut yetenek temaları birlikte değerlendirildi.</t>
        </r>
      </text>
    </comment>
    <comment ref="F15" authorId="0" shapeId="0" xr:uid="{00000000-0006-0000-0A00-00001B000000}">
      <text>
        <r>
          <rPr>
            <sz val="10"/>
            <rFont val="Arial"/>
            <family val="2"/>
            <charset val="162"/>
          </rPr>
          <t>Önceki taslak: İnsan
Yeni ana ırk: İnsan
Güçlü — isim/hikâye
Görsel: İnsan görünümlü</t>
        </r>
      </text>
    </comment>
    <comment ref="F16" authorId="0" shapeId="0" xr:uid="{00000000-0006-0000-0A00-00001C000000}">
      <text>
        <r>
          <rPr>
            <sz val="10"/>
            <rFont val="Arial"/>
            <family val="2"/>
            <charset val="162"/>
          </rPr>
          <t>Önceki taslak: İnsan
Yeni ana ırk: İnsan
Güçlü — isim/hikâye
Görsel: İnsan görünümlü</t>
        </r>
      </text>
    </comment>
    <comment ref="H16" authorId="0" shapeId="0" xr:uid="{00000000-0006-0000-0A00-00001D000000}">
      <text>
        <r>
          <rPr>
            <sz val="10"/>
            <rFont val="Arial"/>
            <family val="2"/>
            <charset val="162"/>
          </rPr>
          <t>Önceki element: Yaşam
Yeni element: Savaş
Sınıflar arası dağılım için karakter adı, hikâyesi ve mevcut yetenek temaları birlikte değerlendirildi.</t>
        </r>
      </text>
    </comment>
    <comment ref="F17" authorId="0" shapeId="0" xr:uid="{00000000-0006-0000-0A00-00001E000000}">
      <text>
        <r>
          <rPr>
            <sz val="10"/>
            <rFont val="Arial"/>
            <family val="2"/>
            <charset val="162"/>
          </rPr>
          <t>Önceki taslak: İnsan
Yeni ana ırk: İnsan
Kesin — kullanıcı onayı/kuralı
Görsel: İnsan görünümlü</t>
        </r>
      </text>
    </comment>
    <comment ref="H17" authorId="0" shapeId="0" xr:uid="{00000000-0006-0000-0A00-00001F000000}">
      <text>
        <r>
          <rPr>
            <sz val="10"/>
            <rFont val="Arial"/>
            <family val="2"/>
            <charset val="162"/>
          </rPr>
          <t>Önceki element: Yaşam
Yeni element: Ateş
Bu sınıfta element çeşitliliği sağlamak üzere yeni ana güç kaynağı önerildi; hikâye ve yetenek metni değiştirilmedi.</t>
        </r>
      </text>
    </comment>
    <comment ref="F18" authorId="0" shapeId="0" xr:uid="{00000000-0006-0000-0A00-000020000000}">
      <text>
        <r>
          <rPr>
            <sz val="10"/>
            <rFont val="Arial"/>
            <family val="2"/>
            <charset val="162"/>
          </rPr>
          <t>Önceki taslak: Astral
Yeni ana ırk: Astral
Kesin — kullanıcı onayı/kuralı
Kullanıcı doğrulaması: görsel Astral. | Görsel: Astral görünümlü</t>
        </r>
      </text>
    </comment>
    <comment ref="F19" authorId="0" shapeId="0" xr:uid="{00000000-0006-0000-0A00-000021000000}">
      <text>
        <r>
          <rPr>
            <sz val="10"/>
            <rFont val="Arial"/>
            <family val="2"/>
            <charset val="162"/>
          </rPr>
          <t>Önceki taslak: Melek
Yeni ana ırk: Melek
Kesin — kullanıcı onayı/kuralı
Görsel: İnsan görünümlü</t>
        </r>
      </text>
    </comment>
    <comment ref="F20" authorId="0" shapeId="0" xr:uid="{00000000-0006-0000-0A00-000022000000}">
      <text>
        <r>
          <rPr>
            <sz val="10"/>
            <rFont val="Arial"/>
            <family val="2"/>
            <charset val="162"/>
          </rPr>
          <t>Önceki taslak: İnsan
Yeni ana ırk: İnsan
Güçlü — isim/hikâye
Görsel: İnsan görünümlü</t>
        </r>
      </text>
    </comment>
    <comment ref="F21" authorId="0" shapeId="0" xr:uid="{00000000-0006-0000-0A00-000023000000}">
      <text>
        <r>
          <rPr>
            <sz val="10"/>
            <rFont val="Arial"/>
            <family val="2"/>
            <charset val="162"/>
          </rPr>
          <t>Önceki taslak: Elf
Yeni ana ırk: Elf
Kesin — kullanıcı onayı/kuralı
Görsel: Elf görünümlü</t>
        </r>
      </text>
    </comment>
    <comment ref="H21" authorId="0" shapeId="0" xr:uid="{00000000-0006-0000-0A00-000024000000}">
      <text>
        <r>
          <rPr>
            <sz val="10"/>
            <rFont val="Arial"/>
            <family val="2"/>
            <charset val="162"/>
          </rPr>
          <t>Önceki element: Doğa
Yeni element: Zehir
Sınıflar arası dağılım için karakter adı, hikâyesi ve mevcut yetenek temaları birlikte değerlendirildi.</t>
        </r>
      </text>
    </comment>
    <comment ref="F22" authorId="0" shapeId="0" xr:uid="{00000000-0006-0000-0A00-000025000000}">
      <text>
        <r>
          <rPr>
            <sz val="10"/>
            <rFont val="Arial"/>
            <family val="2"/>
            <charset val="162"/>
          </rPr>
          <t>Önceki taslak: İnsan
Yeni ana ırk: Astral
Dengeleme — kontrol önerilir
Görsel: İnsan görünümlü | Dağılım revizyonu: İnsan → Astral.</t>
        </r>
      </text>
    </comment>
    <comment ref="H22" authorId="0" shapeId="0" xr:uid="{00000000-0006-0000-0A00-000026000000}">
      <text>
        <r>
          <rPr>
            <sz val="10"/>
            <rFont val="Arial"/>
            <family val="2"/>
            <charset val="162"/>
          </rPr>
          <t>Önceki element: Ruh
Yeni element: Metal
Sınıflar arası dağılım için karakter adı, hikâyesi ve mevcut yetenek temaları birlikte değerlendirildi.</t>
        </r>
      </text>
    </comment>
    <comment ref="F23" authorId="0" shapeId="0" xr:uid="{00000000-0006-0000-0A00-000027000000}">
      <text>
        <r>
          <rPr>
            <sz val="10"/>
            <rFont val="Arial"/>
            <family val="2"/>
            <charset val="162"/>
          </rPr>
          <t>Önceki taslak: İnsan
Yeni ana ırk: Elf
Orta
Görsel: İnsan görünümlü | Dağılım revizyonu: İnsan → Elf.</t>
        </r>
      </text>
    </comment>
    <comment ref="H23" authorId="0" shapeId="0" xr:uid="{00000000-0006-0000-0A00-000028000000}">
      <text>
        <r>
          <rPr>
            <sz val="10"/>
            <rFont val="Arial"/>
            <family val="2"/>
            <charset val="162"/>
          </rPr>
          <t>Önceki element: Işık
Yeni element: Kaos
Sınıflar arası dağılım için karakter adı, hikâyesi ve mevcut yetenek temaları birlikte değerlendirildi.</t>
        </r>
      </text>
    </comment>
    <comment ref="F24" authorId="0" shapeId="0" xr:uid="{00000000-0006-0000-0A00-000029000000}">
      <text>
        <r>
          <rPr>
            <sz val="10"/>
            <rFont val="Arial"/>
            <family val="2"/>
            <charset val="162"/>
          </rPr>
          <t>Önceki taslak: Elf
Yeni ana ırk: Elf
Güçlü — görsel
Görsel: Elf görünümlü</t>
        </r>
      </text>
    </comment>
    <comment ref="H24" authorId="0" shapeId="0" xr:uid="{00000000-0006-0000-0A00-00002A000000}">
      <text>
        <r>
          <rPr>
            <sz val="10"/>
            <rFont val="Arial"/>
            <family val="2"/>
            <charset val="162"/>
          </rPr>
          <t>Önceki element: Yaşam
Yeni element: Fırtına
Sınıflar arası dağılım için karakter adı, hikâyesi ve mevcut yetenek temaları birlikte değerlendirildi.</t>
        </r>
      </text>
    </comment>
    <comment ref="F25" authorId="0" shapeId="0" xr:uid="{00000000-0006-0000-0A00-00002B000000}">
      <text>
        <r>
          <rPr>
            <sz val="10"/>
            <rFont val="Arial"/>
            <family val="2"/>
            <charset val="162"/>
          </rPr>
          <t>Önceki taslak: İnsan
Yeni ana ırk: Astral
Dengeleme — kontrol önerilir
Görsel: İnsan görünümlü | Dağılım revizyonu: İnsan → Astral.</t>
        </r>
      </text>
    </comment>
    <comment ref="F26" authorId="0" shapeId="0" xr:uid="{00000000-0006-0000-0A00-00002C000000}">
      <text>
        <r>
          <rPr>
            <sz val="10"/>
            <rFont val="Arial"/>
            <family val="2"/>
            <charset val="162"/>
          </rPr>
          <t>Önceki taslak: İnsan
Yeni ana ırk: İnsan
Güçlü — isim/hikâye
Görsel: İnsan görünümlü</t>
        </r>
      </text>
    </comment>
    <comment ref="H26" authorId="0" shapeId="0" xr:uid="{00000000-0006-0000-0A00-00002D000000}">
      <text>
        <r>
          <rPr>
            <sz val="10"/>
            <rFont val="Arial"/>
            <family val="2"/>
            <charset val="162"/>
          </rPr>
          <t>Önceki element: Işık
Yeni element: Gölge
Sınıflar arası dağılım için karakter adı, hikâyesi ve mevcut yetenek temaları birlikte değerlendirildi.</t>
        </r>
      </text>
    </comment>
    <comment ref="F27" authorId="0" shapeId="0" xr:uid="{00000000-0006-0000-0A00-00002E000000}">
      <text>
        <r>
          <rPr>
            <sz val="10"/>
            <rFont val="Arial"/>
            <family val="2"/>
            <charset val="162"/>
          </rPr>
          <t>Önceki taslak: Astral
Yeni ana ırk: Astral
Güçlü — isim/hikâye
Görsel: İnsan görünümlü</t>
        </r>
      </text>
    </comment>
    <comment ref="F28" authorId="0" shapeId="0" xr:uid="{00000000-0006-0000-0A00-00002F000000}">
      <text>
        <r>
          <rPr>
            <sz val="10"/>
            <rFont val="Arial"/>
            <family val="2"/>
            <charset val="162"/>
          </rPr>
          <t>Önceki taslak: Elf
Yeni ana ırk: Elf
Güçlü — görsel
Görsel: Elf görünümlü</t>
        </r>
      </text>
    </comment>
    <comment ref="H28" authorId="0" shapeId="0" xr:uid="{00000000-0006-0000-0A00-000030000000}">
      <text>
        <r>
          <rPr>
            <sz val="10"/>
            <rFont val="Arial"/>
            <family val="2"/>
            <charset val="162"/>
          </rPr>
          <t>Önceki element: Yaşam
Yeni element: Fırtına
Bu sınıfta element çeşitliliği sağlamak üzere yeni ana güç kaynağı önerildi; hikâye ve yetenek metni değiştirilmedi.</t>
        </r>
      </text>
    </comment>
    <comment ref="F29" authorId="0" shapeId="0" xr:uid="{00000000-0006-0000-0A00-000031000000}">
      <text>
        <r>
          <rPr>
            <sz val="10"/>
            <rFont val="Arial"/>
            <family val="2"/>
            <charset val="162"/>
          </rPr>
          <t>Önceki taslak: İnsan
Yeni ana ırk: İnsan
Güçlü — isim/hikâye
Görsel: İnsan görünümlü</t>
        </r>
      </text>
    </comment>
    <comment ref="H29" authorId="0" shapeId="0" xr:uid="{00000000-0006-0000-0A00-000032000000}">
      <text>
        <r>
          <rPr>
            <sz val="10"/>
            <rFont val="Arial"/>
            <family val="2"/>
            <charset val="162"/>
          </rPr>
          <t>Önceki element: Zihin
Yeni element: Arkan
Sınıflar arası dağılım için karakter adı, hikâyesi ve mevcut yetenek temaları birlikte değerlendirildi.</t>
        </r>
      </text>
    </comment>
    <comment ref="F30" authorId="0" shapeId="0" xr:uid="{00000000-0006-0000-0A00-000033000000}">
      <text>
        <r>
          <rPr>
            <sz val="10"/>
            <rFont val="Arial"/>
            <family val="2"/>
            <charset val="162"/>
          </rPr>
          <t>Önceki taslak: İnsan
Yeni ana ırk: İnsan
Güçlü — isim/hikâye
Görsel: İnsan görünümlü</t>
        </r>
      </text>
    </comment>
    <comment ref="F31" authorId="0" shapeId="0" xr:uid="{00000000-0006-0000-0A00-000034000000}">
      <text>
        <r>
          <rPr>
            <sz val="10"/>
            <rFont val="Arial"/>
            <family val="2"/>
            <charset val="162"/>
          </rPr>
          <t>Önceki taslak: Elf
Yeni ana ırk: Elf
Kesin — kullanıcı onayı/kuralı
Görsel: Elf görünümlü</t>
        </r>
      </text>
    </comment>
    <comment ref="H31" authorId="0" shapeId="0" xr:uid="{00000000-0006-0000-0A00-000035000000}">
      <text>
        <r>
          <rPr>
            <sz val="10"/>
            <rFont val="Arial"/>
            <family val="2"/>
            <charset val="162"/>
          </rPr>
          <t>Önceki element: Doğa
Yeni element: Metal
Sınıflar arası dağılım için karakter adı, hikâyesi ve mevcut yetenek temaları birlikte değerlendirildi.</t>
        </r>
      </text>
    </comment>
    <comment ref="F32" authorId="0" shapeId="0" xr:uid="{00000000-0006-0000-0A00-000036000000}">
      <text>
        <r>
          <rPr>
            <sz val="10"/>
            <rFont val="Arial"/>
            <family val="2"/>
            <charset val="162"/>
          </rPr>
          <t>Önceki taslak: İnsan
Yeni ana ırk: İnsan
Güçlü — isim/hikâye
Görsel: İnsan görünümlü</t>
        </r>
      </text>
    </comment>
    <comment ref="F33" authorId="0" shapeId="0" xr:uid="{00000000-0006-0000-0A00-000037000000}">
      <text>
        <r>
          <rPr>
            <sz val="10"/>
            <rFont val="Arial"/>
            <family val="2"/>
            <charset val="162"/>
          </rPr>
          <t>Önceki taslak: İnsan
Yeni ana ırk: İnsan
Güçlü — isim/hikâye
Görsel: İnsan görünümlü</t>
        </r>
      </text>
    </comment>
    <comment ref="F34" authorId="0" shapeId="0" xr:uid="{00000000-0006-0000-0A00-000038000000}">
      <text>
        <r>
          <rPr>
            <sz val="10"/>
            <rFont val="Arial"/>
            <family val="2"/>
            <charset val="162"/>
          </rPr>
          <t>Önceki taslak: Elf
Yeni ana ırk: Elf
Kesin — kullanıcı onayı/kuralı
Görsel: Elf görünümlü</t>
        </r>
      </text>
    </comment>
    <comment ref="F35" authorId="0" shapeId="0" xr:uid="{00000000-0006-0000-0A00-000039000000}">
      <text>
        <r>
          <rPr>
            <sz val="10"/>
            <rFont val="Arial"/>
            <family val="2"/>
            <charset val="162"/>
          </rPr>
          <t>Önceki taslak: İnsan
Yeni ana ırk: İnsan
Güçlü — isim/hikâye
Görsel: İnsan görünümlü</t>
        </r>
      </text>
    </comment>
    <comment ref="F36" authorId="0" shapeId="0" xr:uid="{00000000-0006-0000-0A00-00003A000000}">
      <text>
        <r>
          <rPr>
            <sz val="10"/>
            <rFont val="Arial"/>
            <family val="2"/>
            <charset val="162"/>
          </rPr>
          <t>Önceki taslak: Melek
Yeni ana ırk: Melek
Kesin — kullanıcı onayı/kuralı
Görsel: Melek/kanatlı insansı</t>
        </r>
      </text>
    </comment>
    <comment ref="H36" authorId="0" shapeId="0" xr:uid="{00000000-0006-0000-0A00-00003B000000}">
      <text>
        <r>
          <rPr>
            <sz val="10"/>
            <rFont val="Arial"/>
            <family val="2"/>
            <charset val="162"/>
          </rPr>
          <t>Önceki element: Işık
Yeni element: Metal
Sınıflar arası dağılım için karakter adı, hikâyesi ve mevcut yetenek temaları birlikte değerlendirildi.</t>
        </r>
      </text>
    </comment>
    <comment ref="F37" authorId="0" shapeId="0" xr:uid="{00000000-0006-0000-0A00-00003C000000}">
      <text>
        <r>
          <rPr>
            <sz val="10"/>
            <rFont val="Arial"/>
            <family val="2"/>
            <charset val="162"/>
          </rPr>
          <t>Önceki taslak: İnsan
Yeni ana ırk: Astral
Dengeleme — kontrol önerilir
Görsel: İnsan görünümlü | Dağılım revizyonu: İnsan → Astral.</t>
        </r>
      </text>
    </comment>
    <comment ref="F38" authorId="0" shapeId="0" xr:uid="{00000000-0006-0000-0A00-00003D000000}">
      <text>
        <r>
          <rPr>
            <sz val="10"/>
            <rFont val="Arial"/>
            <family val="2"/>
            <charset val="162"/>
          </rPr>
          <t>Önceki taslak: Elf
Yeni ana ırk: Elf
Kesin — kullanıcı onayı/kuralı
Görsel: Elf görünümlü</t>
        </r>
      </text>
    </comment>
    <comment ref="H38" authorId="0" shapeId="0" xr:uid="{00000000-0006-0000-0A00-00003E000000}">
      <text>
        <r>
          <rPr>
            <sz val="10"/>
            <rFont val="Arial"/>
            <family val="2"/>
            <charset val="162"/>
          </rPr>
          <t>Önceki element: Doğa
Yeni element: Toprak
Sınıflar arası dağılım için karakter adı, hikâyesi ve mevcut yetenek temaları birlikte değerlendirildi.</t>
        </r>
      </text>
    </comment>
    <comment ref="F39" authorId="0" shapeId="0" xr:uid="{00000000-0006-0000-0A00-00003F000000}">
      <text>
        <r>
          <rPr>
            <sz val="10"/>
            <rFont val="Arial"/>
            <family val="2"/>
            <charset val="162"/>
          </rPr>
          <t>Önceki taslak: İnsan
Yeni ana ırk: İnsan
Güçlü — isim/hikâye
Görsel: İnsan görünümlü</t>
        </r>
      </text>
    </comment>
    <comment ref="F40" authorId="0" shapeId="0" xr:uid="{00000000-0006-0000-0A00-000040000000}">
      <text>
        <r>
          <rPr>
            <sz val="10"/>
            <rFont val="Arial"/>
            <family val="2"/>
            <charset val="162"/>
          </rPr>
          <t>Önceki taslak: İnsan
Yeni ana ırk: İnsan
Güçlü — isim/hikâye
Görsel: İnsan görünümlü</t>
        </r>
      </text>
    </comment>
    <comment ref="F41" authorId="0" shapeId="0" xr:uid="{00000000-0006-0000-0A00-000041000000}">
      <text>
        <r>
          <rPr>
            <sz val="10"/>
            <rFont val="Arial"/>
            <family val="2"/>
            <charset val="162"/>
          </rPr>
          <t>Önceki taslak: İnsan
Yeni ana ırk: Melek
Orta
Görsel: İnsan görünümlü | Dağılım revizyonu: İnsan → Melek.</t>
        </r>
      </text>
    </comment>
    <comment ref="H41" authorId="0" shapeId="0" xr:uid="{00000000-0006-0000-0A00-000042000000}">
      <text>
        <r>
          <rPr>
            <sz val="10"/>
            <rFont val="Arial"/>
            <family val="2"/>
            <charset val="162"/>
          </rPr>
          <t>Önceki element: Işık
Yeni element: Fırtına
Bu sınıfta element çeşitliliği sağlamak üzere yeni ana güç kaynağı önerildi; hikâye ve yetenek metni değiştirilmedi.</t>
        </r>
      </text>
    </comment>
    <comment ref="F42" authorId="0" shapeId="0" xr:uid="{00000000-0006-0000-0A00-000043000000}">
      <text>
        <r>
          <rPr>
            <sz val="10"/>
            <rFont val="Arial"/>
            <family val="2"/>
            <charset val="162"/>
          </rPr>
          <t>Önceki taslak: İnsan
Yeni ana ırk: İnsan
Güçlü — isim/hikâye
Görsel: İnsan görünümlü</t>
        </r>
      </text>
    </comment>
    <comment ref="F43" authorId="0" shapeId="0" xr:uid="{00000000-0006-0000-0A00-000044000000}">
      <text>
        <r>
          <rPr>
            <sz val="10"/>
            <rFont val="Arial"/>
            <family val="2"/>
            <charset val="162"/>
          </rPr>
          <t>Önceki taslak: İnsan
Yeni ana ırk: Elf
Güçlü — isim/hikâye
Görsel: İnsan görünümlü | Dağılım revizyonu: İnsan → Elf.</t>
        </r>
      </text>
    </comment>
    <comment ref="H43" authorId="0" shapeId="0" xr:uid="{00000000-0006-0000-0A00-000045000000}">
      <text>
        <r>
          <rPr>
            <sz val="10"/>
            <rFont val="Arial"/>
            <family val="2"/>
            <charset val="162"/>
          </rPr>
          <t>Önceki element: Yaşam
Yeni element: Arkan
Sınıflar arası dağılım için karakter adı, hikâyesi ve mevcut yetenek temaları birlikte değerlendirildi.</t>
        </r>
      </text>
    </comment>
    <comment ref="F44" authorId="0" shapeId="0" xr:uid="{00000000-0006-0000-0A00-000046000000}">
      <text>
        <r>
          <rPr>
            <sz val="10"/>
            <rFont val="Arial"/>
            <family val="2"/>
            <charset val="162"/>
          </rPr>
          <t>Önceki taslak: İnsan
Yeni ana ırk: Astral
Dengeleme — kontrol önerilir
Görsel: İnsan görünümlü | Dağılım revizyonu: İnsan → Astral.</t>
        </r>
      </text>
    </comment>
    <comment ref="H44" authorId="0" shapeId="0" xr:uid="{00000000-0006-0000-0A00-000047000000}">
      <text>
        <r>
          <rPr>
            <sz val="10"/>
            <rFont val="Arial"/>
            <family val="2"/>
            <charset val="162"/>
          </rPr>
          <t>Önceki element: Ruh
Yeni element: Kaos
Sınıflar arası dağılım için karakter adı, hikâyesi ve mevcut yetenek temaları birlikte değerlendirildi.</t>
        </r>
      </text>
    </comment>
    <comment ref="F45" authorId="0" shapeId="0" xr:uid="{00000000-0006-0000-0A00-000048000000}">
      <text>
        <r>
          <rPr>
            <sz val="10"/>
            <rFont val="Arial"/>
            <family val="2"/>
            <charset val="162"/>
          </rPr>
          <t>Önceki taslak: İnsan
Yeni ana ırk: İnsan
Güçlü — isim/hikâye
Görsel: İnsan görünümlü</t>
        </r>
      </text>
    </comment>
    <comment ref="H45" authorId="0" shapeId="0" xr:uid="{00000000-0006-0000-0A00-000049000000}">
      <text>
        <r>
          <rPr>
            <sz val="10"/>
            <rFont val="Arial"/>
            <family val="2"/>
            <charset val="162"/>
          </rPr>
          <t>Önceki element: Yaşam
Yeni element: Gölge
Sınıflar arası dağılım için karakter adı, hikâyesi ve mevcut yetenek temaları birlikte değerlendirildi.</t>
        </r>
      </text>
    </comment>
    <comment ref="F46" authorId="0" shapeId="0" xr:uid="{00000000-0006-0000-0A00-00004A000000}">
      <text>
        <r>
          <rPr>
            <sz val="10"/>
            <rFont val="Arial"/>
            <family val="2"/>
            <charset val="162"/>
          </rPr>
          <t>Önceki taslak: İnsan
Yeni ana ırk: Astral
Dengeleme — kontrol önerilir
Görsel: İnsan görünümlü | Dağılım revizyonu: İnsan → Astral.</t>
        </r>
      </text>
    </comment>
    <comment ref="F47" authorId="0" shapeId="0" xr:uid="{00000000-0006-0000-0A00-00004B000000}">
      <text>
        <r>
          <rPr>
            <sz val="10"/>
            <rFont val="Arial"/>
            <family val="2"/>
            <charset val="162"/>
          </rPr>
          <t>Önceki taslak: Astral
Yeni ana ırk: Astral
Kesin — kullanıcı onayı/kuralı
Kullanıcı görseli Astral olarak yeniledi. | Görsel: Astral görünümlü</t>
        </r>
      </text>
    </comment>
    <comment ref="F48" authorId="0" shapeId="0" xr:uid="{00000000-0006-0000-0A00-00004C000000}">
      <text>
        <r>
          <rPr>
            <sz val="10"/>
            <rFont val="Arial"/>
            <family val="2"/>
            <charset val="162"/>
          </rPr>
          <t>Önceki taslak: İnsan
Yeni ana ırk: İnsan
Güçlü — isim/hikâye
Görsel: İnsan görünümlü</t>
        </r>
      </text>
    </comment>
    <comment ref="H48" authorId="0" shapeId="0" xr:uid="{00000000-0006-0000-0A00-00004D000000}">
      <text>
        <r>
          <rPr>
            <sz val="10"/>
            <rFont val="Arial"/>
            <family val="2"/>
            <charset val="162"/>
          </rPr>
          <t>Önceki element: Işık
Yeni element: Gölge
Sınıflar arası dağılım için karakter adı, hikâyesi ve mevcut yetenek temaları birlikte değerlendirildi.</t>
        </r>
      </text>
    </comment>
    <comment ref="F49" authorId="0" shapeId="0" xr:uid="{00000000-0006-0000-0A00-00004E000000}">
      <text>
        <r>
          <rPr>
            <sz val="10"/>
            <rFont val="Arial"/>
            <family val="2"/>
            <charset val="162"/>
          </rPr>
          <t>Önceki taslak: Tanrısal
Yeni ana ırk: Tanrısal
Güçlü — isim/hikâye
Görsel: İnsan görünümlü</t>
        </r>
      </text>
    </comment>
    <comment ref="H49" authorId="0" shapeId="0" xr:uid="{00000000-0006-0000-0A00-00004F000000}">
      <text>
        <r>
          <rPr>
            <sz val="10"/>
            <rFont val="Arial"/>
            <family val="2"/>
            <charset val="162"/>
          </rPr>
          <t>Önceki element: Yaşam
Yeni element: Buz
Sınıflar arası dağılım için karakter adı, hikâyesi ve mevcut yetenek temaları birlikte değerlendirildi.</t>
        </r>
      </text>
    </comment>
    <comment ref="F50" authorId="0" shapeId="0" xr:uid="{00000000-0006-0000-0A00-000050000000}">
      <text>
        <r>
          <rPr>
            <sz val="10"/>
            <rFont val="Arial"/>
            <family val="2"/>
            <charset val="162"/>
          </rPr>
          <t>Önceki taslak: İnsan
Yeni ana ırk: İnsan
Güçlü — isim/hikâye
Görsel: İnsan görünümlü</t>
        </r>
      </text>
    </comment>
    <comment ref="H50" authorId="0" shapeId="0" xr:uid="{00000000-0006-0000-0A00-000051000000}">
      <text>
        <r>
          <rPr>
            <sz val="10"/>
            <rFont val="Arial"/>
            <family val="2"/>
            <charset val="162"/>
          </rPr>
          <t>Önceki element: Zaman
Yeni element: Gölge
Sınıflar arası dağılım için karakter adı, hikâyesi ve mevcut yetenek temaları birlikte değerlendirildi.</t>
        </r>
      </text>
    </comment>
    <comment ref="F51" authorId="0" shapeId="0" xr:uid="{00000000-0006-0000-0A00-000052000000}">
      <text>
        <r>
          <rPr>
            <sz val="10"/>
            <rFont val="Arial"/>
            <family val="2"/>
            <charset val="162"/>
          </rPr>
          <t>Önceki taslak: İnsan
Yeni ana ırk: İnsan
Güçlü — isim/hikâye
Görsel: İnsan görünümlü</t>
        </r>
      </text>
    </comment>
    <comment ref="H51" authorId="0" shapeId="0" xr:uid="{00000000-0006-0000-0A00-000053000000}">
      <text>
        <r>
          <rPr>
            <sz val="10"/>
            <rFont val="Arial"/>
            <family val="2"/>
            <charset val="162"/>
          </rPr>
          <t>Önceki element: Ruh
Yeni element: Gölge
Sınıflar arası dağılım için karakter adı, hikâyesi ve mevcut yetenek temaları birlikte değerlendirildi.</t>
        </r>
      </text>
    </comment>
    <comment ref="F52" authorId="0" shapeId="0" xr:uid="{00000000-0006-0000-0A00-000054000000}">
      <text>
        <r>
          <rPr>
            <sz val="10"/>
            <rFont val="Arial"/>
            <family val="2"/>
            <charset val="162"/>
          </rPr>
          <t>Önceki taslak: İnsan
Yeni ana ırk: İnsan
Güçlü — isim/hikâye
Görsel: İnsan görünümlü</t>
        </r>
      </text>
    </comment>
    <comment ref="H52" authorId="0" shapeId="0" xr:uid="{00000000-0006-0000-0A00-000055000000}">
      <text>
        <r>
          <rPr>
            <sz val="10"/>
            <rFont val="Arial"/>
            <family val="2"/>
            <charset val="162"/>
          </rPr>
          <t>Önceki element: Yaşam
Yeni element: Kaos
Sınıflar arası dağılım için karakter adı, hikâyesi ve mevcut yetenek temaları birlikte değerlendirildi.</t>
        </r>
      </text>
    </comment>
    <comment ref="F53" authorId="0" shapeId="0" xr:uid="{00000000-0006-0000-0A00-000056000000}">
      <text>
        <r>
          <rPr>
            <sz val="10"/>
            <rFont val="Arial"/>
            <family val="2"/>
            <charset val="162"/>
          </rPr>
          <t>Önceki taslak: İnsan
Yeni ana ırk: İnsan
Güçlü — isim/hikâye
Görsel: İnsan görünümlü</t>
        </r>
      </text>
    </comment>
    <comment ref="H53" authorId="0" shapeId="0" xr:uid="{00000000-0006-0000-0A00-000057000000}">
      <text>
        <r>
          <rPr>
            <sz val="10"/>
            <rFont val="Arial"/>
            <family val="2"/>
            <charset val="162"/>
          </rPr>
          <t>Önceki element: Zaman
Yeni element: Kaos
Sınıflar arası dağılım için karakter adı, hikâyesi ve mevcut yetenek temaları birlikte değerlendirildi.</t>
        </r>
      </text>
    </comment>
    <comment ref="F54" authorId="0" shapeId="0" xr:uid="{00000000-0006-0000-0A00-000058000000}">
      <text>
        <r>
          <rPr>
            <sz val="10"/>
            <rFont val="Arial"/>
            <family val="2"/>
            <charset val="162"/>
          </rPr>
          <t>Önceki taslak: Elf
Yeni ana ırk: Elf
Güçlü — görsel
Görsel: Doğa/bitki-insansı</t>
        </r>
      </text>
    </comment>
    <comment ref="F55" authorId="0" shapeId="0" xr:uid="{00000000-0006-0000-0A00-000059000000}">
      <text>
        <r>
          <rPr>
            <sz val="10"/>
            <rFont val="Arial"/>
            <family val="2"/>
            <charset val="162"/>
          </rPr>
          <t>Önceki taslak: Melek
Yeni ana ırk: Melek
Kesin — kullanıcı onayı/kuralı
Görsel: İnsan görünümlü</t>
        </r>
      </text>
    </comment>
    <comment ref="H55" authorId="0" shapeId="0" xr:uid="{00000000-0006-0000-0A00-00005A000000}">
      <text>
        <r>
          <rPr>
            <sz val="10"/>
            <rFont val="Arial"/>
            <family val="2"/>
            <charset val="162"/>
          </rPr>
          <t>Önceki element: Işık
Yeni element: Ateş
Sınıflar arası dağılım için karakter adı, hikâyesi ve mevcut yetenek temaları birlikte değerlendirildi.</t>
        </r>
      </text>
    </comment>
    <comment ref="F56" authorId="0" shapeId="0" xr:uid="{00000000-0006-0000-0A00-00005B000000}">
      <text>
        <r>
          <rPr>
            <sz val="10"/>
            <rFont val="Arial"/>
            <family val="2"/>
            <charset val="162"/>
          </rPr>
          <t>Önceki taslak: Ölümsüz
Yeni ana ırk: Ölümsüz
Kesin — kullanıcı onayı/kuralı
Görsel: Tam zırhlı, türü belirsiz</t>
        </r>
      </text>
    </comment>
    <comment ref="F57" authorId="0" shapeId="0" xr:uid="{00000000-0006-0000-0A00-00005C000000}">
      <text>
        <r>
          <rPr>
            <sz val="10"/>
            <rFont val="Arial"/>
            <family val="2"/>
            <charset val="162"/>
          </rPr>
          <t>Önceki taslak: Tanrısal
Yeni ana ırk: Tanrısal
Kesin — kullanıcı onayı/kuralı
Görsel mevcut; yalnızca ırk kaydı revize edildi. | Görsel: Görsel mevcut; ırk Tanrısal olarak onaylandı</t>
        </r>
      </text>
    </comment>
    <comment ref="H57" authorId="0" shapeId="0" xr:uid="{00000000-0006-0000-0A00-00005D000000}">
      <text>
        <r>
          <rPr>
            <sz val="10"/>
            <rFont val="Arial"/>
            <family val="2"/>
            <charset val="162"/>
          </rPr>
          <t>Önceki element: Işık
Yeni element: Gölge
Sınıflar arası dağılım için karakter adı, hikâyesi ve mevcut yetenek temaları birlikte değerlendirildi.</t>
        </r>
      </text>
    </comment>
    <comment ref="F58" authorId="0" shapeId="0" xr:uid="{00000000-0006-0000-0A00-00005E000000}">
      <text>
        <r>
          <rPr>
            <sz val="10"/>
            <rFont val="Arial"/>
            <family val="2"/>
            <charset val="162"/>
          </rPr>
          <t>Önceki taslak: İnsan
Yeni ana ırk: Mutant
Dengeleme — kontrol önerilir
Güvenli görsel eşleşmesi yok; isim ve hikâye kullanıldı. | Dağılım revizyonu: İnsan → Mutant.</t>
        </r>
      </text>
    </comment>
    <comment ref="H58" authorId="0" shapeId="0" xr:uid="{00000000-0006-0000-0A00-00005F000000}">
      <text>
        <r>
          <rPr>
            <sz val="10"/>
            <rFont val="Arial"/>
            <family val="2"/>
            <charset val="162"/>
          </rPr>
          <t>Önceki element: Yaşam
Yeni element: Gölge
Sınıflar arası dağılım için karakter adı, hikâyesi ve mevcut yetenek temaları birlikte değerlendirildi.</t>
        </r>
      </text>
    </comment>
    <comment ref="F59" authorId="0" shapeId="0" xr:uid="{00000000-0006-0000-0A00-000060000000}">
      <text>
        <r>
          <rPr>
            <sz val="10"/>
            <rFont val="Arial"/>
            <family val="2"/>
            <charset val="162"/>
          </rPr>
          <t>Önceki taslak: Melek
Yeni ana ırk: Melek
Güçlü — isim/hikâye
Güvenli görsel eşleşmesi yok; isim ve hikâye kullanıldı.</t>
        </r>
      </text>
    </comment>
    <comment ref="F60" authorId="0" shapeId="0" xr:uid="{00000000-0006-0000-0A00-000061000000}">
      <text>
        <r>
          <rPr>
            <sz val="10"/>
            <rFont val="Arial"/>
            <family val="2"/>
            <charset val="162"/>
          </rPr>
          <t>Önceki taslak: Astral
Yeni ana ırk: Astral
Orta
Güvenli görsel eşleşmesi yok; isim ve hikâye kullanıldı.</t>
        </r>
      </text>
    </comment>
    <comment ref="F61" authorId="0" shapeId="0" xr:uid="{00000000-0006-0000-0A00-000062000000}">
      <text>
        <r>
          <rPr>
            <sz val="10"/>
            <rFont val="Arial"/>
            <family val="2"/>
            <charset val="162"/>
          </rPr>
          <t>Önceki taslak: İnsan
Yeni ana ırk: Mutant
Dengeleme — kontrol önerilir
Güvenli görsel eşleşmesi yok; isim ve hikâye kullanıldı. | Dağılım revizyonu: İnsan → Mutant.</t>
        </r>
      </text>
    </comment>
    <comment ref="F62" authorId="0" shapeId="0" xr:uid="{00000000-0006-0000-0A00-000063000000}">
      <text>
        <r>
          <rPr>
            <sz val="10"/>
            <rFont val="Arial"/>
            <family val="2"/>
            <charset val="162"/>
          </rPr>
          <t>Önceki taslak: Tanrısal
Yeni ana ırk: Tanrısal
Güçlü — isim/hikâye
Güvenli görsel eşleşmesi yok; isim ve hikâye kullanıldı.</t>
        </r>
      </text>
    </comment>
    <comment ref="H62" authorId="0" shapeId="0" xr:uid="{00000000-0006-0000-0A00-000064000000}">
      <text>
        <r>
          <rPr>
            <sz val="10"/>
            <rFont val="Arial"/>
            <family val="2"/>
            <charset val="162"/>
          </rPr>
          <t>Önceki element: Yaşam
Yeni element: Fırtına
Bu sınıfta element çeşitliliği sağlamak üzere yeni ana güç kaynağı önerildi; hikâye ve yetenek metni değiştirilmedi.</t>
        </r>
      </text>
    </comment>
    <comment ref="F63" authorId="0" shapeId="0" xr:uid="{00000000-0006-0000-0A00-000065000000}">
      <text>
        <r>
          <rPr>
            <sz val="10"/>
            <rFont val="Arial"/>
            <family val="2"/>
            <charset val="162"/>
          </rPr>
          <t>Önceki taslak: Tanrısal
Yeni ana ırk: Tanrısal
Güçlü — isim/hikâye
Güvenli görsel eşleşmesi yok; isim ve hikâye kullanıldı.</t>
        </r>
      </text>
    </comment>
    <comment ref="F64" authorId="0" shapeId="0" xr:uid="{00000000-0006-0000-0A00-000066000000}">
      <text>
        <r>
          <rPr>
            <sz val="10"/>
            <rFont val="Arial"/>
            <family val="2"/>
            <charset val="162"/>
          </rPr>
          <t>Önceki taslak: Tanrısal
Yeni ana ırk: Tanrısal
Güçlü — isim/hikâye
Güvenli görsel eşleşmesi yok; isim ve hikâye kullanıldı.</t>
        </r>
      </text>
    </comment>
    <comment ref="F65" authorId="0" shapeId="0" xr:uid="{00000000-0006-0000-0A00-000067000000}">
      <text>
        <r>
          <rPr>
            <sz val="10"/>
            <rFont val="Arial"/>
            <family val="2"/>
            <charset val="162"/>
          </rPr>
          <t>Önceki taslak: Gölge
Yeni ana ırk: Gölge
Güçlü — görsel
Görsel: Gölge/ruh-insansı</t>
        </r>
      </text>
    </comment>
    <comment ref="F66" authorId="0" shapeId="0" xr:uid="{00000000-0006-0000-0A00-000068000000}">
      <text>
        <r>
          <rPr>
            <sz val="10"/>
            <rFont val="Arial"/>
            <family val="2"/>
            <charset val="162"/>
          </rPr>
          <t>Önceki taslak: Gölge
Yeni ana ırk: Gölge
Güçlü — isim/hikâye
Görsel: İnsan görünümlü</t>
        </r>
      </text>
    </comment>
    <comment ref="F67" authorId="0" shapeId="0" xr:uid="{00000000-0006-0000-0A00-000069000000}">
      <text>
        <r>
          <rPr>
            <sz val="10"/>
            <rFont val="Arial"/>
            <family val="2"/>
            <charset val="162"/>
          </rPr>
          <t>Önceki taslak: Gölge
Yeni ana ırk: Gölge
Güçlü — isim/hikâye
Görsel: İnsan görünümlü</t>
        </r>
      </text>
    </comment>
    <comment ref="H67" authorId="0" shapeId="0" xr:uid="{00000000-0006-0000-0A00-00006A000000}">
      <text>
        <r>
          <rPr>
            <sz val="10"/>
            <rFont val="Arial"/>
            <family val="2"/>
            <charset val="162"/>
          </rPr>
          <t>Önceki element: Gölge
Yeni element: Ateş
Bu sınıfta element çeşitliliği sağlamak üzere yeni ana güç kaynağı önerildi; hikâye ve yetenek metni değiştirilmedi.</t>
        </r>
      </text>
    </comment>
    <comment ref="F68" authorId="0" shapeId="0" xr:uid="{00000000-0006-0000-0A00-00006B000000}">
      <text>
        <r>
          <rPr>
            <sz val="10"/>
            <rFont val="Arial"/>
            <family val="2"/>
            <charset val="162"/>
          </rPr>
          <t>Önceki taslak: Gölge
Yeni ana ırk: Gölge
Güçlü — görsel
Görsel: Gölge/ruh-insansı</t>
        </r>
      </text>
    </comment>
    <comment ref="H68" authorId="0" shapeId="0" xr:uid="{00000000-0006-0000-0A00-00006C000000}">
      <text>
        <r>
          <rPr>
            <sz val="10"/>
            <rFont val="Arial"/>
            <family val="2"/>
            <charset val="162"/>
          </rPr>
          <t>Önceki element: Gölge
Yeni element: Astral
Sınıflar arası dağılım için karakter adı, hikâyesi ve mevcut yetenek temaları birlikte değerlendirildi.</t>
        </r>
      </text>
    </comment>
    <comment ref="F69" authorId="0" shapeId="0" xr:uid="{00000000-0006-0000-0A00-00006D000000}">
      <text>
        <r>
          <rPr>
            <sz val="10"/>
            <rFont val="Arial"/>
            <family val="2"/>
            <charset val="162"/>
          </rPr>
          <t>Önceki taslak: Gölge
Yeni ana ırk: Gölge
Güçlü — isim/hikâye
Görsel: İnsan görünümlü</t>
        </r>
      </text>
    </comment>
    <comment ref="H69" authorId="0" shapeId="0" xr:uid="{00000000-0006-0000-0A00-00006E000000}">
      <text>
        <r>
          <rPr>
            <sz val="10"/>
            <rFont val="Arial"/>
            <family val="2"/>
            <charset val="162"/>
          </rPr>
          <t>Önceki element: Gölge
Yeni element: Zehir
Zehirli Pençe adı ve pençedeki zehirle ilgili hikâyesi korundu.</t>
        </r>
      </text>
    </comment>
    <comment ref="F70" authorId="0" shapeId="0" xr:uid="{00000000-0006-0000-0A00-00006F000000}">
      <text>
        <r>
          <rPr>
            <sz val="10"/>
            <rFont val="Arial"/>
            <family val="2"/>
            <charset val="162"/>
          </rPr>
          <t>Önceki taslak: Gölge
Yeni ana ırk: Gölge
Güçlü — isim/hikâye
Görsel: İnsan görünümlü</t>
        </r>
      </text>
    </comment>
    <comment ref="H70" authorId="0" shapeId="0" xr:uid="{00000000-0006-0000-0A00-000070000000}">
      <text>
        <r>
          <rPr>
            <sz val="10"/>
            <rFont val="Arial"/>
            <family val="2"/>
            <charset val="162"/>
          </rPr>
          <t>Önceki element: Gölge
Yeni element: Zaman
Sınıflar arası dağılım için karakter adı, hikâyesi ve mevcut yetenek temaları birlikte değerlendirildi.</t>
        </r>
      </text>
    </comment>
    <comment ref="F71" authorId="0" shapeId="0" xr:uid="{00000000-0006-0000-0A00-000071000000}">
      <text>
        <r>
          <rPr>
            <sz val="10"/>
            <rFont val="Arial"/>
            <family val="2"/>
            <charset val="162"/>
          </rPr>
          <t>Önceki taslak: Gölge
Yeni ana ırk: Gölge
Güçlü — görsel
Görsel: Gölge/ruh-insansı</t>
        </r>
      </text>
    </comment>
    <comment ref="F72" authorId="0" shapeId="0" xr:uid="{00000000-0006-0000-0A00-000072000000}">
      <text>
        <r>
          <rPr>
            <sz val="10"/>
            <rFont val="Arial"/>
            <family val="2"/>
            <charset val="162"/>
          </rPr>
          <t>Önceki taslak: Cüce
Yeni ana ırk: Cüce
Güçlü — görsel
Görsel: Cüce görünümlü</t>
        </r>
      </text>
    </comment>
    <comment ref="H72" authorId="0" shapeId="0" xr:uid="{00000000-0006-0000-0A00-000073000000}">
      <text>
        <r>
          <rPr>
            <sz val="10"/>
            <rFont val="Arial"/>
            <family val="2"/>
            <charset val="162"/>
          </rPr>
          <t>Önceki element: Gölge
Yeni element: Kaos
Sınıflar arası dağılım için karakter adı, hikâyesi ve mevcut yetenek temaları birlikte değerlendirildi.</t>
        </r>
      </text>
    </comment>
    <comment ref="F73" authorId="0" shapeId="0" xr:uid="{00000000-0006-0000-0A00-000074000000}">
      <text>
        <r>
          <rPr>
            <sz val="10"/>
            <rFont val="Arial"/>
            <family val="2"/>
            <charset val="162"/>
          </rPr>
          <t>Önceki taslak: Gölge
Yeni ana ırk: Gölge
Güçlü — görsel
Görsel: Gölge/ruh-insansı</t>
        </r>
      </text>
    </comment>
    <comment ref="F74" authorId="0" shapeId="0" xr:uid="{00000000-0006-0000-0A00-000075000000}">
      <text>
        <r>
          <rPr>
            <sz val="10"/>
            <rFont val="Arial"/>
            <family val="2"/>
            <charset val="162"/>
          </rPr>
          <t>Önceki taslak: Gölge
Yeni ana ırk: Gölge
Güçlü — isim/hikâye
Görsel: İnsan görünümlü</t>
        </r>
      </text>
    </comment>
    <comment ref="H74" authorId="0" shapeId="0" xr:uid="{00000000-0006-0000-0A00-000076000000}">
      <text>
        <r>
          <rPr>
            <sz val="10"/>
            <rFont val="Arial"/>
            <family val="2"/>
            <charset val="162"/>
          </rPr>
          <t>Önceki element: Gölge
Yeni element: Işık
Sınıflar arası dağılım için karakter adı, hikâyesi ve mevcut yetenek temaları birlikte değerlendirildi.</t>
        </r>
      </text>
    </comment>
    <comment ref="F75" authorId="0" shapeId="0" xr:uid="{00000000-0006-0000-0A00-000077000000}">
      <text>
        <r>
          <rPr>
            <sz val="10"/>
            <rFont val="Arial"/>
            <family val="2"/>
            <charset val="162"/>
          </rPr>
          <t>Önceki taslak: Gölge
Yeni ana ırk: Gölge
Güçlü — isim/hikâye
Görsel: İnsan görünümlü</t>
        </r>
      </text>
    </comment>
    <comment ref="H75" authorId="0" shapeId="0" xr:uid="{00000000-0006-0000-0A00-000078000000}">
      <text>
        <r>
          <rPr>
            <sz val="10"/>
            <rFont val="Arial"/>
            <family val="2"/>
            <charset val="162"/>
          </rPr>
          <t>Önceki element: Gölge
Yeni element: Fırtına
Sınıflar arası dağılım için karakter adı, hikâyesi ve mevcut yetenek temaları birlikte değerlendirildi.</t>
        </r>
      </text>
    </comment>
    <comment ref="F76" authorId="0" shapeId="0" xr:uid="{00000000-0006-0000-0A00-000079000000}">
      <text>
        <r>
          <rPr>
            <sz val="10"/>
            <rFont val="Arial"/>
            <family val="2"/>
            <charset val="162"/>
          </rPr>
          <t>Önceki taslak: Gölge
Yeni ana ırk: Gölge
Güçlü — isim/hikâye
Görsel: Kapüşonlu/belirsiz insansı</t>
        </r>
      </text>
    </comment>
    <comment ref="H76" authorId="0" shapeId="0" xr:uid="{00000000-0006-0000-0A00-00007A000000}">
      <text>
        <r>
          <rPr>
            <sz val="10"/>
            <rFont val="Arial"/>
            <family val="2"/>
            <charset val="162"/>
          </rPr>
          <t>Önceki element: Gölge
Yeni element: Yaşam
Sınıflar arası dağılım için karakter adı, hikâyesi ve mevcut yetenek temaları birlikte değerlendirildi.</t>
        </r>
      </text>
    </comment>
    <comment ref="F77" authorId="0" shapeId="0" xr:uid="{00000000-0006-0000-0A00-00007B000000}">
      <text>
        <r>
          <rPr>
            <sz val="10"/>
            <rFont val="Arial"/>
            <family val="2"/>
            <charset val="162"/>
          </rPr>
          <t>Önceki taslak: Ölümsüz
Yeni ana ırk: Ölümsüz
Kesin — kullanıcı onayı/kuralı
Görsel: Gölge/ruh-insansı</t>
        </r>
      </text>
    </comment>
    <comment ref="H77" authorId="0" shapeId="0" xr:uid="{00000000-0006-0000-0A00-00007C000000}">
      <text>
        <r>
          <rPr>
            <sz val="10"/>
            <rFont val="Arial"/>
            <family val="2"/>
            <charset val="162"/>
          </rPr>
          <t>Önceki element: Gölge
Yeni element: Yaşam
Sınıflar arası dağılım için karakter adı, hikâyesi ve mevcut yetenek temaları birlikte değerlendirildi.</t>
        </r>
      </text>
    </comment>
    <comment ref="F78" authorId="0" shapeId="0" xr:uid="{00000000-0006-0000-0A00-00007D000000}">
      <text>
        <r>
          <rPr>
            <sz val="10"/>
            <rFont val="Arial"/>
            <family val="2"/>
            <charset val="162"/>
          </rPr>
          <t>Önceki taslak: İnsan
Yeni ana ırk: İnsan
Güçlü — isim/hikâye
Görsel: İnsan görünümlü</t>
        </r>
      </text>
    </comment>
    <comment ref="H78" authorId="0" shapeId="0" xr:uid="{00000000-0006-0000-0A00-00007E000000}">
      <text>
        <r>
          <rPr>
            <sz val="10"/>
            <rFont val="Arial"/>
            <family val="2"/>
            <charset val="162"/>
          </rPr>
          <t>Önceki element: Gölge
Yeni element: Metal
Sınıflar arası dağılım için karakter adı, hikâyesi ve mevcut yetenek temaları birlikte değerlendirildi.</t>
        </r>
      </text>
    </comment>
    <comment ref="F79" authorId="0" shapeId="0" xr:uid="{00000000-0006-0000-0A00-00007F000000}">
      <text>
        <r>
          <rPr>
            <sz val="10"/>
            <rFont val="Arial"/>
            <family val="2"/>
            <charset val="162"/>
          </rPr>
          <t>Önceki taslak: Cüce
Yeni ana ırk: Cüce
Güçlü — görsel
Görsel: Cüce görünümlü</t>
        </r>
      </text>
    </comment>
    <comment ref="H79" authorId="0" shapeId="0" xr:uid="{00000000-0006-0000-0A00-000080000000}">
      <text>
        <r>
          <rPr>
            <sz val="10"/>
            <rFont val="Arial"/>
            <family val="2"/>
            <charset val="162"/>
          </rPr>
          <t>Önceki element: Gölge
Yeni element: Arkan
Bu sınıfta element çeşitliliği sağlamak üzere yeni ana güç kaynağı önerildi; hikâye ve yetenek metni değiştirilmedi.</t>
        </r>
      </text>
    </comment>
    <comment ref="F80" authorId="0" shapeId="0" xr:uid="{00000000-0006-0000-0A00-000081000000}">
      <text>
        <r>
          <rPr>
            <sz val="10"/>
            <rFont val="Arial"/>
            <family val="2"/>
            <charset val="162"/>
          </rPr>
          <t>Önceki taslak: Gölge
Yeni ana ırk: Gölge
Güçlü — görsel
Görsel: Gölge/ruh-insansı</t>
        </r>
      </text>
    </comment>
    <comment ref="H80" authorId="0" shapeId="0" xr:uid="{00000000-0006-0000-0A00-000082000000}">
      <text>
        <r>
          <rPr>
            <sz val="10"/>
            <rFont val="Arial"/>
            <family val="2"/>
            <charset val="162"/>
          </rPr>
          <t>Önceki element: Gölge
Yeni element: Zihin
Sınıflar arası dağılım için karakter adı, hikâyesi ve mevcut yetenek temaları birlikte değerlendirildi.</t>
        </r>
      </text>
    </comment>
    <comment ref="F81" authorId="0" shapeId="0" xr:uid="{00000000-0006-0000-0A00-000083000000}">
      <text>
        <r>
          <rPr>
            <sz val="10"/>
            <rFont val="Arial"/>
            <family val="2"/>
            <charset val="162"/>
          </rPr>
          <t>Önceki taslak: Gölge
Yeni ana ırk: Gölge
Güçlü — isim/hikâye
Görsel: İnsan görünümlü</t>
        </r>
      </text>
    </comment>
    <comment ref="H81" authorId="0" shapeId="0" xr:uid="{00000000-0006-0000-0A00-000084000000}">
      <text>
        <r>
          <rPr>
            <sz val="10"/>
            <rFont val="Arial"/>
            <family val="2"/>
            <charset val="162"/>
          </rPr>
          <t>Önceki element: Gölge
Yeni element: Savaş
Sınıflar arası dağılım için karakter adı, hikâyesi ve mevcut yetenek temaları birlikte değerlendirildi.</t>
        </r>
      </text>
    </comment>
    <comment ref="F82" authorId="0" shapeId="0" xr:uid="{00000000-0006-0000-0A00-000085000000}">
      <text>
        <r>
          <rPr>
            <sz val="10"/>
            <rFont val="Arial"/>
            <family val="2"/>
            <charset val="162"/>
          </rPr>
          <t>Önceki taslak: İnsan
Yeni ana ırk: İnsan
Güçlü — isim/hikâye
Görsel: İnsan görünümlü</t>
        </r>
      </text>
    </comment>
    <comment ref="F83" authorId="0" shapeId="0" xr:uid="{00000000-0006-0000-0A00-000086000000}">
      <text>
        <r>
          <rPr>
            <sz val="10"/>
            <rFont val="Arial"/>
            <family val="2"/>
            <charset val="162"/>
          </rPr>
          <t>Önceki taslak: Gölge
Yeni ana ırk: Elf
Orta
Görsel: İnsan görünümlü | Dağılım revizyonu: Gölge → Elf.</t>
        </r>
      </text>
    </comment>
    <comment ref="F84" authorId="0" shapeId="0" xr:uid="{00000000-0006-0000-0A00-000087000000}">
      <text>
        <r>
          <rPr>
            <sz val="10"/>
            <rFont val="Arial"/>
            <family val="2"/>
            <charset val="162"/>
          </rPr>
          <t>Önceki taslak: Gölge
Yeni ana ırk: Gölge
Güçlü — görsel
Görsel: Gölge/ruh-insansı</t>
        </r>
      </text>
    </comment>
    <comment ref="H84" authorId="0" shapeId="0" xr:uid="{00000000-0006-0000-0A00-000088000000}">
      <text>
        <r>
          <rPr>
            <sz val="10"/>
            <rFont val="Arial"/>
            <family val="2"/>
            <charset val="162"/>
          </rPr>
          <t>Önceki element: Gölge
Yeni element: Yaşam
Sınıflar arası dağılım için karakter adı, hikâyesi ve mevcut yetenek temaları birlikte değerlendirildi.</t>
        </r>
      </text>
    </comment>
    <comment ref="F85" authorId="0" shapeId="0" xr:uid="{00000000-0006-0000-0A00-000089000000}">
      <text>
        <r>
          <rPr>
            <sz val="10"/>
            <rFont val="Arial"/>
            <family val="2"/>
            <charset val="162"/>
          </rPr>
          <t>Önceki taslak: Cüce
Yeni ana ırk: Cüce
Güçlü — isim/hikâye
Güvenli görsel eşleşmesi yok; isim ve hikâye kullanıldı.</t>
        </r>
      </text>
    </comment>
    <comment ref="H85" authorId="0" shapeId="0" xr:uid="{00000000-0006-0000-0A00-00008A000000}">
      <text>
        <r>
          <rPr>
            <sz val="10"/>
            <rFont val="Arial"/>
            <family val="2"/>
            <charset val="162"/>
          </rPr>
          <t>Önceki element: Gölge
Yeni element: Toprak
Sınıflar arası dağılım için karakter adı, hikâyesi ve mevcut yetenek temaları birlikte değerlendirildi.</t>
        </r>
      </text>
    </comment>
    <comment ref="F86" authorId="0" shapeId="0" xr:uid="{00000000-0006-0000-0A00-00008B000000}">
      <text>
        <r>
          <rPr>
            <sz val="10"/>
            <rFont val="Arial"/>
            <family val="2"/>
            <charset val="162"/>
          </rPr>
          <t>Önceki taslak: Gölge
Yeni ana ırk: Gölge
Güçlü — görsel
Görsel: Gölge/ruh-insansı</t>
        </r>
      </text>
    </comment>
    <comment ref="H86" authorId="0" shapeId="0" xr:uid="{00000000-0006-0000-0A00-00008C000000}">
      <text>
        <r>
          <rPr>
            <sz val="10"/>
            <rFont val="Arial"/>
            <family val="2"/>
            <charset val="162"/>
          </rPr>
          <t>Önceki element: Gölge
Yeni element: Ateş
Bu sınıfta element çeşitliliği sağlamak üzere yeni ana güç kaynağı önerildi; hikâye ve yetenek metni değiştirilmedi.</t>
        </r>
      </text>
    </comment>
    <comment ref="F87" authorId="0" shapeId="0" xr:uid="{00000000-0006-0000-0A00-00008D000000}">
      <text>
        <r>
          <rPr>
            <sz val="10"/>
            <rFont val="Arial"/>
            <family val="2"/>
            <charset val="162"/>
          </rPr>
          <t>Önceki taslak: Gölge
Yeni ana ırk: Gölge
Güçlü — isim/hikâye
Görsel: İnsan görünümlü</t>
        </r>
      </text>
    </comment>
    <comment ref="H87" authorId="0" shapeId="0" xr:uid="{00000000-0006-0000-0A00-00008E000000}">
      <text>
        <r>
          <rPr>
            <sz val="10"/>
            <rFont val="Arial"/>
            <family val="2"/>
            <charset val="162"/>
          </rPr>
          <t>Önceki element: Gölge
Yeni element: Buz
Sınıflar arası dağılım için karakter adı, hikâyesi ve mevcut yetenek temaları birlikte değerlendirildi.</t>
        </r>
      </text>
    </comment>
    <comment ref="F88" authorId="0" shapeId="0" xr:uid="{00000000-0006-0000-0A00-00008F000000}">
      <text>
        <r>
          <rPr>
            <sz val="10"/>
            <rFont val="Arial"/>
            <family val="2"/>
            <charset val="162"/>
          </rPr>
          <t>Önceki taslak: Gölge
Yeni ana ırk: Gölge
Güçlü — isim/hikâye
Görsel: İnsan görünümlü</t>
        </r>
      </text>
    </comment>
    <comment ref="H88" authorId="0" shapeId="0" xr:uid="{00000000-0006-0000-0A00-000090000000}">
      <text>
        <r>
          <rPr>
            <sz val="10"/>
            <rFont val="Arial"/>
            <family val="2"/>
            <charset val="162"/>
          </rPr>
          <t>Önceki element: Gölge
Yeni element: Ateş
Bu sınıfta element çeşitliliği sağlamak üzere yeni ana güç kaynağı önerildi; hikâye ve yetenek metni değiştirilmedi.</t>
        </r>
      </text>
    </comment>
    <comment ref="F89" authorId="0" shapeId="0" xr:uid="{00000000-0006-0000-0A00-000091000000}">
      <text>
        <r>
          <rPr>
            <sz val="10"/>
            <rFont val="Arial"/>
            <family val="2"/>
            <charset val="162"/>
          </rPr>
          <t>Önceki taslak: Gölge
Yeni ana ırk: Gölge
Güçlü — isim/hikâye
Görsel: İnsan görünümlü</t>
        </r>
      </text>
    </comment>
    <comment ref="H89" authorId="0" shapeId="0" xr:uid="{00000000-0006-0000-0A00-000092000000}">
      <text>
        <r>
          <rPr>
            <sz val="10"/>
            <rFont val="Arial"/>
            <family val="2"/>
            <charset val="162"/>
          </rPr>
          <t>Önceki element: Gölge
Yeni element: Zaman
Sınıflar arası dağılım için karakter adı, hikâyesi ve mevcut yetenek temaları birlikte değerlendirildi.</t>
        </r>
      </text>
    </comment>
    <comment ref="F90" authorId="0" shapeId="0" xr:uid="{00000000-0006-0000-0A00-000093000000}">
      <text>
        <r>
          <rPr>
            <sz val="10"/>
            <rFont val="Arial"/>
            <family val="2"/>
            <charset val="162"/>
          </rPr>
          <t>Önceki taslak: Sürüngensoy
Yeni ana ırk: Sürüngensoy
Kesin — kullanıcı onayı/kuralı
Görsel: Yılan/sürüngen-insansı</t>
        </r>
      </text>
    </comment>
    <comment ref="H90" authorId="0" shapeId="0" xr:uid="{00000000-0006-0000-0A00-000094000000}">
      <text>
        <r>
          <rPr>
            <sz val="10"/>
            <rFont val="Arial"/>
            <family val="2"/>
            <charset val="162"/>
          </rPr>
          <t>Önceki element: Gölge
Yeni element: Işık
Sınıflar arası dağılım için karakter adı, hikâyesi ve mevcut yetenek temaları birlikte değerlendirildi.</t>
        </r>
      </text>
    </comment>
    <comment ref="F91" authorId="0" shapeId="0" xr:uid="{00000000-0006-0000-0A00-000095000000}">
      <text>
        <r>
          <rPr>
            <sz val="10"/>
            <rFont val="Arial"/>
            <family val="2"/>
            <charset val="162"/>
          </rPr>
          <t>Önceki taslak: Gölge
Yeni ana ırk: Gölge
Güçlü — görsel
Görsel: Gölge/ruh-insansı</t>
        </r>
      </text>
    </comment>
    <comment ref="F92" authorId="0" shapeId="0" xr:uid="{00000000-0006-0000-0A00-000096000000}">
      <text>
        <r>
          <rPr>
            <sz val="10"/>
            <rFont val="Arial"/>
            <family val="2"/>
            <charset val="162"/>
          </rPr>
          <t>Önceki taslak: Gölge
Yeni ana ırk: Gölge
Güçlü — isim/hikâye
Görsel: İnsan görünümlü</t>
        </r>
      </text>
    </comment>
    <comment ref="F93" authorId="0" shapeId="0" xr:uid="{00000000-0006-0000-0A00-000097000000}">
      <text>
        <r>
          <rPr>
            <sz val="10"/>
            <rFont val="Arial"/>
            <family val="2"/>
            <charset val="162"/>
          </rPr>
          <t>Önceki taslak: Gölge
Yeni ana ırk: Gölge
Güçlü — görsel
Görsel: Gölge/ruh-insansı</t>
        </r>
      </text>
    </comment>
    <comment ref="H93" authorId="0" shapeId="0" xr:uid="{00000000-0006-0000-0A00-000098000000}">
      <text>
        <r>
          <rPr>
            <sz val="10"/>
            <rFont val="Arial"/>
            <family val="2"/>
            <charset val="162"/>
          </rPr>
          <t>Önceki element: Gölge
Yeni element: Enerji
Sınıflar arası dağılım için karakter adı, hikâyesi ve mevcut yetenek temaları birlikte değerlendirildi.</t>
        </r>
      </text>
    </comment>
    <comment ref="F94" authorId="0" shapeId="0" xr:uid="{00000000-0006-0000-0A00-000099000000}">
      <text>
        <r>
          <rPr>
            <sz val="10"/>
            <rFont val="Arial"/>
            <family val="2"/>
            <charset val="162"/>
          </rPr>
          <t>Önceki taslak: Gölge
Yeni ana ırk: Gölge
Güçlü — görsel
Görsel: Gölge/ruh-insansı</t>
        </r>
      </text>
    </comment>
    <comment ref="H94" authorId="0" shapeId="0" xr:uid="{00000000-0006-0000-0A00-00009A000000}">
      <text>
        <r>
          <rPr>
            <sz val="10"/>
            <rFont val="Arial"/>
            <family val="2"/>
            <charset val="162"/>
          </rPr>
          <t>Önceki element: Gölge
Yeni element: Metal
Sınıflar arası dağılım için karakter adı, hikâyesi ve mevcut yetenek temaları birlikte değerlendirildi.</t>
        </r>
      </text>
    </comment>
    <comment ref="F95" authorId="0" shapeId="0" xr:uid="{00000000-0006-0000-0A00-00009B000000}">
      <text>
        <r>
          <rPr>
            <sz val="10"/>
            <rFont val="Arial"/>
            <family val="2"/>
            <charset val="162"/>
          </rPr>
          <t>Önceki taslak: İnsan
Yeni ana ırk: İnsan
Güçlü — isim/hikâye
Görsel: İnsan görünümlü</t>
        </r>
      </text>
    </comment>
    <comment ref="H95" authorId="0" shapeId="0" xr:uid="{00000000-0006-0000-0A00-00009C000000}">
      <text>
        <r>
          <rPr>
            <sz val="10"/>
            <rFont val="Arial"/>
            <family val="2"/>
            <charset val="162"/>
          </rPr>
          <t>Önceki element: Zehir
Yeni element: Metal
Sınıflar arası dağılım için karakter adı, hikâyesi ve mevcut yetenek temaları birlikte değerlendirildi.</t>
        </r>
      </text>
    </comment>
    <comment ref="F96" authorId="0" shapeId="0" xr:uid="{00000000-0006-0000-0A00-00009D000000}">
      <text>
        <r>
          <rPr>
            <sz val="10"/>
            <rFont val="Arial"/>
            <family val="2"/>
            <charset val="162"/>
          </rPr>
          <t>Önceki taslak: Gölge
Yeni ana ırk: Gölge
Güçlü — isim/hikâye
Görsel: İnsan görünümlü</t>
        </r>
      </text>
    </comment>
    <comment ref="F97" authorId="0" shapeId="0" xr:uid="{00000000-0006-0000-0A00-00009E000000}">
      <text>
        <r>
          <rPr>
            <sz val="10"/>
            <rFont val="Arial"/>
            <family val="2"/>
            <charset val="162"/>
          </rPr>
          <t>Önceki taslak: Gölge
Yeni ana ırk: Gölge
Güçlü — görsel
Görsel: Gölge/ruh-insansı</t>
        </r>
      </text>
    </comment>
    <comment ref="H97" authorId="0" shapeId="0" xr:uid="{00000000-0006-0000-0A00-00009F000000}">
      <text>
        <r>
          <rPr>
            <sz val="10"/>
            <rFont val="Arial"/>
            <family val="2"/>
            <charset val="162"/>
          </rPr>
          <t>Önceki element: Gölge
Yeni element: Ateş
Bu sınıfta element çeşitliliği sağlamak üzere yeni ana güç kaynağı önerildi; hikâye ve yetenek metni değiştirilmedi.</t>
        </r>
      </text>
    </comment>
    <comment ref="F98" authorId="0" shapeId="0" xr:uid="{00000000-0006-0000-0A00-0000A0000000}">
      <text>
        <r>
          <rPr>
            <sz val="10"/>
            <rFont val="Arial"/>
            <family val="2"/>
            <charset val="162"/>
          </rPr>
          <t>Önceki taslak: Gölge
Yeni ana ırk: Gölge
Güçlü — isim/hikâye
Görsel: İnsan görünümlü</t>
        </r>
      </text>
    </comment>
    <comment ref="H98" authorId="0" shapeId="0" xr:uid="{00000000-0006-0000-0A00-0000A1000000}">
      <text>
        <r>
          <rPr>
            <sz val="10"/>
            <rFont val="Arial"/>
            <family val="2"/>
            <charset val="162"/>
          </rPr>
          <t>Önceki element: Gölge
Yeni element: Işık
Sınıflar arası dağılım için karakter adı, hikâyesi ve mevcut yetenek temaları birlikte değerlendirildi.</t>
        </r>
      </text>
    </comment>
    <comment ref="F99" authorId="0" shapeId="0" xr:uid="{00000000-0006-0000-0A00-0000A2000000}">
      <text>
        <r>
          <rPr>
            <sz val="10"/>
            <rFont val="Arial"/>
            <family val="2"/>
            <charset val="162"/>
          </rPr>
          <t>Önceki taslak: Gölge
Yeni ana ırk: Gölge
Güçlü — isim/hikâye
Görsel: İnsan görünümlü</t>
        </r>
      </text>
    </comment>
    <comment ref="H99" authorId="0" shapeId="0" xr:uid="{00000000-0006-0000-0A00-0000A3000000}">
      <text>
        <r>
          <rPr>
            <sz val="10"/>
            <rFont val="Arial"/>
            <family val="2"/>
            <charset val="162"/>
          </rPr>
          <t>Önceki element: Gölge
Yeni element: Işık
Sınıflar arası dağılım için karakter adı, hikâyesi ve mevcut yetenek temaları birlikte değerlendirildi.</t>
        </r>
      </text>
    </comment>
    <comment ref="F100" authorId="0" shapeId="0" xr:uid="{00000000-0006-0000-0A00-0000A4000000}">
      <text>
        <r>
          <rPr>
            <sz val="10"/>
            <rFont val="Arial"/>
            <family val="2"/>
            <charset val="162"/>
          </rPr>
          <t>Önceki taslak: Gölge
Yeni ana ırk: Cüce
Güçlü — görsel
Görsel: Cüce görünümlü | Dağılım revizyonu: Gölge → Cüce.</t>
        </r>
      </text>
    </comment>
    <comment ref="H100" authorId="0" shapeId="0" xr:uid="{00000000-0006-0000-0A00-0000A5000000}">
      <text>
        <r>
          <rPr>
            <sz val="10"/>
            <rFont val="Arial"/>
            <family val="2"/>
            <charset val="162"/>
          </rPr>
          <t>Önceki element: Zehir
Yeni element: Denge
Sınıflar arası dağılım için karakter adı, hikâyesi ve mevcut yetenek temaları birlikte değerlendirildi.</t>
        </r>
      </text>
    </comment>
    <comment ref="F101" authorId="0" shapeId="0" xr:uid="{00000000-0006-0000-0A00-0000A6000000}">
      <text>
        <r>
          <rPr>
            <sz val="10"/>
            <rFont val="Arial"/>
            <family val="2"/>
            <charset val="162"/>
          </rPr>
          <t>Önceki taslak: Gölge
Yeni ana ırk: Gölge
Güçlü — isim/hikâye
Görsel: İnsan görünümlü</t>
        </r>
      </text>
    </comment>
    <comment ref="F102" authorId="0" shapeId="0" xr:uid="{00000000-0006-0000-0A00-0000A7000000}">
      <text>
        <r>
          <rPr>
            <sz val="10"/>
            <rFont val="Arial"/>
            <family val="2"/>
            <charset val="162"/>
          </rPr>
          <t>Önceki taslak: Gölge
Yeni ana ırk: Cüce
Güçlü — görsel
Görsel: Cüce görünümlü | Dağılım revizyonu: Gölge → Cüce.</t>
        </r>
      </text>
    </comment>
    <comment ref="H102" authorId="0" shapeId="0" xr:uid="{00000000-0006-0000-0A00-0000A8000000}">
      <text>
        <r>
          <rPr>
            <sz val="10"/>
            <rFont val="Arial"/>
            <family val="2"/>
            <charset val="162"/>
          </rPr>
          <t>Önceki element: Gölge
Yeni element: Kaos
Sınıflar arası dağılım için karakter adı, hikâyesi ve mevcut yetenek temaları birlikte değerlendirildi.</t>
        </r>
      </text>
    </comment>
    <comment ref="F103" authorId="0" shapeId="0" xr:uid="{00000000-0006-0000-0A00-0000A9000000}">
      <text>
        <r>
          <rPr>
            <sz val="10"/>
            <rFont val="Arial"/>
            <family val="2"/>
            <charset val="162"/>
          </rPr>
          <t>Önceki taslak: Gölge
Yeni ana ırk: Gölge
Güçlü — isim/hikâye
Görsel: İnsan görünümlü</t>
        </r>
      </text>
    </comment>
    <comment ref="H103" authorId="0" shapeId="0" xr:uid="{00000000-0006-0000-0A00-0000AA000000}">
      <text>
        <r>
          <rPr>
            <sz val="10"/>
            <rFont val="Arial"/>
            <family val="2"/>
            <charset val="162"/>
          </rPr>
          <t>Önceki element: Gölge
Yeni element: Astral
Bu sınıfta element çeşitliliği sağlamak üzere yeni ana güç kaynağı önerildi; hikâye ve yetenek metni değiştirilmedi.</t>
        </r>
      </text>
    </comment>
    <comment ref="F104" authorId="0" shapeId="0" xr:uid="{00000000-0006-0000-0A00-0000AB000000}">
      <text>
        <r>
          <rPr>
            <sz val="10"/>
            <rFont val="Arial"/>
            <family val="2"/>
            <charset val="162"/>
          </rPr>
          <t>Önceki taslak: Gölge
Yeni ana ırk: Gölge
Güçlü — görsel
Görsel: Gölge/ruh-insansı</t>
        </r>
      </text>
    </comment>
    <comment ref="H104" authorId="0" shapeId="0" xr:uid="{00000000-0006-0000-0A00-0000AC000000}">
      <text>
        <r>
          <rPr>
            <sz val="10"/>
            <rFont val="Arial"/>
            <family val="2"/>
            <charset val="162"/>
          </rPr>
          <t>Önceki element: Gölge
Yeni element: Astral
Bu sınıfta element çeşitliliği sağlamak üzere yeni ana güç kaynağı önerildi; hikâye ve yetenek metni değiştirilmedi.</t>
        </r>
      </text>
    </comment>
    <comment ref="F105" authorId="0" shapeId="0" xr:uid="{00000000-0006-0000-0A00-0000AD000000}">
      <text>
        <r>
          <rPr>
            <sz val="10"/>
            <rFont val="Arial"/>
            <family val="2"/>
            <charset val="162"/>
          </rPr>
          <t>Önceki taslak: Gölge
Yeni ana ırk: Böceksırt
Kesin — kullanıcı onayı/kuralı
Güvenli görsel eşleşmesi yok; isim ve hikâye kullanıldı. | Dağılım revizyonu: Gölge → Böceksırt.</t>
        </r>
      </text>
    </comment>
    <comment ref="H105" authorId="0" shapeId="0" xr:uid="{00000000-0006-0000-0A00-0000AE000000}">
      <text>
        <r>
          <rPr>
            <sz val="10"/>
            <rFont val="Arial"/>
            <family val="2"/>
            <charset val="162"/>
          </rPr>
          <t>Önceki element: Gölge
Yeni element: Savaş
Sınıflar arası dağılım için karakter adı, hikâyesi ve mevcut yetenek temaları birlikte değerlendirildi.</t>
        </r>
      </text>
    </comment>
    <comment ref="F106" authorId="0" shapeId="0" xr:uid="{00000000-0006-0000-0A00-0000AF000000}">
      <text>
        <r>
          <rPr>
            <sz val="10"/>
            <rFont val="Arial"/>
            <family val="2"/>
            <charset val="162"/>
          </rPr>
          <t>Önceki taslak: Gölge
Yeni ana ırk: Gölge
Güçlü — isim/hikâye
Güvenli görsel eşleşmesi yok; isim ve hikâye kullanıldı.</t>
        </r>
      </text>
    </comment>
    <comment ref="H106" authorId="0" shapeId="0" xr:uid="{00000000-0006-0000-0A00-0000B0000000}">
      <text>
        <r>
          <rPr>
            <sz val="10"/>
            <rFont val="Arial"/>
            <family val="2"/>
            <charset val="162"/>
          </rPr>
          <t>Önceki element: Gölge
Yeni element: Metal
Sınıflar arası dağılım için karakter adı, hikâyesi ve mevcut yetenek temaları birlikte değerlendirildi.</t>
        </r>
      </text>
    </comment>
    <comment ref="F107" authorId="0" shapeId="0" xr:uid="{00000000-0006-0000-0A00-0000B1000000}">
      <text>
        <r>
          <rPr>
            <sz val="10"/>
            <rFont val="Arial"/>
            <family val="2"/>
            <charset val="162"/>
          </rPr>
          <t>Önceki taslak: Astral
Yeni ana ırk: Astral
Güçlü — isim/hikâye
Güvenli görsel eşleşmesi yok; isim ve hikâye kullanıldı.</t>
        </r>
      </text>
    </comment>
    <comment ref="F108" authorId="0" shapeId="0" xr:uid="{00000000-0006-0000-0A00-0000B2000000}">
      <text>
        <r>
          <rPr>
            <sz val="10"/>
            <rFont val="Arial"/>
            <family val="2"/>
            <charset val="162"/>
          </rPr>
          <t>Önceki taslak: Gölge
Yeni ana ırk: Gölge
Güçlü — isim/hikâye
Güvenli görsel eşleşmesi yok; isim ve hikâye kullanıldı.</t>
        </r>
      </text>
    </comment>
    <comment ref="H108" authorId="0" shapeId="0" xr:uid="{00000000-0006-0000-0A00-0000B3000000}">
      <text>
        <r>
          <rPr>
            <sz val="10"/>
            <rFont val="Arial"/>
            <family val="2"/>
            <charset val="162"/>
          </rPr>
          <t>Önceki element: Gölge
Yeni element: Savaş
Sınıflar arası dağılım için karakter adı, hikâyesi ve mevcut yetenek temaları birlikte değerlendirildi.</t>
        </r>
      </text>
    </comment>
    <comment ref="F109" authorId="0" shapeId="0" xr:uid="{00000000-0006-0000-0A00-0000B4000000}">
      <text>
        <r>
          <rPr>
            <sz val="10"/>
            <rFont val="Arial"/>
            <family val="2"/>
            <charset val="162"/>
          </rPr>
          <t>Önceki taslak: Gölge
Yeni ana ırk: Böceksırt
Kesin — kullanıcı onayı/kuralı
Güvenli görsel eşleşmesi yok; isim ve hikâye kullanıldı. | Dağılım revizyonu: Gölge → Böceksırt.</t>
        </r>
      </text>
    </comment>
    <comment ref="H109" authorId="0" shapeId="0" xr:uid="{00000000-0006-0000-0A00-0000B5000000}">
      <text>
        <r>
          <rPr>
            <sz val="10"/>
            <rFont val="Arial"/>
            <family val="2"/>
            <charset val="162"/>
          </rPr>
          <t>Önceki element: Zehir
Yeni element: Arkan
Sınıflar arası dağılım için karakter adı, hikâyesi ve mevcut yetenek temaları birlikte değerlendirildi.</t>
        </r>
      </text>
    </comment>
    <comment ref="F110" authorId="0" shapeId="0" xr:uid="{00000000-0006-0000-0A00-0000B6000000}">
      <text>
        <r>
          <rPr>
            <sz val="10"/>
            <rFont val="Arial"/>
            <family val="2"/>
            <charset val="162"/>
          </rPr>
          <t>Önceki taslak: Gölge
Yeni ana ırk: Gölge
Güçlü — isim/hikâye
Güvenli görsel eşleşmesi yok; isim ve hikâye kullanıldı.</t>
        </r>
      </text>
    </comment>
    <comment ref="H110" authorId="0" shapeId="0" xr:uid="{00000000-0006-0000-0A00-0000B7000000}">
      <text>
        <r>
          <rPr>
            <sz val="10"/>
            <rFont val="Arial"/>
            <family val="2"/>
            <charset val="162"/>
          </rPr>
          <t>Önceki element: Gölge
Yeni element: Metal
Sınıflar arası dağılım için karakter adı, hikâyesi ve mevcut yetenek temaları birlikte değerlendirildi.</t>
        </r>
      </text>
    </comment>
    <comment ref="F111" authorId="0" shapeId="0" xr:uid="{00000000-0006-0000-0A00-0000B8000000}">
      <text>
        <r>
          <rPr>
            <sz val="10"/>
            <rFont val="Arial"/>
            <family val="2"/>
            <charset val="162"/>
          </rPr>
          <t>Önceki taslak: Gölge
Yeni ana ırk: Gölge
Güçlü — isim/hikâye
Güvenli görsel eşleşmesi yok; isim ve hikâye kullanıldı.</t>
        </r>
      </text>
    </comment>
    <comment ref="H111" authorId="0" shapeId="0" xr:uid="{00000000-0006-0000-0A00-0000B9000000}">
      <text>
        <r>
          <rPr>
            <sz val="10"/>
            <rFont val="Arial"/>
            <family val="2"/>
            <charset val="162"/>
          </rPr>
          <t>Önceki element: Gölge
Yeni element: Metal
Sınıflar arası dağılım için karakter adı, hikâyesi ve mevcut yetenek temaları birlikte değerlendirildi.</t>
        </r>
      </text>
    </comment>
    <comment ref="F112" authorId="0" shapeId="0" xr:uid="{00000000-0006-0000-0A00-0000BA000000}">
      <text>
        <r>
          <rPr>
            <sz val="10"/>
            <rFont val="Arial"/>
            <family val="2"/>
            <charset val="162"/>
          </rPr>
          <t>Önceki taslak: Gölge
Yeni ana ırk: Gölge
Güçlü — isim/hikâye
Güvenli görsel eşleşmesi yok; isim ve hikâye kullanıldı.</t>
        </r>
      </text>
    </comment>
    <comment ref="H112" authorId="0" shapeId="0" xr:uid="{00000000-0006-0000-0A00-0000BB000000}">
      <text>
        <r>
          <rPr>
            <sz val="10"/>
            <rFont val="Arial"/>
            <family val="2"/>
            <charset val="162"/>
          </rPr>
          <t>Önceki element: Gölge
Yeni element: Enerji
Sınıflar arası dağılım için karakter adı, hikâyesi ve mevcut yetenek temaları birlikte değerlendirildi.</t>
        </r>
      </text>
    </comment>
    <comment ref="F113" authorId="0" shapeId="0" xr:uid="{00000000-0006-0000-0A00-0000BC000000}">
      <text>
        <r>
          <rPr>
            <sz val="10"/>
            <rFont val="Arial"/>
            <family val="2"/>
            <charset val="162"/>
          </rPr>
          <t>Önceki taslak: Ölümsüz
Yeni ana ırk: Ölümsüz
Güçlü — isim/hikâye
Güvenli görsel eşleşmesi yok; isim ve hikâye kullanıldı.</t>
        </r>
      </text>
    </comment>
    <comment ref="F114" authorId="0" shapeId="0" xr:uid="{00000000-0006-0000-0A00-0000BD000000}">
      <text>
        <r>
          <rPr>
            <sz val="10"/>
            <rFont val="Arial"/>
            <family val="2"/>
            <charset val="162"/>
          </rPr>
          <t>Önceki taslak: Gölge
Yeni ana ırk: Mutant
Dengeleme — kontrol önerilir
Güvenli görsel eşleşmesi yok; isim ve hikâye kullanıldı. | Dağılım revizyonu: Gölge → Mutant.</t>
        </r>
      </text>
    </comment>
    <comment ref="H114" authorId="0" shapeId="0" xr:uid="{00000000-0006-0000-0A00-0000BE000000}">
      <text>
        <r>
          <rPr>
            <sz val="10"/>
            <rFont val="Arial"/>
            <family val="2"/>
            <charset val="162"/>
          </rPr>
          <t>Önceki element: Gölge
Yeni element: Kaos
Sınıflar arası dağılım için karakter adı, hikâyesi ve mevcut yetenek temaları birlikte değerlendirildi.</t>
        </r>
      </text>
    </comment>
    <comment ref="F115" authorId="0" shapeId="0" xr:uid="{00000000-0006-0000-0A00-0000BF000000}">
      <text>
        <r>
          <rPr>
            <sz val="10"/>
            <rFont val="Arial"/>
            <family val="2"/>
            <charset val="162"/>
          </rPr>
          <t>Önceki taslak: Gölge
Yeni ana ırk: Gölge
Güçlü — isim/hikâye
Güvenli görsel eşleşmesi yok; isim ve hikâye kullanıldı.</t>
        </r>
      </text>
    </comment>
    <comment ref="H115" authorId="0" shapeId="0" xr:uid="{00000000-0006-0000-0A00-0000C0000000}">
      <text>
        <r>
          <rPr>
            <sz val="10"/>
            <rFont val="Arial"/>
            <family val="2"/>
            <charset val="162"/>
          </rPr>
          <t>Önceki element: Kaos
Yeni element: Ruh
Sınıflar arası dağılım için karakter adı, hikâyesi ve mevcut yetenek temaları birlikte değerlendirildi.</t>
        </r>
      </text>
    </comment>
    <comment ref="F116" authorId="0" shapeId="0" xr:uid="{00000000-0006-0000-0A00-0000C1000000}">
      <text>
        <r>
          <rPr>
            <sz val="10"/>
            <rFont val="Arial"/>
            <family val="2"/>
            <charset val="162"/>
          </rPr>
          <t>Önceki taslak: Sürüngensoy
Yeni ana ırk: Sürüngensoy
Kesin — kullanıcı onayı/kuralı
Güvenli görsel eşleşmesi yok; isim ve hikâye kullanıldı.</t>
        </r>
      </text>
    </comment>
    <comment ref="H116" authorId="0" shapeId="0" xr:uid="{00000000-0006-0000-0A00-0000C2000000}">
      <text>
        <r>
          <rPr>
            <sz val="10"/>
            <rFont val="Arial"/>
            <family val="2"/>
            <charset val="162"/>
          </rPr>
          <t>Önceki element: Gölge
Yeni element: Doğa
Sınıflar arası dağılım için karakter adı, hikâyesi ve mevcut yetenek temaları birlikte değerlendirildi.</t>
        </r>
      </text>
    </comment>
    <comment ref="F117" authorId="0" shapeId="0" xr:uid="{00000000-0006-0000-0A00-0000C3000000}">
      <text>
        <r>
          <rPr>
            <sz val="10"/>
            <rFont val="Arial"/>
            <family val="2"/>
            <charset val="162"/>
          </rPr>
          <t>Önceki taslak: Ölümsüz
Yeni ana ırk: Ölümsüz
Güçlü — isim/hikâye
Güvenli görsel eşleşmesi yok; isim ve hikâye kullanıldı.</t>
        </r>
      </text>
    </comment>
    <comment ref="H117" authorId="0" shapeId="0" xr:uid="{00000000-0006-0000-0A00-0000C4000000}">
      <text>
        <r>
          <rPr>
            <sz val="10"/>
            <rFont val="Arial"/>
            <family val="2"/>
            <charset val="162"/>
          </rPr>
          <t>Önceki element: Gölge
Yeni element: Yaşam
Sınıflar arası dağılım için karakter adı, hikâyesi ve mevcut yetenek temaları birlikte değerlendirildi.</t>
        </r>
      </text>
    </comment>
    <comment ref="F118" authorId="0" shapeId="0" xr:uid="{00000000-0006-0000-0A00-0000C5000000}">
      <text>
        <r>
          <rPr>
            <sz val="10"/>
            <rFont val="Arial"/>
            <family val="2"/>
            <charset val="162"/>
          </rPr>
          <t>Önceki taslak: Gölge
Yeni ana ırk: Böceksırt
Kesin — kullanıcı onayı/kuralı
Güvenli görsel eşleşmesi yok; isim ve hikâye kullanıldı. | Dağılım revizyonu: Gölge → Böceksırt.</t>
        </r>
      </text>
    </comment>
    <comment ref="H118" authorId="0" shapeId="0" xr:uid="{00000000-0006-0000-0A00-0000C6000000}">
      <text>
        <r>
          <rPr>
            <sz val="10"/>
            <rFont val="Arial"/>
            <family val="2"/>
            <charset val="162"/>
          </rPr>
          <t>Önceki element: Gölge
Yeni element: Fırtına
Sınıflar arası dağılım için karakter adı, hikâyesi ve mevcut yetenek temaları birlikte değerlendirildi.</t>
        </r>
      </text>
    </comment>
    <comment ref="F119" authorId="0" shapeId="0" xr:uid="{00000000-0006-0000-0A00-0000C7000000}">
      <text>
        <r>
          <rPr>
            <sz val="10"/>
            <rFont val="Arial"/>
            <family val="2"/>
            <charset val="162"/>
          </rPr>
          <t>Önceki taslak: Gölge
Yeni ana ırk: Gölge
Güçlü — isim/hikâye
Güvenli görsel eşleşmesi yok; isim ve hikâye kullanıldı.</t>
        </r>
      </text>
    </comment>
    <comment ref="H119" authorId="0" shapeId="0" xr:uid="{00000000-0006-0000-0A00-0000C8000000}">
      <text>
        <r>
          <rPr>
            <sz val="10"/>
            <rFont val="Arial"/>
            <family val="2"/>
            <charset val="162"/>
          </rPr>
          <t>Önceki element: Gölge
Yeni element: Işık
Sınıflar arası dağılım için karakter adı, hikâyesi ve mevcut yetenek temaları birlikte değerlendirildi.</t>
        </r>
      </text>
    </comment>
    <comment ref="F120" authorId="0" shapeId="0" xr:uid="{00000000-0006-0000-0A00-0000C9000000}">
      <text>
        <r>
          <rPr>
            <sz val="10"/>
            <rFont val="Arial"/>
            <family val="2"/>
            <charset val="162"/>
          </rPr>
          <t>Önceki taslak: Gölge
Yeni ana ırk: Böceksırt
Kesin — kullanıcı onayı/kuralı
Güvenli görsel eşleşmesi yok; isim ve hikâye kullanıldı. | Dağılım revizyonu: Gölge → Böceksırt.</t>
        </r>
      </text>
    </comment>
    <comment ref="H120" authorId="0" shapeId="0" xr:uid="{00000000-0006-0000-0A00-0000CA000000}">
      <text>
        <r>
          <rPr>
            <sz val="10"/>
            <rFont val="Arial"/>
            <family val="2"/>
            <charset val="162"/>
          </rPr>
          <t>Önceki element: Gölge
Yeni element: Arkan
Sınıflar arası dağılım için karakter adı, hikâyesi ve mevcut yetenek temaları birlikte değerlendirildi.</t>
        </r>
      </text>
    </comment>
    <comment ref="F121" authorId="0" shapeId="0" xr:uid="{00000000-0006-0000-0A00-0000CB000000}">
      <text>
        <r>
          <rPr>
            <sz val="10"/>
            <rFont val="Arial"/>
            <family val="2"/>
            <charset val="162"/>
          </rPr>
          <t>Önceki taslak: Gölge
Yeni ana ırk: Gölge
Güçlü — isim/hikâye
Güvenli görsel eşleşmesi yok; isim ve hikâye kullanıldı.</t>
        </r>
      </text>
    </comment>
    <comment ref="H121" authorId="0" shapeId="0" xr:uid="{00000000-0006-0000-0A00-0000CC000000}">
      <text>
        <r>
          <rPr>
            <sz val="10"/>
            <rFont val="Arial"/>
            <family val="2"/>
            <charset val="162"/>
          </rPr>
          <t>Önceki element: Gölge
Yeni element: Arkan
Bu sınıfta element çeşitliliği sağlamak üzere yeni ana güç kaynağı önerildi; hikâye ve yetenek metni değiştirilmedi.</t>
        </r>
      </text>
    </comment>
    <comment ref="F122" authorId="0" shapeId="0" xr:uid="{00000000-0006-0000-0A00-0000CD000000}">
      <text>
        <r>
          <rPr>
            <sz val="10"/>
            <rFont val="Arial"/>
            <family val="2"/>
            <charset val="162"/>
          </rPr>
          <t>Önceki taslak: Astral
Yeni ana ırk: Astral
Güçlü — isim/hikâye
Güvenli görsel eşleşmesi yok; isim ve hikâye kullanıldı.</t>
        </r>
      </text>
    </comment>
    <comment ref="F123" authorId="0" shapeId="0" xr:uid="{00000000-0006-0000-0A00-0000CE000000}">
      <text>
        <r>
          <rPr>
            <sz val="10"/>
            <rFont val="Arial"/>
            <family val="2"/>
            <charset val="162"/>
          </rPr>
          <t>Önceki taslak: Astral
Yeni ana ırk: Astral
Güçlü — isim/hikâye
Güvenli görsel eşleşmesi yok; isim ve hikâye kullanıldı.</t>
        </r>
      </text>
    </comment>
    <comment ref="H123" authorId="0" shapeId="0" xr:uid="{00000000-0006-0000-0A00-0000CF000000}">
      <text>
        <r>
          <rPr>
            <sz val="10"/>
            <rFont val="Arial"/>
            <family val="2"/>
            <charset val="162"/>
          </rPr>
          <t>Önceki element: Zaman
Yeni element: Astral
Sınıflar arası dağılım için karakter adı, hikâyesi ve mevcut yetenek temaları birlikte değerlendirildi.</t>
        </r>
      </text>
    </comment>
    <comment ref="F124" authorId="0" shapeId="0" xr:uid="{00000000-0006-0000-0A00-0000D0000000}">
      <text>
        <r>
          <rPr>
            <sz val="10"/>
            <rFont val="Arial"/>
            <family val="2"/>
            <charset val="162"/>
          </rPr>
          <t>Önceki taslak: Gölge
Yeni ana ırk: Gölge
Güçlü — isim/hikâye
Güvenli görsel eşleşmesi yok; isim ve hikâye kullanıldı.</t>
        </r>
      </text>
    </comment>
    <comment ref="F125" authorId="0" shapeId="0" xr:uid="{00000000-0006-0000-0A00-0000D1000000}">
      <text>
        <r>
          <rPr>
            <sz val="10"/>
            <rFont val="Arial"/>
            <family val="2"/>
            <charset val="162"/>
          </rPr>
          <t>Önceki taslak: Gölge
Yeni ana ırk: Gölge
Güçlü — isim/hikâye
Güvenli görsel eşleşmesi yok; isim ve hikâye kullanıldı.</t>
        </r>
      </text>
    </comment>
    <comment ref="H125" authorId="0" shapeId="0" xr:uid="{00000000-0006-0000-0A00-0000D2000000}">
      <text>
        <r>
          <rPr>
            <sz val="10"/>
            <rFont val="Arial"/>
            <family val="2"/>
            <charset val="162"/>
          </rPr>
          <t>Önceki element: Kaos
Yeni element: Arkan
Sınıflar arası dağılım için karakter adı, hikâyesi ve mevcut yetenek temaları birlikte değerlendirildi.</t>
        </r>
      </text>
    </comment>
    <comment ref="F126" authorId="0" shapeId="0" xr:uid="{00000000-0006-0000-0A00-0000D3000000}">
      <text>
        <r>
          <rPr>
            <sz val="10"/>
            <rFont val="Arial"/>
            <family val="2"/>
            <charset val="162"/>
          </rPr>
          <t>Önceki taslak: Gölge
Yeni ana ırk: Gölge
Güçlü — isim/hikâye
Güvenli görsel eşleşmesi yok; isim ve hikâye kullanıldı.</t>
        </r>
      </text>
    </comment>
    <comment ref="F127" authorId="0" shapeId="0" xr:uid="{00000000-0006-0000-0A00-0000D4000000}">
      <text>
        <r>
          <rPr>
            <sz val="10"/>
            <rFont val="Arial"/>
            <family val="2"/>
            <charset val="162"/>
          </rPr>
          <t>Önceki taslak: İnsan
Yeni ana ırk: İnsan
Güçlü — isim/hikâye
Görsel: İnsan görünümlü</t>
        </r>
      </text>
    </comment>
    <comment ref="F128" authorId="0" shapeId="0" xr:uid="{00000000-0006-0000-0A00-0000D5000000}">
      <text>
        <r>
          <rPr>
            <sz val="10"/>
            <rFont val="Arial"/>
            <family val="2"/>
            <charset val="162"/>
          </rPr>
          <t>Önceki taslak: Canavar
Yeni ana ırk: Canavar
Güçlü — görsel
Görsel: Hayvan/kanatlı hayvan-insansı</t>
        </r>
      </text>
    </comment>
    <comment ref="H128" authorId="0" shapeId="0" xr:uid="{00000000-0006-0000-0A00-0000D6000000}">
      <text>
        <r>
          <rPr>
            <sz val="10"/>
            <rFont val="Arial"/>
            <family val="2"/>
            <charset val="162"/>
          </rPr>
          <t>Önceki element: Metal
Yeni element: Toprak
Sınıflar arası dağılım için karakter adı, hikâyesi ve mevcut yetenek temaları birlikte değerlendirildi.</t>
        </r>
      </text>
    </comment>
    <comment ref="F129" authorId="0" shapeId="0" xr:uid="{00000000-0006-0000-0A00-0000D7000000}">
      <text>
        <r>
          <rPr>
            <sz val="10"/>
            <rFont val="Arial"/>
            <family val="2"/>
            <charset val="162"/>
          </rPr>
          <t>Önceki taslak: İnsan
Yeni ana ırk: İnsan
Güçlü — isim/hikâye
Görsel: İnsan görünümlü</t>
        </r>
      </text>
    </comment>
    <comment ref="H129" authorId="0" shapeId="0" xr:uid="{00000000-0006-0000-0A00-0000D8000000}">
      <text>
        <r>
          <rPr>
            <sz val="10"/>
            <rFont val="Arial"/>
            <family val="2"/>
            <charset val="162"/>
          </rPr>
          <t>Önceki element: Toprak
Yeni element: Metal
Zincir halkalarıyla örülen koruma.</t>
        </r>
      </text>
    </comment>
    <comment ref="F130" authorId="0" shapeId="0" xr:uid="{00000000-0006-0000-0A00-0000D9000000}">
      <text>
        <r>
          <rPr>
            <sz val="10"/>
            <rFont val="Arial"/>
            <family val="2"/>
            <charset val="162"/>
          </rPr>
          <t>Önceki taslak: Ejdersoy
Yeni ana ırk: Sürüngensoy
Kesin — kullanıcı onayı/kuralı
Görsel: Ejderha | Dağılım revizyonu: Ejdersoy → Sürüngensoy.</t>
        </r>
      </text>
    </comment>
    <comment ref="F131" authorId="0" shapeId="0" xr:uid="{00000000-0006-0000-0A00-0000DA000000}">
      <text>
        <r>
          <rPr>
            <sz val="10"/>
            <rFont val="Arial"/>
            <family val="2"/>
            <charset val="162"/>
          </rPr>
          <t>Önceki taslak: Ölümsüz
Yeni ana ırk: Ölümsüz
Kesin — kullanıcı onayı/kuralı
Görsel: İnsan görünümlü</t>
        </r>
      </text>
    </comment>
    <comment ref="H131" authorId="0" shapeId="0" xr:uid="{00000000-0006-0000-0A00-0000DB000000}">
      <text>
        <r>
          <rPr>
            <sz val="10"/>
            <rFont val="Arial"/>
            <family val="2"/>
            <charset val="162"/>
          </rPr>
          <t>Önceki element: Kaos
Yeni element: Savaş
Sınıflar arası dağılım için karakter adı, hikâyesi ve mevcut yetenek temaları birlikte değerlendirildi.</t>
        </r>
      </text>
    </comment>
    <comment ref="F132" authorId="0" shapeId="0" xr:uid="{00000000-0006-0000-0A00-0000DC000000}">
      <text>
        <r>
          <rPr>
            <sz val="10"/>
            <rFont val="Arial"/>
            <family val="2"/>
            <charset val="162"/>
          </rPr>
          <t>Önceki taslak: Ölümsüz
Yeni ana ırk: Ölümsüz
Kesin — kullanıcı onayı/kuralı
Görsel: Mutant/golem-insansı</t>
        </r>
      </text>
    </comment>
    <comment ref="H132" authorId="0" shapeId="0" xr:uid="{00000000-0006-0000-0A00-0000DD000000}">
      <text>
        <r>
          <rPr>
            <sz val="10"/>
            <rFont val="Arial"/>
            <family val="2"/>
            <charset val="162"/>
          </rPr>
          <t>Önceki element: Kaos
Yeni element: Yaşam
Sınıflar arası dağılım için karakter adı, hikâyesi ve mevcut yetenek temaları birlikte değerlendirildi.</t>
        </r>
      </text>
    </comment>
    <comment ref="F133" authorId="0" shapeId="0" xr:uid="{00000000-0006-0000-0A00-0000DE000000}">
      <text>
        <r>
          <rPr>
            <sz val="10"/>
            <rFont val="Arial"/>
            <family val="2"/>
            <charset val="162"/>
          </rPr>
          <t>Önceki taslak: Ölümsüz
Yeni ana ırk: Ölümsüz
Kesin — kullanıcı onayı/kuralı
Görsel: Melek/kanatlı insansı</t>
        </r>
      </text>
    </comment>
    <comment ref="H133" authorId="0" shapeId="0" xr:uid="{00000000-0006-0000-0A00-0000DF000000}">
      <text>
        <r>
          <rPr>
            <sz val="10"/>
            <rFont val="Arial"/>
            <family val="2"/>
            <charset val="162"/>
          </rPr>
          <t>Önceki element: Kaos
Yeni element: Yaşam
Sınıflar arası dağılım için karakter adı, hikâyesi ve mevcut yetenek temaları birlikte değerlendirildi.</t>
        </r>
      </text>
    </comment>
    <comment ref="F134" authorId="0" shapeId="0" xr:uid="{00000000-0006-0000-0A00-0000E0000000}">
      <text>
        <r>
          <rPr>
            <sz val="10"/>
            <rFont val="Arial"/>
            <family val="2"/>
            <charset val="162"/>
          </rPr>
          <t>Önceki taslak: Ölümsüz
Yeni ana ırk: Ölümsüz
Kesin — kullanıcı onayı/kuralı
Görsel: Melek/kanatlı insansı</t>
        </r>
      </text>
    </comment>
    <comment ref="H134" authorId="0" shapeId="0" xr:uid="{00000000-0006-0000-0A00-0000E1000000}">
      <text>
        <r>
          <rPr>
            <sz val="10"/>
            <rFont val="Arial"/>
            <family val="2"/>
            <charset val="162"/>
          </rPr>
          <t>Önceki element: Kaos
Yeni element: Yaşam
Sınıflar arası dağılım için karakter adı, hikâyesi ve mevcut yetenek temaları birlikte değerlendirildi.</t>
        </r>
      </text>
    </comment>
    <comment ref="F135" authorId="0" shapeId="0" xr:uid="{00000000-0006-0000-0A00-0000E2000000}">
      <text>
        <r>
          <rPr>
            <sz val="10"/>
            <rFont val="Arial"/>
            <family val="2"/>
            <charset val="162"/>
          </rPr>
          <t>Önceki taslak: Ölümsüz
Yeni ana ırk: Ölümsüz
Kesin — kullanıcı onayı/kuralı
Görsel: İblis/kanatlı insansı</t>
        </r>
      </text>
    </comment>
    <comment ref="F136" authorId="0" shapeId="0" xr:uid="{00000000-0006-0000-0A00-0000E3000000}">
      <text>
        <r>
          <rPr>
            <sz val="10"/>
            <rFont val="Arial"/>
            <family val="2"/>
            <charset val="162"/>
          </rPr>
          <t>Önceki taslak: Ölümsüz
Yeni ana ırk: Ölümsüz
Kesin — kullanıcı onayı/kuralı
Görsel: Ejder/kanatlı sürüngen-insansı</t>
        </r>
      </text>
    </comment>
    <comment ref="F137" authorId="0" shapeId="0" xr:uid="{00000000-0006-0000-0A00-0000E4000000}">
      <text>
        <r>
          <rPr>
            <sz val="10"/>
            <rFont val="Arial"/>
            <family val="2"/>
            <charset val="162"/>
          </rPr>
          <t>Önceki taslak: Ölümsüz
Yeni ana ırk: Ölümsüz
Kesin — kullanıcı onayı/kuralı
Güvenli görsel eşleşmesi yok; isim ve hikâye kullanıldı.</t>
        </r>
      </text>
    </comment>
    <comment ref="H137" authorId="0" shapeId="0" xr:uid="{00000000-0006-0000-0A00-0000E5000000}">
      <text>
        <r>
          <rPr>
            <sz val="10"/>
            <rFont val="Arial"/>
            <family val="2"/>
            <charset val="162"/>
          </rPr>
          <t>Önceki element: Kaos
Yeni element: Ruh
Sınıflar arası dağılım için karakter adı, hikâyesi ve mevcut yetenek temaları birlikte değerlendirildi.</t>
        </r>
      </text>
    </comment>
    <comment ref="F138" authorId="0" shapeId="0" xr:uid="{00000000-0006-0000-0A00-0000E6000000}">
      <text>
        <r>
          <rPr>
            <sz val="10"/>
            <rFont val="Arial"/>
            <family val="2"/>
            <charset val="162"/>
          </rPr>
          <t>Önceki taslak: Ölümsüz
Yeni ana ırk: Ölümsüz
Kesin — kullanıcı onayı/kuralı
Görsel: İnsan görünümlü</t>
        </r>
      </text>
    </comment>
    <comment ref="H138" authorId="0" shapeId="0" xr:uid="{00000000-0006-0000-0A00-0000E7000000}">
      <text>
        <r>
          <rPr>
            <sz val="10"/>
            <rFont val="Arial"/>
            <family val="2"/>
            <charset val="162"/>
          </rPr>
          <t>Önceki element: Kaos
Yeni element: Ruh
Sınıflar arası dağılım için karakter adı, hikâyesi ve mevcut yetenek temaları birlikte değerlendirildi.</t>
        </r>
      </text>
    </comment>
    <comment ref="F139" authorId="0" shapeId="0" xr:uid="{00000000-0006-0000-0A00-0000E8000000}">
      <text>
        <r>
          <rPr>
            <sz val="10"/>
            <rFont val="Arial"/>
            <family val="2"/>
            <charset val="162"/>
          </rPr>
          <t>Önceki taslak: Ejdersoy
Yeni ana ırk: Dev
Kesin — kullanıcı onayı/kuralı
Görsel: Ejder/kanatlı sürüngen-insansı | Dağılım revizyonu: Ejdersoy → Dev.</t>
        </r>
      </text>
    </comment>
    <comment ref="H139" authorId="0" shapeId="0" xr:uid="{00000000-0006-0000-0A00-0000E9000000}">
      <text>
        <r>
          <rPr>
            <sz val="10"/>
            <rFont val="Arial"/>
            <family val="2"/>
            <charset val="162"/>
          </rPr>
          <t>Önceki element: Metal
Yeni element: Denge
Yıkım için yetişen devin gücünü korumaya yöneltmesi.</t>
        </r>
      </text>
    </comment>
    <comment ref="F140" authorId="0" shapeId="0" xr:uid="{00000000-0006-0000-0A00-0000EA000000}">
      <text>
        <r>
          <rPr>
            <sz val="10"/>
            <rFont val="Arial"/>
            <family val="2"/>
            <charset val="162"/>
          </rPr>
          <t>Önceki taslak: Ejdersoy
Yeni ana ırk: Ejdersoy
Güçlü — görsel
Görsel: Ejder/kanatlı sürüngen-insansı</t>
        </r>
      </text>
    </comment>
    <comment ref="F141" authorId="0" shapeId="0" xr:uid="{00000000-0006-0000-0A00-0000EB000000}">
      <text>
        <r>
          <rPr>
            <sz val="10"/>
            <rFont val="Arial"/>
            <family val="2"/>
            <charset val="162"/>
          </rPr>
          <t>Önceki taslak: Ejdersoy
Yeni ana ırk: Ejdersoy
Güçlü — görsel
Görsel: Ejder/kanatlı sürüngen-insansı</t>
        </r>
      </text>
    </comment>
    <comment ref="H141" authorId="0" shapeId="0" xr:uid="{00000000-0006-0000-0A00-0000EC000000}">
      <text>
        <r>
          <rPr>
            <sz val="10"/>
            <rFont val="Arial"/>
            <family val="2"/>
            <charset val="162"/>
          </rPr>
          <t>Önceki element: Metal
Yeni element: Arkan
Bu sınıfta element çeşitliliği sağlamak üzere yeni ana güç kaynağı önerildi; hikâye ve yetenek metni değiştirilmedi.</t>
        </r>
      </text>
    </comment>
    <comment ref="F142" authorId="0" shapeId="0" xr:uid="{00000000-0006-0000-0A00-0000ED000000}">
      <text>
        <r>
          <rPr>
            <sz val="10"/>
            <rFont val="Arial"/>
            <family val="2"/>
            <charset val="162"/>
          </rPr>
          <t>Önceki taslak: Ejdersoy
Yeni ana ırk: Ejdersoy
Güçlü — görsel
Görsel: Ejder/kanatlı sürüngen-insansı</t>
        </r>
      </text>
    </comment>
    <comment ref="F143" authorId="0" shapeId="0" xr:uid="{00000000-0006-0000-0A00-0000EE000000}">
      <text>
        <r>
          <rPr>
            <sz val="10"/>
            <rFont val="Arial"/>
            <family val="2"/>
            <charset val="162"/>
          </rPr>
          <t>Önceki taslak: Ejdersoy
Yeni ana ırk: Ejdersoy
Güçlü — görsel
Görsel: Ejder/kanatlı sürüngen-insansı</t>
        </r>
      </text>
    </comment>
    <comment ref="F144" authorId="0" shapeId="0" xr:uid="{00000000-0006-0000-0A00-0000EF000000}">
      <text>
        <r>
          <rPr>
            <sz val="10"/>
            <rFont val="Arial"/>
            <family val="2"/>
            <charset val="162"/>
          </rPr>
          <t>Önceki taslak: İnsan
Yeni ana ırk: İnsan
Güçlü — isim/hikâye
Görsel: İnsan görünümlü</t>
        </r>
      </text>
    </comment>
    <comment ref="H144" authorId="0" shapeId="0" xr:uid="{00000000-0006-0000-0A00-0000F0000000}">
      <text>
        <r>
          <rPr>
            <sz val="10"/>
            <rFont val="Arial"/>
            <family val="2"/>
            <charset val="162"/>
          </rPr>
          <t>Önceki element: Metal
Yeni element: Fırtına
Yelkende biriken rüzgâr.</t>
        </r>
      </text>
    </comment>
    <comment ref="F145" authorId="0" shapeId="0" xr:uid="{00000000-0006-0000-0A00-0000F1000000}">
      <text>
        <r>
          <rPr>
            <sz val="10"/>
            <rFont val="Arial"/>
            <family val="2"/>
            <charset val="162"/>
          </rPr>
          <t>Önceki taslak: Cüce
Yeni ana ırk: Cüce
Güçlü — görsel
Görsel: Cüce görünümlü</t>
        </r>
      </text>
    </comment>
    <comment ref="H145" authorId="0" shapeId="0" xr:uid="{00000000-0006-0000-0A00-0000F2000000}">
      <text>
        <r>
          <rPr>
            <sz val="10"/>
            <rFont val="Arial"/>
            <family val="2"/>
            <charset val="162"/>
          </rPr>
          <t>Önceki element: Metal
Yeni element: Işık
Sınıflar arası dağılım için karakter adı, hikâyesi ve mevcut yetenek temaları birlikte değerlendirildi.</t>
        </r>
      </text>
    </comment>
    <comment ref="F146" authorId="0" shapeId="0" xr:uid="{00000000-0006-0000-0A00-0000F3000000}">
      <text>
        <r>
          <rPr>
            <sz val="10"/>
            <rFont val="Arial"/>
            <family val="2"/>
            <charset val="162"/>
          </rPr>
          <t>Önceki taslak: Cüce
Yeni ana ırk: Cüce
Güçlü — görsel
Görsel: Cüce görünümlü</t>
        </r>
      </text>
    </comment>
    <comment ref="F147" authorId="0" shapeId="0" xr:uid="{00000000-0006-0000-0A00-0000F4000000}">
      <text>
        <r>
          <rPr>
            <sz val="10"/>
            <rFont val="Arial"/>
            <family val="2"/>
            <charset val="162"/>
          </rPr>
          <t>Önceki taslak: Cüce
Yeni ana ırk: Cüce
Güçlü — görsel
Görsel: Cüce görünümlü</t>
        </r>
      </text>
    </comment>
    <comment ref="H147" authorId="0" shapeId="0" xr:uid="{00000000-0006-0000-0A00-0000F5000000}">
      <text>
        <r>
          <rPr>
            <sz val="10"/>
            <rFont val="Arial"/>
            <family val="2"/>
            <charset val="162"/>
          </rPr>
          <t>Önceki element: Metal
Yeni element: Toprak
Zırhındaki kum ve gömülen maden ocağı.</t>
        </r>
      </text>
    </comment>
    <comment ref="F148" authorId="0" shapeId="0" xr:uid="{00000000-0006-0000-0A00-0000F6000000}">
      <text>
        <r>
          <rPr>
            <sz val="10"/>
            <rFont val="Arial"/>
            <family val="2"/>
            <charset val="162"/>
          </rPr>
          <t>Önceki taslak: Cüce
Yeni ana ırk: Cüce
Güçlü — görsel
Görsel: Cüce görünümlü</t>
        </r>
      </text>
    </comment>
    <comment ref="F149" authorId="0" shapeId="0" xr:uid="{00000000-0006-0000-0A00-0000F7000000}">
      <text>
        <r>
          <rPr>
            <sz val="10"/>
            <rFont val="Arial"/>
            <family val="2"/>
            <charset val="162"/>
          </rPr>
          <t>Önceki taslak: Cüce
Yeni ana ırk: Cüce
Güçlü — görsel
Görsel: Cüce görünümlü</t>
        </r>
      </text>
    </comment>
    <comment ref="F150" authorId="0" shapeId="0" xr:uid="{00000000-0006-0000-0A00-0000F8000000}">
      <text>
        <r>
          <rPr>
            <sz val="10"/>
            <rFont val="Arial"/>
            <family val="2"/>
            <charset val="162"/>
          </rPr>
          <t>Önceki taslak: Ölümsüz
Yeni ana ırk: Ölümsüz
Kesin — kullanıcı onayı/kuralı
Görsel: Melek/kanatlı insansı</t>
        </r>
      </text>
    </comment>
    <comment ref="H150" authorId="0" shapeId="0" xr:uid="{00000000-0006-0000-0A00-0000F9000000}">
      <text>
        <r>
          <rPr>
            <sz val="10"/>
            <rFont val="Arial"/>
            <family val="2"/>
            <charset val="162"/>
          </rPr>
          <t>Önceki element: Kaos
Yeni element: Savaş
Sınıflar arası dağılım için karakter adı, hikâyesi ve mevcut yetenek temaları birlikte değerlendirildi.</t>
        </r>
      </text>
    </comment>
    <comment ref="F151" authorId="0" shapeId="0" xr:uid="{00000000-0006-0000-0A00-0000FA000000}">
      <text>
        <r>
          <rPr>
            <sz val="10"/>
            <rFont val="Arial"/>
            <family val="2"/>
            <charset val="162"/>
          </rPr>
          <t>Önceki taslak: Cüce
Yeni ana ırk: Cüce
Güçlü — görsel
Görsel: Cüce görünümlü</t>
        </r>
      </text>
    </comment>
    <comment ref="F152" authorId="0" shapeId="0" xr:uid="{00000000-0006-0000-0A00-0000FB000000}">
      <text>
        <r>
          <rPr>
            <sz val="10"/>
            <rFont val="Arial"/>
            <family val="2"/>
            <charset val="162"/>
          </rPr>
          <t>Önceki taslak: Cüce
Yeni ana ırk: Cüce
Güçlü — görsel
Görsel: Cüce görünümlü</t>
        </r>
      </text>
    </comment>
    <comment ref="H152" authorId="0" shapeId="0" xr:uid="{00000000-0006-0000-0A00-0000FC000000}">
      <text>
        <r>
          <rPr>
            <sz val="10"/>
            <rFont val="Arial"/>
            <family val="2"/>
            <charset val="162"/>
          </rPr>
          <t>Önceki element: Metal
Yeni element: Zihin
Sınıflar arası dağılım için karakter adı, hikâyesi ve mevcut yetenek temaları birlikte değerlendirildi.</t>
        </r>
      </text>
    </comment>
    <comment ref="F153" authorId="0" shapeId="0" xr:uid="{00000000-0006-0000-0A00-0000FD000000}">
      <text>
        <r>
          <rPr>
            <sz val="10"/>
            <rFont val="Arial"/>
            <family val="2"/>
            <charset val="162"/>
          </rPr>
          <t>Önceki taslak: Cüce
Yeni ana ırk: Cüce
Güçlü — görsel
Görsel: Cüce görünümlü</t>
        </r>
      </text>
    </comment>
    <comment ref="F154" authorId="0" shapeId="0" xr:uid="{00000000-0006-0000-0A00-0000FE000000}">
      <text>
        <r>
          <rPr>
            <sz val="10"/>
            <rFont val="Arial"/>
            <family val="2"/>
            <charset val="162"/>
          </rPr>
          <t>Önceki taslak: İnsan
Yeni ana ırk: Astral
Dengeleme — kontrol önerilir
Görsel: İnsan görünümlü | Dağılım revizyonu: İnsan → Astral.</t>
        </r>
      </text>
    </comment>
    <comment ref="H154" authorId="0" shapeId="0" xr:uid="{00000000-0006-0000-0A00-0000FF000000}">
      <text>
        <r>
          <rPr>
            <sz val="10"/>
            <rFont val="Arial"/>
            <family val="2"/>
            <charset val="162"/>
          </rPr>
          <t>Önceki element: Metal
Yeni element: Işık
Sınıflar arası dağılım için karakter adı, hikâyesi ve mevcut yetenek temaları birlikte değerlendirildi.</t>
        </r>
      </text>
    </comment>
    <comment ref="F155" authorId="0" shapeId="0" xr:uid="{00000000-0006-0000-0A00-000000010000}">
      <text>
        <r>
          <rPr>
            <sz val="10"/>
            <rFont val="Arial"/>
            <family val="2"/>
            <charset val="162"/>
          </rPr>
          <t>Önceki taslak: Ejdersoy
Yeni ana ırk: Ejdersoy
Güçlü — görsel
Görsel: Ejder/kanatlı sürüngen-insansı</t>
        </r>
      </text>
    </comment>
    <comment ref="H155" authorId="0" shapeId="0" xr:uid="{00000000-0006-0000-0A00-000001010000}">
      <text>
        <r>
          <rPr>
            <sz val="10"/>
            <rFont val="Arial"/>
            <family val="2"/>
            <charset val="162"/>
          </rPr>
          <t>Önceki element: Metal
Yeni element: Zehir
Ejder pullu savunmaya, sınıftan bağımsız zehir güç kaynağı atandı.</t>
        </r>
      </text>
    </comment>
    <comment ref="F156" authorId="0" shapeId="0" xr:uid="{00000000-0006-0000-0A00-000002010000}">
      <text>
        <r>
          <rPr>
            <sz val="10"/>
            <rFont val="Arial"/>
            <family val="2"/>
            <charset val="162"/>
          </rPr>
          <t>Önceki taslak: İnsan
Yeni ana ırk: İnsan
Güçlü — isim/hikâye
Görsel: İnsan görünümlü</t>
        </r>
      </text>
    </comment>
    <comment ref="F157" authorId="0" shapeId="0" xr:uid="{00000000-0006-0000-0A00-000003010000}">
      <text>
        <r>
          <rPr>
            <sz val="10"/>
            <rFont val="Arial"/>
            <family val="2"/>
            <charset val="162"/>
          </rPr>
          <t>Önceki taslak: İnsan
Yeni ana ırk: Cüce
Dengeleme — kontrol önerilir
Güvenli görsel eşleşmesi yok; isim ve hikâye kullanıldı. | Dağılım revizyonu: İnsan → Cüce.</t>
        </r>
      </text>
    </comment>
    <comment ref="H157" authorId="0" shapeId="0" xr:uid="{00000000-0006-0000-0A00-000004010000}">
      <text>
        <r>
          <rPr>
            <sz val="10"/>
            <rFont val="Arial"/>
            <family val="2"/>
            <charset val="162"/>
          </rPr>
          <t>Önceki element: Metal
Yeni element: Zaman
Sınıflar arası dağılım için karakter adı, hikâyesi ve mevcut yetenek temaları birlikte değerlendirildi.</t>
        </r>
      </text>
    </comment>
    <comment ref="F158" authorId="0" shapeId="0" xr:uid="{00000000-0006-0000-0A00-000005010000}">
      <text>
        <r>
          <rPr>
            <sz val="10"/>
            <rFont val="Arial"/>
            <family val="2"/>
            <charset val="162"/>
          </rPr>
          <t>Önceki taslak: Ölümsüz
Yeni ana ırk: Ölümsüz
Kesin — kullanıcı onayı/kuralı
Görsel: İnsan görünümlü</t>
        </r>
      </text>
    </comment>
    <comment ref="F159" authorId="0" shapeId="0" xr:uid="{00000000-0006-0000-0A00-000006010000}">
      <text>
        <r>
          <rPr>
            <sz val="10"/>
            <rFont val="Arial"/>
            <family val="2"/>
            <charset val="162"/>
          </rPr>
          <t>Önceki taslak: Mutant
Yeni ana ırk: Elf
Orta
Görsel: İnsan görünümlü | Dağılım revizyonu: Mutant → Elf.</t>
        </r>
      </text>
    </comment>
    <comment ref="H159" authorId="0" shapeId="0" xr:uid="{00000000-0006-0000-0A00-000007010000}">
      <text>
        <r>
          <rPr>
            <sz val="10"/>
            <rFont val="Arial"/>
            <family val="2"/>
            <charset val="162"/>
          </rPr>
          <t>Önceki element: Metal
Yeni element: Doğa
Sınıflar arası dağılım için karakter adı, hikâyesi ve mevcut yetenek temaları birlikte değerlendirildi.</t>
        </r>
      </text>
    </comment>
    <comment ref="F160" authorId="0" shapeId="0" xr:uid="{00000000-0006-0000-0A00-000008010000}">
      <text>
        <r>
          <rPr>
            <sz val="10"/>
            <rFont val="Arial"/>
            <family val="2"/>
            <charset val="162"/>
          </rPr>
          <t>Önceki taslak: Böceksırt
Yeni ana ırk: Böceksırt
Kesin — kullanıcı onayı/kuralı
Görsel: Böcek/araknid varlık; Tam zırhlı, türü belirsiz</t>
        </r>
      </text>
    </comment>
    <comment ref="H160" authorId="0" shapeId="0" xr:uid="{00000000-0006-0000-0A00-000009010000}">
      <text>
        <r>
          <rPr>
            <sz val="10"/>
            <rFont val="Arial"/>
            <family val="2"/>
            <charset val="162"/>
          </rPr>
          <t>Önceki element: Metal
Yeni element: Kaos
Sınıflar arası dağılım için karakter adı, hikâyesi ve mevcut yetenek temaları birlikte değerlendirildi.</t>
        </r>
      </text>
    </comment>
    <comment ref="F161" authorId="0" shapeId="0" xr:uid="{00000000-0006-0000-0A00-00000A010000}">
      <text>
        <r>
          <rPr>
            <sz val="10"/>
            <rFont val="Arial"/>
            <family val="2"/>
            <charset val="162"/>
          </rPr>
          <t>Önceki taslak: Astral
Yeni ana ırk: Astral
Güçlü — isim/hikâye
Görsel: Enerji/soyut varlık</t>
        </r>
      </text>
    </comment>
    <comment ref="H161" authorId="0" shapeId="0" xr:uid="{00000000-0006-0000-0A00-00000B010000}">
      <text>
        <r>
          <rPr>
            <sz val="10"/>
            <rFont val="Arial"/>
            <family val="2"/>
            <charset val="162"/>
          </rPr>
          <t>Önceki element: Metal
Yeni element: Arkan
Sınıflar arası dağılım için karakter adı, hikâyesi ve mevcut yetenek temaları birlikte değerlendirildi.</t>
        </r>
      </text>
    </comment>
    <comment ref="F162" authorId="0" shapeId="0" xr:uid="{00000000-0006-0000-0A00-00000C010000}">
      <text>
        <r>
          <rPr>
            <sz val="10"/>
            <rFont val="Arial"/>
            <family val="2"/>
            <charset val="162"/>
          </rPr>
          <t>Önceki taslak: Mutant
Yeni ana ırk: Dev
Kesin — kullanıcı onayı/kuralı
Görsel: Mutant/golem-insansı | Dağılım revizyonu: Mutant → Dev.</t>
        </r>
      </text>
    </comment>
    <comment ref="F163" authorId="0" shapeId="0" xr:uid="{00000000-0006-0000-0A00-00000D010000}">
      <text>
        <r>
          <rPr>
            <sz val="10"/>
            <rFont val="Arial"/>
            <family val="2"/>
            <charset val="162"/>
          </rPr>
          <t>Önceki taslak: Ejdersoy
Yeni ana ırk: Ejdersoy
Güçlü — görsel
Görsel: Ejderha</t>
        </r>
      </text>
    </comment>
    <comment ref="H163" authorId="0" shapeId="0" xr:uid="{00000000-0006-0000-0A00-00000E010000}">
      <text>
        <r>
          <rPr>
            <sz val="10"/>
            <rFont val="Arial"/>
            <family val="2"/>
            <charset val="162"/>
          </rPr>
          <t>Önceki element: Toprak
Yeni element: Arkan
Sınıflar arası dağılım için karakter adı, hikâyesi ve mevcut yetenek temaları birlikte değerlendirildi.</t>
        </r>
      </text>
    </comment>
    <comment ref="F164" authorId="0" shapeId="0" xr:uid="{00000000-0006-0000-0A00-00000F010000}">
      <text>
        <r>
          <rPr>
            <sz val="10"/>
            <rFont val="Arial"/>
            <family val="2"/>
            <charset val="162"/>
          </rPr>
          <t>Önceki taslak: İnsan
Yeni ana ırk: İnsan
Güçlü — isim/hikâye
Görsel: İnsan görünümlü</t>
        </r>
      </text>
    </comment>
    <comment ref="F165" authorId="0" shapeId="0" xr:uid="{00000000-0006-0000-0A00-000010010000}">
      <text>
        <r>
          <rPr>
            <sz val="10"/>
            <rFont val="Arial"/>
            <family val="2"/>
            <charset val="162"/>
          </rPr>
          <t>Önceki taslak: İnsan
Yeni ana ırk: İnsan
Güçlü — isim/hikâye
Görsel: İnsan görünümlü</t>
        </r>
      </text>
    </comment>
    <comment ref="H165" authorId="0" shapeId="0" xr:uid="{00000000-0006-0000-0A00-000011010000}">
      <text>
        <r>
          <rPr>
            <sz val="10"/>
            <rFont val="Arial"/>
            <family val="2"/>
            <charset val="162"/>
          </rPr>
          <t>Önceki element: Toprak
Yeni element: Işık
İntikam yerine halkını ve düşmanlarını koruyan prenses.</t>
        </r>
      </text>
    </comment>
    <comment ref="F166" authorId="0" shapeId="0" xr:uid="{00000000-0006-0000-0A00-000012010000}">
      <text>
        <r>
          <rPr>
            <sz val="10"/>
            <rFont val="Arial"/>
            <family val="2"/>
            <charset val="162"/>
          </rPr>
          <t>Önceki taslak: İnsan
Yeni ana ırk: İnsan
Güçlü — isim/hikâye
Görsel: İnsan görünümlü</t>
        </r>
      </text>
    </comment>
    <comment ref="F167" authorId="0" shapeId="0" xr:uid="{00000000-0006-0000-0A00-000013010000}">
      <text>
        <r>
          <rPr>
            <sz val="10"/>
            <rFont val="Arial"/>
            <family val="2"/>
            <charset val="162"/>
          </rPr>
          <t>Önceki taslak: İnsan
Yeni ana ırk: İnsan
Güçlü — isim/hikâye
Görsel: İnsan görünümlü</t>
        </r>
      </text>
    </comment>
    <comment ref="F168" authorId="0" shapeId="0" xr:uid="{00000000-0006-0000-0A00-000014010000}">
      <text>
        <r>
          <rPr>
            <sz val="10"/>
            <rFont val="Arial"/>
            <family val="2"/>
            <charset val="162"/>
          </rPr>
          <t>Önceki taslak: Ejdersoy
Yeni ana ırk: Ejdersoy
Güçlü — görsel
Görsel: Ejder/kanatlı sürüngen-insansı</t>
        </r>
      </text>
    </comment>
    <comment ref="H168" authorId="0" shapeId="0" xr:uid="{00000000-0006-0000-0A00-000015010000}">
      <text>
        <r>
          <rPr>
            <sz val="10"/>
            <rFont val="Arial"/>
            <family val="2"/>
            <charset val="162"/>
          </rPr>
          <t>Önceki element: Gölge
Yeni element: Arkan
Kara çelik savunmanın güç kaynağı Arkan olarak yeniden belirlendi.</t>
        </r>
      </text>
    </comment>
    <comment ref="F169" authorId="0" shapeId="0" xr:uid="{00000000-0006-0000-0A00-000016010000}">
      <text>
        <r>
          <rPr>
            <sz val="10"/>
            <rFont val="Arial"/>
            <family val="2"/>
            <charset val="162"/>
          </rPr>
          <t>Önceki taslak: Ejdersoy
Yeni ana ırk: Ejdersoy
Güçlü — görsel
Görsel: Ejderha</t>
        </r>
      </text>
    </comment>
    <comment ref="H169" authorId="0" shapeId="0" xr:uid="{00000000-0006-0000-0A00-000017010000}">
      <text>
        <r>
          <rPr>
            <sz val="10"/>
            <rFont val="Arial"/>
            <family val="2"/>
            <charset val="162"/>
          </rPr>
          <t>Önceki element: Metal
Yeni element: Zaman
Sınıflar arası dağılım için karakter adı, hikâyesi ve mevcut yetenek temaları birlikte değerlendirildi.</t>
        </r>
      </text>
    </comment>
    <comment ref="F170" authorId="0" shapeId="0" xr:uid="{00000000-0006-0000-0A00-000018010000}">
      <text>
        <r>
          <rPr>
            <sz val="10"/>
            <rFont val="Arial"/>
            <family val="2"/>
            <charset val="162"/>
          </rPr>
          <t>Önceki taslak: Cüce
Yeni ana ırk: İnsan
Güçlü — isim/hikâye
Görsel: İnsan görünümlü; Kapüşonlu/belirsiz insansı | Dağılım revizyonu: Cüce → İnsan.</t>
        </r>
      </text>
    </comment>
    <comment ref="F171" authorId="0" shapeId="0" xr:uid="{00000000-0006-0000-0A00-000019010000}">
      <text>
        <r>
          <rPr>
            <sz val="10"/>
            <rFont val="Arial"/>
            <family val="2"/>
            <charset val="162"/>
          </rPr>
          <t>Önceki taslak: İnsan
Yeni ana ırk: Elf
Orta
Görsel: İnsan görünümlü | Dağılım revizyonu: İnsan → Elf.</t>
        </r>
      </text>
    </comment>
    <comment ref="F172" authorId="0" shapeId="0" xr:uid="{00000000-0006-0000-0A00-00001A010000}">
      <text>
        <r>
          <rPr>
            <sz val="10"/>
            <rFont val="Arial"/>
            <family val="2"/>
            <charset val="162"/>
          </rPr>
          <t>Önceki taslak: Ölümsüz
Yeni ana ırk: Ölümsüz
Kesin — kullanıcı onayı/kuralı
Görsel: Mutant/golem-insansı</t>
        </r>
      </text>
    </comment>
    <comment ref="H172" authorId="0" shapeId="0" xr:uid="{00000000-0006-0000-0A00-00001B010000}">
      <text>
        <r>
          <rPr>
            <sz val="10"/>
            <rFont val="Arial"/>
            <family val="2"/>
            <charset val="162"/>
          </rPr>
          <t>Önceki element: Kaos
Yeni element: Yaşam
Sınıflar arası dağılım için karakter adı, hikâyesi ve mevcut yetenek temaları birlikte değerlendirildi.</t>
        </r>
      </text>
    </comment>
    <comment ref="F173" authorId="0" shapeId="0" xr:uid="{00000000-0006-0000-0A00-00001C010000}">
      <text>
        <r>
          <rPr>
            <sz val="10"/>
            <rFont val="Arial"/>
            <family val="2"/>
            <charset val="162"/>
          </rPr>
          <t>Önceki taslak: Ejdersoy
Yeni ana ırk: Melek
Güçlü — görsel
Görsel: Melek/kanatlı insansı | Dağılım revizyonu: Ejdersoy → Melek.</t>
        </r>
      </text>
    </comment>
    <comment ref="F174" authorId="0" shapeId="0" xr:uid="{00000000-0006-0000-0A00-00001D010000}">
      <text>
        <r>
          <rPr>
            <sz val="10"/>
            <rFont val="Arial"/>
            <family val="2"/>
            <charset val="162"/>
          </rPr>
          <t>Önceki taslak: Ejdersoy
Yeni ana ırk: Elf
Güçlü — görsel
Görsel: Elf görünümlü | Dağılım revizyonu: Ejdersoy → Elf.</t>
        </r>
      </text>
    </comment>
    <comment ref="H174" authorId="0" shapeId="0" xr:uid="{00000000-0006-0000-0A00-00001E010000}">
      <text>
        <r>
          <rPr>
            <sz val="10"/>
            <rFont val="Arial"/>
            <family val="2"/>
            <charset val="162"/>
          </rPr>
          <t>Önceki element: Metal
Yeni element: Arkan
Sınıflar arası dağılım için karakter adı, hikâyesi ve mevcut yetenek temaları birlikte değerlendirildi.</t>
        </r>
      </text>
    </comment>
    <comment ref="F175" authorId="0" shapeId="0" xr:uid="{00000000-0006-0000-0A00-00001F010000}">
      <text>
        <r>
          <rPr>
            <sz val="10"/>
            <rFont val="Arial"/>
            <family val="2"/>
            <charset val="162"/>
          </rPr>
          <t>Önceki taslak: İnsan
Yeni ana ırk: Dev
Kesin — kullanıcı onayı/kuralı
Titan adı, zırh hacmi ve gövde ölçeği Dev ırkını destekliyor. | Görsel: Tam zırhlı dev/titan görünümlü | Dağılım revizyonu: İnsan → Dev.</t>
        </r>
      </text>
    </comment>
    <comment ref="F176" authorId="0" shapeId="0" xr:uid="{00000000-0006-0000-0A00-000020010000}">
      <text>
        <r>
          <rPr>
            <sz val="10"/>
            <rFont val="Arial"/>
            <family val="2"/>
            <charset val="162"/>
          </rPr>
          <t>Önceki taslak: Ejdersoy
Yeni ana ırk: Sürüngensoy
Kesin — kullanıcı onayı/kuralı
Görsel: Ejderha | Dağılım revizyonu: Ejdersoy → Sürüngensoy.</t>
        </r>
      </text>
    </comment>
    <comment ref="F177" authorId="0" shapeId="0" xr:uid="{00000000-0006-0000-0A00-000021010000}">
      <text>
        <r>
          <rPr>
            <sz val="10"/>
            <rFont val="Arial"/>
            <family val="2"/>
            <charset val="162"/>
          </rPr>
          <t>Önceki taslak: Cüce
Yeni ana ırk: Cüce
Güçlü — görsel
Görsel: Cüce görünümlü</t>
        </r>
      </text>
    </comment>
    <comment ref="F178" authorId="0" shapeId="0" xr:uid="{00000000-0006-0000-0A00-000022010000}">
      <text>
        <r>
          <rPr>
            <sz val="10"/>
            <rFont val="Arial"/>
            <family val="2"/>
            <charset val="162"/>
          </rPr>
          <t>Önceki taslak: Gölge
Yeni ana ırk: Gölge
Güçlü — isim/hikâye
Görsel: Kapüşonlu/belirsiz insansı</t>
        </r>
      </text>
    </comment>
    <comment ref="F179" authorId="0" shapeId="0" xr:uid="{00000000-0006-0000-0A00-000023010000}">
      <text>
        <r>
          <rPr>
            <sz val="10"/>
            <rFont val="Arial"/>
            <family val="2"/>
            <charset val="162"/>
          </rPr>
          <t>Önceki taslak: Cüce
Yeni ana ırk: Cüce
Güçlü — görsel
Görsel: Cüce görünümlü</t>
        </r>
      </text>
    </comment>
    <comment ref="F180" authorId="0" shapeId="0" xr:uid="{00000000-0006-0000-0A00-000024010000}">
      <text>
        <r>
          <rPr>
            <sz val="10"/>
            <rFont val="Arial"/>
            <family val="2"/>
            <charset val="162"/>
          </rPr>
          <t>Önceki taslak: İnsan
Yeni ana ırk: İnsan
Güçlü — isim/hikâye
Görsel: İnsan görünümlü</t>
        </r>
      </text>
    </comment>
    <comment ref="H180" authorId="0" shapeId="0" xr:uid="{00000000-0006-0000-0A00-000025010000}">
      <text>
        <r>
          <rPr>
            <sz val="10"/>
            <rFont val="Arial"/>
            <family val="2"/>
            <charset val="162"/>
          </rPr>
          <t>Önceki element: Fırtına
Yeni element: Enerji
Yıldırımları içine alan muhafız.</t>
        </r>
      </text>
    </comment>
    <comment ref="F181" authorId="0" shapeId="0" xr:uid="{00000000-0006-0000-0A00-000026010000}">
      <text>
        <r>
          <rPr>
            <sz val="10"/>
            <rFont val="Arial"/>
            <family val="2"/>
            <charset val="162"/>
          </rPr>
          <t>Önceki taslak: İnsan
Yeni ana ırk: İnsan
Güçlü — isim/hikâye
Görsel: İnsan görünümlü</t>
        </r>
      </text>
    </comment>
    <comment ref="F182" authorId="0" shapeId="0" xr:uid="{00000000-0006-0000-0A00-000027010000}">
      <text>
        <r>
          <rPr>
            <sz val="10"/>
            <rFont val="Arial"/>
            <family val="2"/>
            <charset val="162"/>
          </rPr>
          <t>Önceki taslak: İnsan
Yeni ana ırk: İnsan
Güçlü — isim/hikâye
Görsel: İnsan görünümlü</t>
        </r>
      </text>
    </comment>
    <comment ref="H182" authorId="0" shapeId="0" xr:uid="{00000000-0006-0000-0A00-000028010000}">
      <text>
        <r>
          <rPr>
            <sz val="10"/>
            <rFont val="Arial"/>
            <family val="2"/>
            <charset val="162"/>
          </rPr>
          <t>Önceki element: Toprak
Yeni element: Zaman
Yıllara rağmen bitmeyen nöbet.</t>
        </r>
      </text>
    </comment>
    <comment ref="F183" authorId="0" shapeId="0" xr:uid="{00000000-0006-0000-0A00-000029010000}">
      <text>
        <r>
          <rPr>
            <sz val="10"/>
            <rFont val="Arial"/>
            <family val="2"/>
            <charset val="162"/>
          </rPr>
          <t>Önceki taslak: İnsan
Yeni ana ırk: İnsan
Güçlü — isim/hikâye
Görsel: İnsan görünümlü</t>
        </r>
      </text>
    </comment>
    <comment ref="H183" authorId="0" shapeId="0" xr:uid="{00000000-0006-0000-0A00-00002A010000}">
      <text>
        <r>
          <rPr>
            <sz val="10"/>
            <rFont val="Arial"/>
            <family val="2"/>
            <charset val="162"/>
          </rPr>
          <t>Önceki element: Toprak
Yeni element: Ruh
Pullarda taşınan soy hafızası ve ataların sesleri.</t>
        </r>
      </text>
    </comment>
    <comment ref="F184" authorId="0" shapeId="0" xr:uid="{00000000-0006-0000-0A00-00002B010000}">
      <text>
        <r>
          <rPr>
            <sz val="10"/>
            <rFont val="Arial"/>
            <family val="2"/>
            <charset val="162"/>
          </rPr>
          <t>Önceki taslak: Ölümsüz
Yeni ana ırk: Ölümsüz
Kesin — kullanıcı onayı/kuralı
Güvenli görsel eşleşmesi yok; isim ve hikâye kullanıldı.</t>
        </r>
      </text>
    </comment>
    <comment ref="H184" authorId="0" shapeId="0" xr:uid="{00000000-0006-0000-0A00-00002C010000}">
      <text>
        <r>
          <rPr>
            <sz val="10"/>
            <rFont val="Arial"/>
            <family val="2"/>
            <charset val="162"/>
          </rPr>
          <t>Önceki element: Kaos
Yeni element: Savaş
Sınıflar arası dağılım için karakter adı, hikâyesi ve mevcut yetenek temaları birlikte değerlendirildi.</t>
        </r>
      </text>
    </comment>
    <comment ref="F185" authorId="0" shapeId="0" xr:uid="{00000000-0006-0000-0A00-00002D010000}">
      <text>
        <r>
          <rPr>
            <sz val="10"/>
            <rFont val="Arial"/>
            <family val="2"/>
            <charset val="162"/>
          </rPr>
          <t>Önceki taslak: Ejdersoy
Yeni ana ırk: Ejdersoy
Güçlü — görsel
Görsel: Ejderha</t>
        </r>
      </text>
    </comment>
    <comment ref="F186" authorId="0" shapeId="0" xr:uid="{00000000-0006-0000-0A00-00002E010000}">
      <text>
        <r>
          <rPr>
            <sz val="10"/>
            <rFont val="Arial"/>
            <family val="2"/>
            <charset val="162"/>
          </rPr>
          <t>Önceki taslak: Mutant
Yeni ana ırk: Dev
Kesin — kullanıcı onayı/kuralı
Görsel: Mutant/golem-insansı | Dağılım revizyonu: Mutant → Dev.</t>
        </r>
      </text>
    </comment>
    <comment ref="F187" authorId="0" shapeId="0" xr:uid="{00000000-0006-0000-0A00-00002F010000}">
      <text>
        <r>
          <rPr>
            <sz val="10"/>
            <rFont val="Arial"/>
            <family val="2"/>
            <charset val="162"/>
          </rPr>
          <t>Önceki taslak: Ejdersoy
Yeni ana ırk: Sürüngensoy
Kesin — kullanıcı onayı/kuralı
Görsel: Ejderha | Dağılım revizyonu: Ejdersoy → Sürüngensoy.</t>
        </r>
      </text>
    </comment>
    <comment ref="F188" authorId="0" shapeId="0" xr:uid="{00000000-0006-0000-0A00-000030010000}">
      <text>
        <r>
          <rPr>
            <sz val="10"/>
            <rFont val="Arial"/>
            <family val="2"/>
            <charset val="162"/>
          </rPr>
          <t>Önceki taslak: İnsan
Yeni ana ırk: İnsan
Güçlü — isim/hikâye
Görsel: İnsan görünümlü</t>
        </r>
      </text>
    </comment>
    <comment ref="F189" authorId="0" shapeId="0" xr:uid="{00000000-0006-0000-0A00-000031010000}">
      <text>
        <r>
          <rPr>
            <sz val="10"/>
            <rFont val="Arial"/>
            <family val="2"/>
            <charset val="162"/>
          </rPr>
          <t>Önceki taslak: İnsan
Yeni ana ırk: İnsan
Güçlü — isim/hikâye
Görsel: İnsan görünümlü</t>
        </r>
      </text>
    </comment>
    <comment ref="F190" authorId="0" shapeId="0" xr:uid="{00000000-0006-0000-0A00-000032010000}">
      <text>
        <r>
          <rPr>
            <sz val="10"/>
            <rFont val="Arial"/>
            <family val="2"/>
            <charset val="162"/>
          </rPr>
          <t>Önceki taslak: İnsan
Yeni ana ırk: İnsan
Güçlü — isim/hikâye
Görsel: İnsan görünümlü</t>
        </r>
      </text>
    </comment>
    <comment ref="F191" authorId="0" shapeId="0" xr:uid="{00000000-0006-0000-0A00-000033010000}">
      <text>
        <r>
          <rPr>
            <sz val="10"/>
            <rFont val="Arial"/>
            <family val="2"/>
            <charset val="162"/>
          </rPr>
          <t>Önceki taslak: İnsan
Yeni ana ırk: İnsan
Güçlü — isim/hikâye
Görsel: İnsan görünümlü</t>
        </r>
      </text>
    </comment>
    <comment ref="F192" authorId="0" shapeId="0" xr:uid="{00000000-0006-0000-0A00-000034010000}">
      <text>
        <r>
          <rPr>
            <sz val="10"/>
            <rFont val="Arial"/>
            <family val="2"/>
            <charset val="162"/>
          </rPr>
          <t>Önceki taslak: Gölge
Yeni ana ırk: Gölge
Güçlü — isim/hikâye
Görsel: İnsan görünümlü</t>
        </r>
      </text>
    </comment>
    <comment ref="F193" authorId="0" shapeId="0" xr:uid="{00000000-0006-0000-0A00-000035010000}">
      <text>
        <r>
          <rPr>
            <sz val="10"/>
            <rFont val="Arial"/>
            <family val="2"/>
            <charset val="162"/>
          </rPr>
          <t>Önceki taslak: İnsan
Yeni ana ırk: İnsan
Güçlü — isim/hikâye
Görsel: İnsan görünümlü</t>
        </r>
      </text>
    </comment>
    <comment ref="H193" authorId="0" shapeId="0" xr:uid="{00000000-0006-0000-0A00-000036010000}">
      <text>
        <r>
          <rPr>
            <sz val="10"/>
            <rFont val="Arial"/>
            <family val="2"/>
            <charset val="162"/>
          </rPr>
          <t>Önceki element: Arkan
Yeni element: Toprak
Sınıflar arası dağılım için karakter adı, hikâyesi ve mevcut yetenek temaları birlikte değerlendirildi.</t>
        </r>
      </text>
    </comment>
    <comment ref="L193" authorId="0" shapeId="0" xr:uid="{00000000-0006-0000-0A00-000037010000}">
      <text>
        <r>
          <rPr>
            <sz val="10"/>
            <rFont val="Arial"/>
            <family val="2"/>
            <charset val="162"/>
          </rPr>
          <t>Ana listedeki özgün örnek (kısaltılmadan önce):
Toprağın hafızasını okuyarak eski kıtaların gücünü çağırır. Her büyüsü, yerin derinliklerinden gelen bir yankıdır.</t>
        </r>
      </text>
    </comment>
    <comment ref="F194" authorId="0" shapeId="0" xr:uid="{00000000-0006-0000-0A00-000038010000}">
      <text>
        <r>
          <rPr>
            <sz val="10"/>
            <rFont val="Arial"/>
            <family val="2"/>
            <charset val="162"/>
          </rPr>
          <t>Önceki taslak: İnsan
Yeni ana ırk: İnsan
Güçlü — isim/hikâye
Görsel: İnsan görünümlü</t>
        </r>
      </text>
    </comment>
    <comment ref="F195" authorId="0" shapeId="0" xr:uid="{00000000-0006-0000-0A00-000039010000}">
      <text>
        <r>
          <rPr>
            <sz val="10"/>
            <rFont val="Arial"/>
            <family val="2"/>
            <charset val="162"/>
          </rPr>
          <t>Önceki taslak: İnsan
Yeni ana ırk: İnsan
Güçlü — isim/hikâye
Görsel: İnsan görünümlü</t>
        </r>
      </text>
    </comment>
    <comment ref="F196" authorId="0" shapeId="0" xr:uid="{00000000-0006-0000-0A00-00003A010000}">
      <text>
        <r>
          <rPr>
            <sz val="10"/>
            <rFont val="Arial"/>
            <family val="2"/>
            <charset val="162"/>
          </rPr>
          <t>Önceki taslak: İnsan
Yeni ana ırk: İnsan
Güçlü — isim/hikâye
Görsel: İnsan görünümlü</t>
        </r>
      </text>
    </comment>
    <comment ref="L196" authorId="0" shapeId="0" xr:uid="{00000000-0006-0000-0A00-00003B010000}">
      <text>
        <r>
          <rPr>
            <sz val="10"/>
            <rFont val="Arial"/>
            <family val="2"/>
            <charset val="162"/>
          </rPr>
          <t>Ana listedeki özgün örnek (kısaltılmadan önce):
Çocukken bulduğu gizemli bir kitap onu Arkan’ın unutulmuş sırlarına sürükledi. Son sayfayı okuduğu gece yaşanan patlama içinde uyanan gücün başlangıcı oldu. “Bilgiye ulaşan, onun bedelini de öder.”</t>
        </r>
      </text>
    </comment>
    <comment ref="F197" authorId="0" shapeId="0" xr:uid="{00000000-0006-0000-0A00-00003C010000}">
      <text>
        <r>
          <rPr>
            <sz val="10"/>
            <rFont val="Arial"/>
            <family val="2"/>
            <charset val="162"/>
          </rPr>
          <t>Önceki taslak: İnsan
Yeni ana ırk: Mutant
Dengeleme — kontrol önerilir
Güvenli görsel eşleşmesi yok; isim ve hikâye kullanıldı. | Dağılım revizyonu: İnsan → Mutant.</t>
        </r>
      </text>
    </comment>
    <comment ref="H197" authorId="0" shapeId="0" xr:uid="{00000000-0006-0000-0A00-00003D010000}">
      <text>
        <r>
          <rPr>
            <sz val="10"/>
            <rFont val="Arial"/>
            <family val="2"/>
            <charset val="162"/>
          </rPr>
          <t>Önceki element: Arkan
Yeni element: Denge
Ateşle buzu barıştıran elemental uyum.</t>
        </r>
      </text>
    </comment>
    <comment ref="F198" authorId="0" shapeId="0" xr:uid="{00000000-0006-0000-0A00-00003E010000}">
      <text>
        <r>
          <rPr>
            <sz val="10"/>
            <rFont val="Arial"/>
            <family val="2"/>
            <charset val="162"/>
          </rPr>
          <t>Önceki taslak: İnsan
Yeni ana ırk: İnsan
Güçlü — isim/hikâye
Görsel: İnsan görünümlü</t>
        </r>
      </text>
    </comment>
    <comment ref="H198" authorId="0" shapeId="0" xr:uid="{00000000-0006-0000-0A00-00003F010000}">
      <text>
        <r>
          <rPr>
            <sz val="10"/>
            <rFont val="Arial"/>
            <family val="2"/>
            <charset val="162"/>
          </rPr>
          <t>Önceki element: Arkan
Yeni element: Doğa
Sınıflar arası dağılım için karakter adı, hikâyesi ve mevcut yetenek temaları birlikte değerlendirildi.</t>
        </r>
      </text>
    </comment>
    <comment ref="F199" authorId="0" shapeId="0" xr:uid="{00000000-0006-0000-0A00-000040010000}">
      <text>
        <r>
          <rPr>
            <sz val="10"/>
            <rFont val="Arial"/>
            <family val="2"/>
            <charset val="162"/>
          </rPr>
          <t>Önceki taslak: Astral
Yeni ana ırk: Astral
Güçlü — isim/hikâye
Görsel: İnsan görünümlü</t>
        </r>
      </text>
    </comment>
    <comment ref="L199" authorId="0" shapeId="0" xr:uid="{00000000-0006-0000-0A00-000041010000}">
      <text>
        <r>
          <rPr>
            <sz val="10"/>
            <rFont val="Arial"/>
            <family val="2"/>
            <charset val="162"/>
          </rPr>
          <t>Ana listedeki özgün örnek (kısaltılmadan önce):
Yıldız Geçidi’nin sırlarını öğrenmiş, gökyüzündeki yıldızların ardında yaklaşan büyük felaketin izlerini net bir şekilde görür.</t>
        </r>
      </text>
    </comment>
    <comment ref="F200" authorId="0" shapeId="0" xr:uid="{00000000-0006-0000-0A00-000042010000}">
      <text>
        <r>
          <rPr>
            <sz val="10"/>
            <rFont val="Arial"/>
            <family val="2"/>
            <charset val="162"/>
          </rPr>
          <t>Önceki taslak: Gölge
Yeni ana ırk: Gölge
Güçlü — isim/hikâye
Görsel: İnsan görünümlü</t>
        </r>
      </text>
    </comment>
    <comment ref="F201" authorId="0" shapeId="0" xr:uid="{00000000-0006-0000-0A00-000043010000}">
      <text>
        <r>
          <rPr>
            <sz val="10"/>
            <rFont val="Arial"/>
            <family val="2"/>
            <charset val="162"/>
          </rPr>
          <t>Önceki taslak: Gölge
Yeni ana ırk: Gölge
Güçlü — görsel
Görsel: Gölge/ruh-insansı</t>
        </r>
      </text>
    </comment>
    <comment ref="F202" authorId="0" shapeId="0" xr:uid="{00000000-0006-0000-0A00-000044010000}">
      <text>
        <r>
          <rPr>
            <sz val="10"/>
            <rFont val="Arial"/>
            <family val="2"/>
            <charset val="162"/>
          </rPr>
          <t>Önceki taslak: Astral
Yeni ana ırk: Astral
Güçlü — isim/hikâye
Görsel: İnsan görünümlü</t>
        </r>
      </text>
    </comment>
    <comment ref="L202" authorId="0" shapeId="0" xr:uid="{00000000-0006-0000-0A00-000045010000}">
      <text>
        <r>
          <rPr>
            <sz val="10"/>
            <rFont val="Arial"/>
            <family val="2"/>
            <charset val="162"/>
          </rPr>
          <t>Ana listedeki özgün örnek (kısaltılmadan önce):
Yıldız Geçidi’nin altında doğan Astral Hükümdar, gökyüzünün hareketlerini herkesten önce görmeyi öğrenir, yıldızlardan gelen gücü kontrol etmeyi başardığında karşısındaki hiçbir savaşçı onun hamlelerini gizleyemez.</t>
        </r>
      </text>
    </comment>
    <comment ref="F203" authorId="0" shapeId="0" xr:uid="{00000000-0006-0000-0A00-000046010000}">
      <text>
        <r>
          <rPr>
            <sz val="10"/>
            <rFont val="Arial"/>
            <family val="2"/>
            <charset val="162"/>
          </rPr>
          <t>Önceki taslak: Gölge
Yeni ana ırk: Gölge
Güçlü — görsel
Görsel: Gölge/ruh-insansı</t>
        </r>
      </text>
    </comment>
    <comment ref="H203" authorId="0" shapeId="0" xr:uid="{00000000-0006-0000-0A00-000047010000}">
      <text>
        <r>
          <rPr>
            <sz val="10"/>
            <rFont val="Arial"/>
            <family val="2"/>
            <charset val="162"/>
          </rPr>
          <t>Önceki element: Gölge
Yeni element: Ruh
Sınıflar arası dağılım için karakter adı, hikâyesi ve mevcut yetenek temaları birlikte değerlendirildi.</t>
        </r>
      </text>
    </comment>
    <comment ref="F204" authorId="0" shapeId="0" xr:uid="{00000000-0006-0000-0A00-000048010000}">
      <text>
        <r>
          <rPr>
            <sz val="10"/>
            <rFont val="Arial"/>
            <family val="2"/>
            <charset val="162"/>
          </rPr>
          <t>Önceki taslak: İnsan
Yeni ana ırk: İnsan
Güçlü — isim/hikâye
Görsel: İnsan görünümlü</t>
        </r>
      </text>
    </comment>
    <comment ref="F205" authorId="0" shapeId="0" xr:uid="{00000000-0006-0000-0A00-000049010000}">
      <text>
        <r>
          <rPr>
            <sz val="10"/>
            <rFont val="Arial"/>
            <family val="2"/>
            <charset val="162"/>
          </rPr>
          <t>Önceki taslak: İnsan
Yeni ana ırk: İnsan
Güçlü — isim/hikâye
Görsel: İnsan görünümlü</t>
        </r>
      </text>
    </comment>
    <comment ref="H205" authorId="0" shapeId="0" xr:uid="{00000000-0006-0000-0A00-00004A010000}">
      <text>
        <r>
          <rPr>
            <sz val="10"/>
            <rFont val="Arial"/>
            <family val="2"/>
            <charset val="162"/>
          </rPr>
          <t>Önceki element: Arkan
Yeni element: Metal
Zırh Kralı ile kurduğu büyülü taht.</t>
        </r>
      </text>
    </comment>
    <comment ref="F206" authorId="0" shapeId="0" xr:uid="{00000000-0006-0000-0A00-00004B010000}">
      <text>
        <r>
          <rPr>
            <sz val="10"/>
            <rFont val="Arial"/>
            <family val="2"/>
            <charset val="162"/>
          </rPr>
          <t>Önceki taslak: İnsan
Yeni ana ırk: İnsan
Güçlü — isim/hikâye
Görsel: İnsan görünümlü</t>
        </r>
      </text>
    </comment>
    <comment ref="F207" authorId="0" shapeId="0" xr:uid="{00000000-0006-0000-0A00-00004C010000}">
      <text>
        <r>
          <rPr>
            <sz val="10"/>
            <rFont val="Arial"/>
            <family val="2"/>
            <charset val="162"/>
          </rPr>
          <t>Önceki taslak: Tanrısal
Yeni ana ırk: Tanrısal
Güçlü — isim/hikâye
Görsel: İnsan görünümlü</t>
        </r>
      </text>
    </comment>
    <comment ref="H207" authorId="0" shapeId="0" xr:uid="{00000000-0006-0000-0A00-00004D010000}">
      <text>
        <r>
          <rPr>
            <sz val="10"/>
            <rFont val="Arial"/>
            <family val="2"/>
            <charset val="162"/>
          </rPr>
          <t>Önceki element: Astral
Yeni element: Yaşam
Sınıflar arası dağılım için karakter adı, hikâyesi ve mevcut yetenek temaları birlikte değerlendirildi.</t>
        </r>
      </text>
    </comment>
    <comment ref="F208" authorId="0" shapeId="0" xr:uid="{00000000-0006-0000-0A00-00004E010000}">
      <text>
        <r>
          <rPr>
            <sz val="10"/>
            <rFont val="Arial"/>
            <family val="2"/>
            <charset val="162"/>
          </rPr>
          <t>Önceki taslak: Gölge
Yeni ana ırk: Gölge
Güçlü — görsel
Görsel: Gölge/ruh-insansı</t>
        </r>
      </text>
    </comment>
    <comment ref="F209" authorId="0" shapeId="0" xr:uid="{00000000-0006-0000-0A00-00004F010000}">
      <text>
        <r>
          <rPr>
            <sz val="10"/>
            <rFont val="Arial"/>
            <family val="2"/>
            <charset val="162"/>
          </rPr>
          <t>Önceki taslak: İnsan
Yeni ana ırk: İnsan
Güçlü — isim/hikâye
Görsel: İnsan görünümlü</t>
        </r>
      </text>
    </comment>
    <comment ref="H209" authorId="0" shapeId="0" xr:uid="{00000000-0006-0000-0A00-000050010000}">
      <text>
        <r>
          <rPr>
            <sz val="10"/>
            <rFont val="Arial"/>
            <family val="2"/>
            <charset val="162"/>
          </rPr>
          <t>Önceki element: Arkan
Yeni element: Kaos
Sınıflar arası dağılım için karakter adı, hikâyesi ve mevcut yetenek temaları birlikte değerlendirildi.</t>
        </r>
      </text>
    </comment>
    <comment ref="F210" authorId="0" shapeId="0" xr:uid="{00000000-0006-0000-0A00-000051010000}">
      <text>
        <r>
          <rPr>
            <sz val="10"/>
            <rFont val="Arial"/>
            <family val="2"/>
            <charset val="162"/>
          </rPr>
          <t>Önceki taslak: İnsan
Yeni ana ırk: İnsan
Güçlü — isim/hikâye
Görsel: İnsan görünümlü</t>
        </r>
      </text>
    </comment>
    <comment ref="H210" authorId="0" shapeId="0" xr:uid="{00000000-0006-0000-0A00-000052010000}">
      <text>
        <r>
          <rPr>
            <sz val="10"/>
            <rFont val="Arial"/>
            <family val="2"/>
            <charset val="162"/>
          </rPr>
          <t>Önceki element: Arkan
Yeni element: Denge
Dört elementi bedeninde barıştırması.</t>
        </r>
      </text>
    </comment>
    <comment ref="F211" authorId="0" shapeId="0" xr:uid="{00000000-0006-0000-0A00-000053010000}">
      <text>
        <r>
          <rPr>
            <sz val="10"/>
            <rFont val="Arial"/>
            <family val="2"/>
            <charset val="162"/>
          </rPr>
          <t>Önceki taslak: İnsan
Yeni ana ırk: İnsan
Güçlü — isim/hikâye
Görsel: İnsan görünümlü</t>
        </r>
      </text>
    </comment>
    <comment ref="F212" authorId="0" shapeId="0" xr:uid="{00000000-0006-0000-0A00-000054010000}">
      <text>
        <r>
          <rPr>
            <sz val="10"/>
            <rFont val="Arial"/>
            <family val="2"/>
            <charset val="162"/>
          </rPr>
          <t>Önceki taslak: İnsan
Yeni ana ırk: Astral
Dengeleme — kontrol önerilir
Görsel: İnsan görünümlü | Dağılım revizyonu: İnsan → Astral.</t>
        </r>
      </text>
    </comment>
    <comment ref="H212" authorId="0" shapeId="0" xr:uid="{00000000-0006-0000-0A00-000055010000}">
      <text>
        <r>
          <rPr>
            <sz val="10"/>
            <rFont val="Arial"/>
            <family val="2"/>
            <charset val="162"/>
          </rPr>
          <t>Önceki element: Astral
Yeni element: Fırtına
Sınıflar arası dağılım için karakter adı, hikâyesi ve mevcut yetenek temaları birlikte değerlendirildi.</t>
        </r>
      </text>
    </comment>
    <comment ref="F213" authorId="0" shapeId="0" xr:uid="{00000000-0006-0000-0A00-000056010000}">
      <text>
        <r>
          <rPr>
            <sz val="10"/>
            <rFont val="Arial"/>
            <family val="2"/>
            <charset val="162"/>
          </rPr>
          <t>Önceki taslak: İnsan
Yeni ana ırk: İnsan
Güçlü — isim/hikâye
Görsel: İnsan görünümlü</t>
        </r>
      </text>
    </comment>
    <comment ref="H213" authorId="0" shapeId="0" xr:uid="{00000000-0006-0000-0A00-000057010000}">
      <text>
        <r>
          <rPr>
            <sz val="10"/>
            <rFont val="Arial"/>
            <family val="2"/>
            <charset val="162"/>
          </rPr>
          <t>Önceki element: Arkan
Yeni element: Zihin
Sınıflar arası dağılım için karakter adı, hikâyesi ve mevcut yetenek temaları birlikte değerlendirildi.</t>
        </r>
      </text>
    </comment>
    <comment ref="F214" authorId="0" shapeId="0" xr:uid="{00000000-0006-0000-0A00-000058010000}">
      <text>
        <r>
          <rPr>
            <sz val="10"/>
            <rFont val="Arial"/>
            <family val="2"/>
            <charset val="162"/>
          </rPr>
          <t>Önceki taslak: İnsan
Yeni ana ırk: İnsan
Güçlü — isim/hikâye
Görsel: İnsan görünümlü</t>
        </r>
      </text>
    </comment>
    <comment ref="H214" authorId="0" shapeId="0" xr:uid="{00000000-0006-0000-0A00-000059010000}">
      <text>
        <r>
          <rPr>
            <sz val="10"/>
            <rFont val="Arial"/>
            <family val="2"/>
            <charset val="162"/>
          </rPr>
          <t>Önceki element: Arkan
Yeni element: Enerji
Sınıflar arası dağılım için karakter adı, hikâyesi ve mevcut yetenek temaları birlikte değerlendirildi.</t>
        </r>
      </text>
    </comment>
    <comment ref="F215" authorId="0" shapeId="0" xr:uid="{00000000-0006-0000-0A00-00005A010000}">
      <text>
        <r>
          <rPr>
            <sz val="10"/>
            <rFont val="Arial"/>
            <family val="2"/>
            <charset val="162"/>
          </rPr>
          <t>Önceki taslak: İnsan
Yeni ana ırk: İnsan
Güçlü — isim/hikâye
Görsel: İnsan görünümlü</t>
        </r>
      </text>
    </comment>
    <comment ref="H215" authorId="0" shapeId="0" xr:uid="{00000000-0006-0000-0A00-00005B010000}">
      <text>
        <r>
          <rPr>
            <sz val="10"/>
            <rFont val="Arial"/>
            <family val="2"/>
            <charset val="162"/>
          </rPr>
          <t>Önceki element: Arkan
Yeni element: Zihin
Zihinleri kırma gücü ve merhameti yeniden öğrenmesi.</t>
        </r>
      </text>
    </comment>
    <comment ref="F216" authorId="0" shapeId="0" xr:uid="{00000000-0006-0000-0A00-00005C010000}">
      <text>
        <r>
          <rPr>
            <sz val="10"/>
            <rFont val="Arial"/>
            <family val="2"/>
            <charset val="162"/>
          </rPr>
          <t>Önceki taslak: İnsan
Yeni ana ırk: İnsan
Güçlü — isim/hikâye
Görsel: İnsan görünümlü</t>
        </r>
      </text>
    </comment>
    <comment ref="H216" authorId="0" shapeId="0" xr:uid="{00000000-0006-0000-0A00-00005D010000}">
      <text>
        <r>
          <rPr>
            <sz val="10"/>
            <rFont val="Arial"/>
            <family val="2"/>
            <charset val="162"/>
          </rPr>
          <t>Önceki element: Arkan
Yeni element: Zaman
Geleceği görüp uyarılarıyla değiştirmesi.</t>
        </r>
      </text>
    </comment>
    <comment ref="F217" authorId="0" shapeId="0" xr:uid="{00000000-0006-0000-0A00-00005E010000}">
      <text>
        <r>
          <rPr>
            <sz val="10"/>
            <rFont val="Arial"/>
            <family val="2"/>
            <charset val="162"/>
          </rPr>
          <t>Önceki taslak: İnsan
Yeni ana ırk: İnsan
Güçlü — isim/hikâye
Görsel: İnsan görünümlü</t>
        </r>
      </text>
    </comment>
    <comment ref="F218" authorId="0" shapeId="0" xr:uid="{00000000-0006-0000-0A00-00005F010000}">
      <text>
        <r>
          <rPr>
            <sz val="10"/>
            <rFont val="Arial"/>
            <family val="2"/>
            <charset val="162"/>
          </rPr>
          <t>Önceki taslak: Astral
Yeni ana ırk: Astral
Kesin — kullanıcı onayı/kuralı
Kullanıcı doğrulaması: insan görünümü yok, Astral. | Görsel: Astral görünümlü</t>
        </r>
      </text>
    </comment>
    <comment ref="F219" authorId="0" shapeId="0" xr:uid="{00000000-0006-0000-0A00-000060010000}">
      <text>
        <r>
          <rPr>
            <sz val="10"/>
            <rFont val="Arial"/>
            <family val="2"/>
            <charset val="162"/>
          </rPr>
          <t>Önceki taslak: Astral
Yeni ana ırk: Astral
Güçlü — isim/hikâye
Görsel: İnsan görünümlü</t>
        </r>
      </text>
    </comment>
    <comment ref="L219" authorId="0" shapeId="0" xr:uid="{00000000-0006-0000-0A00-000061010000}">
      <text>
        <r>
          <rPr>
            <sz val="10"/>
            <rFont val="Arial"/>
            <family val="2"/>
            <charset val="162"/>
          </rPr>
          <t>Ana listedeki özgün örnek (kısaltılmadan önce):
Kullandığı her büyüden sonra sarsılmaz bir kalkan örer, düşman saldırıları ona isabet ettikçe gücüne güç katar ve savunmasını daha da sağlamlaştırır.</t>
        </r>
      </text>
    </comment>
    <comment ref="F220" authorId="0" shapeId="0" xr:uid="{00000000-0006-0000-0A00-000062010000}">
      <text>
        <r>
          <rPr>
            <sz val="10"/>
            <rFont val="Arial"/>
            <family val="2"/>
            <charset val="162"/>
          </rPr>
          <t>Önceki taslak: Gölge
Yeni ana ırk: Gölge
Güçlü — görsel
Görsel: Gölge/ruh yaratığı</t>
        </r>
      </text>
    </comment>
    <comment ref="H220" authorId="0" shapeId="0" xr:uid="{00000000-0006-0000-0A00-000063010000}">
      <text>
        <r>
          <rPr>
            <sz val="10"/>
            <rFont val="Arial"/>
            <family val="2"/>
            <charset val="162"/>
          </rPr>
          <t>Önceki element: Gölge
Yeni element: Ruh
Çağırdığı ruhlar ve hayaletlerle iletişim.</t>
        </r>
      </text>
    </comment>
    <comment ref="F221" authorId="0" shapeId="0" xr:uid="{00000000-0006-0000-0A00-000064010000}">
      <text>
        <r>
          <rPr>
            <sz val="10"/>
            <rFont val="Arial"/>
            <family val="2"/>
            <charset val="162"/>
          </rPr>
          <t>Önceki taslak: Gölge
Yeni ana ırk: Gölge
Kesin — kullanıcı onayı/kuralı
Görsel: İnsan görünümlü</t>
        </r>
      </text>
    </comment>
    <comment ref="F222" authorId="0" shapeId="0" xr:uid="{00000000-0006-0000-0A00-000065010000}">
      <text>
        <r>
          <rPr>
            <sz val="10"/>
            <rFont val="Arial"/>
            <family val="2"/>
            <charset val="162"/>
          </rPr>
          <t>Önceki taslak: İnsan
Yeni ana ırk: İnsan
Güçlü — isim/hikâye
Görsel: İnsan görünümlü</t>
        </r>
      </text>
    </comment>
    <comment ref="F223" authorId="0" shapeId="0" xr:uid="{00000000-0006-0000-0A00-000066010000}">
      <text>
        <r>
          <rPr>
            <sz val="10"/>
            <rFont val="Arial"/>
            <family val="2"/>
            <charset val="162"/>
          </rPr>
          <t>Önceki taslak: İnsan
Yeni ana ırk: İnsan
Güçlü — isim/hikâye
Görsel: İnsan görünümlü</t>
        </r>
      </text>
    </comment>
    <comment ref="F224" authorId="0" shapeId="0" xr:uid="{00000000-0006-0000-0A00-000067010000}">
      <text>
        <r>
          <rPr>
            <sz val="10"/>
            <rFont val="Arial"/>
            <family val="2"/>
            <charset val="162"/>
          </rPr>
          <t>Önceki taslak: İnsan
Yeni ana ırk: İnsan
Güçlü — isim/hikâye
Görsel: İnsan görünümlü</t>
        </r>
      </text>
    </comment>
    <comment ref="H224" authorId="0" shapeId="0" xr:uid="{00000000-0006-0000-0A00-000068010000}">
      <text>
        <r>
          <rPr>
            <sz val="10"/>
            <rFont val="Arial"/>
            <family val="2"/>
            <charset val="162"/>
          </rPr>
          <t>Önceki element: Arkan
Yeni element: Kaos
Sınıflar arası dağılım için karakter adı, hikâyesi ve mevcut yetenek temaları birlikte değerlendirildi.</t>
        </r>
      </text>
    </comment>
    <comment ref="F225" authorId="0" shapeId="0" xr:uid="{00000000-0006-0000-0A00-000069010000}">
      <text>
        <r>
          <rPr>
            <sz val="10"/>
            <rFont val="Arial"/>
            <family val="2"/>
            <charset val="162"/>
          </rPr>
          <t>Önceki taslak: Mutant
Yeni ana ırk: Böceksırt
Kesin — kullanıcı onayı/kuralı
Görsel: Böcek/araknid varlık | Dağılım revizyonu: Mutant → Böceksırt.</t>
        </r>
      </text>
    </comment>
    <comment ref="F226" authorId="0" shapeId="0" xr:uid="{00000000-0006-0000-0A00-00006A010000}">
      <text>
        <r>
          <rPr>
            <sz val="10"/>
            <rFont val="Arial"/>
            <family val="2"/>
            <charset val="162"/>
          </rPr>
          <t>Önceki taslak: Gölge
Yeni ana ırk: Gölge
Güçlü — isim/hikâye
Görsel: Enerji/soyut varlık</t>
        </r>
      </text>
    </comment>
    <comment ref="F227" authorId="0" shapeId="0" xr:uid="{00000000-0006-0000-0A00-00006B010000}">
      <text>
        <r>
          <rPr>
            <sz val="10"/>
            <rFont val="Arial"/>
            <family val="2"/>
            <charset val="162"/>
          </rPr>
          <t>Önceki taslak: Mutant
Yeni ana ırk: Böceksırt
Kesin — kullanıcı onayı/kuralı
Görsel: Böcek/araknid varlık | Dağılım revizyonu: Mutant → Böceksırt.</t>
        </r>
      </text>
    </comment>
    <comment ref="F228" authorId="0" shapeId="0" xr:uid="{00000000-0006-0000-0A00-00006C010000}">
      <text>
        <r>
          <rPr>
            <sz val="10"/>
            <rFont val="Arial"/>
            <family val="2"/>
            <charset val="162"/>
          </rPr>
          <t>Önceki taslak: Astral
Yeni ana ırk: Astral
Güçlü — isim/hikâye
Görsel: Enerji/soyut varlık</t>
        </r>
      </text>
    </comment>
    <comment ref="H228" authorId="0" shapeId="0" xr:uid="{00000000-0006-0000-0A00-00006D010000}">
      <text>
        <r>
          <rPr>
            <sz val="10"/>
            <rFont val="Arial"/>
            <family val="2"/>
            <charset val="162"/>
          </rPr>
          <t>Önceki element: Astral
Yeni element: Işık
Sınıflar arası dağılım için karakter adı, hikâyesi ve mevcut yetenek temaları birlikte değerlendirildi.</t>
        </r>
      </text>
    </comment>
    <comment ref="F229" authorId="0" shapeId="0" xr:uid="{00000000-0006-0000-0A00-00006E010000}">
      <text>
        <r>
          <rPr>
            <sz val="10"/>
            <rFont val="Arial"/>
            <family val="2"/>
            <charset val="162"/>
          </rPr>
          <t>Önceki taslak: Mutant
Yeni ana ırk: Sürüngensoy
Kesin — kullanıcı onayı/kuralı
Görsel: Hayvan/kanatlı hayvan-insansı | Dağılım revizyonu: Mutant → Sürüngensoy.</t>
        </r>
      </text>
    </comment>
    <comment ref="H229" authorId="0" shapeId="0" xr:uid="{00000000-0006-0000-0A00-00006F010000}">
      <text>
        <r>
          <rPr>
            <sz val="10"/>
            <rFont val="Arial"/>
            <family val="2"/>
            <charset val="162"/>
          </rPr>
          <t>Önceki element: Arkan
Yeni element: Savaş
Sınıflar arası dağılım için karakter adı, hikâyesi ve mevcut yetenek temaları birlikte değerlendirildi.</t>
        </r>
      </text>
    </comment>
    <comment ref="F230" authorId="0" shapeId="0" xr:uid="{00000000-0006-0000-0A00-000070010000}">
      <text>
        <r>
          <rPr>
            <sz val="10"/>
            <rFont val="Arial"/>
            <family val="2"/>
            <charset val="162"/>
          </rPr>
          <t>Önceki taslak: Astral
Yeni ana ırk: Tanrısal
Güçlü — isim/hikâye
Görsel: Melek/kanatlı insansı | Dağılım revizyonu: Astral → Tanrısal.</t>
        </r>
      </text>
    </comment>
    <comment ref="F231" authorId="0" shapeId="0" xr:uid="{00000000-0006-0000-0A00-000071010000}">
      <text>
        <r>
          <rPr>
            <sz val="10"/>
            <rFont val="Arial"/>
            <family val="2"/>
            <charset val="162"/>
          </rPr>
          <t>Önceki taslak: Astral
Yeni ana ırk: Astral
Orta
Görsel: Melek/kanatlı insansı</t>
        </r>
      </text>
    </comment>
    <comment ref="H231" authorId="0" shapeId="0" xr:uid="{00000000-0006-0000-0A00-000072010000}">
      <text>
        <r>
          <rPr>
            <sz val="10"/>
            <rFont val="Arial"/>
            <family val="2"/>
            <charset val="162"/>
          </rPr>
          <t>Önceki element: Astral
Yeni element: Fırtına
Sınıflar arası dağılım için karakter adı, hikâyesi ve mevcut yetenek temaları birlikte değerlendirildi.</t>
        </r>
      </text>
    </comment>
    <comment ref="F232" authorId="0" shapeId="0" xr:uid="{00000000-0006-0000-0A00-000073010000}">
      <text>
        <r>
          <rPr>
            <sz val="10"/>
            <rFont val="Arial"/>
            <family val="2"/>
            <charset val="162"/>
          </rPr>
          <t>Önceki taslak: Astral
Yeni ana ırk: Astral
Güçlü — görsel
Görsel: Kozmik Aether yaratığı</t>
        </r>
      </text>
    </comment>
    <comment ref="H232" authorId="0" shapeId="0" xr:uid="{00000000-0006-0000-0A00-000074010000}">
      <text>
        <r>
          <rPr>
            <sz val="10"/>
            <rFont val="Arial"/>
            <family val="2"/>
            <charset val="162"/>
          </rPr>
          <t>Önceki element: Astral
Yeni element: Enerji
Bedenini koruyan Aether gücü.</t>
        </r>
      </text>
    </comment>
    <comment ref="F233" authorId="0" shapeId="0" xr:uid="{00000000-0006-0000-0A00-000075010000}">
      <text>
        <r>
          <rPr>
            <sz val="10"/>
            <rFont val="Arial"/>
            <family val="2"/>
            <charset val="162"/>
          </rPr>
          <t>Önceki taslak: Gölge
Yeni ana ırk: Gölge
Güçlü — isim/hikâye
Görsel: Enerji/soyut varlık</t>
        </r>
      </text>
    </comment>
    <comment ref="F234" authorId="0" shapeId="0" xr:uid="{00000000-0006-0000-0A00-000076010000}">
      <text>
        <r>
          <rPr>
            <sz val="10"/>
            <rFont val="Arial"/>
            <family val="2"/>
            <charset val="162"/>
          </rPr>
          <t>Önceki taslak: Astral
Yeni ana ırk: Astral
Güçlü — isim/hikâye
Görsel: Ateş/element varlığı</t>
        </r>
      </text>
    </comment>
    <comment ref="F235" authorId="0" shapeId="0" xr:uid="{00000000-0006-0000-0A00-000077010000}">
      <text>
        <r>
          <rPr>
            <sz val="10"/>
            <rFont val="Arial"/>
            <family val="2"/>
            <charset val="162"/>
          </rPr>
          <t>Önceki taslak: Mutant
Yeni ana ırk: Mutant
Güçlü — görsel
Görsel: Mutant/golem-insansı</t>
        </r>
      </text>
    </comment>
    <comment ref="H235" authorId="0" shapeId="0" xr:uid="{00000000-0006-0000-0A00-000078010000}">
      <text>
        <r>
          <rPr>
            <sz val="10"/>
            <rFont val="Arial"/>
            <family val="2"/>
            <charset val="162"/>
          </rPr>
          <t>Önceki element: Arkan
Yeni element: Savaş
Sınıflar arası dağılım için karakter adı, hikâyesi ve mevcut yetenek temaları birlikte değerlendirildi.</t>
        </r>
      </text>
    </comment>
    <comment ref="F236" authorId="0" shapeId="0" xr:uid="{00000000-0006-0000-0A00-000079010000}">
      <text>
        <r>
          <rPr>
            <sz val="10"/>
            <rFont val="Arial"/>
            <family val="2"/>
            <charset val="162"/>
          </rPr>
          <t>Önceki taslak: Astral
Yeni ana ırk: Astral
Güçlü — isim/hikâye
Görsel: Enerji/soyut varlık</t>
        </r>
      </text>
    </comment>
    <comment ref="F237" authorId="0" shapeId="0" xr:uid="{00000000-0006-0000-0A00-00007A010000}">
      <text>
        <r>
          <rPr>
            <sz val="10"/>
            <rFont val="Arial"/>
            <family val="2"/>
            <charset val="162"/>
          </rPr>
          <t>Önceki taslak: İnsan
Yeni ana ırk: İnsan
Güçlü — isim/hikâye
Görsel: İnsan görünümlü</t>
        </r>
      </text>
    </comment>
    <comment ref="F238" authorId="0" shapeId="0" xr:uid="{00000000-0006-0000-0A00-00007B010000}">
      <text>
        <r>
          <rPr>
            <sz val="10"/>
            <rFont val="Arial"/>
            <family val="2"/>
            <charset val="162"/>
          </rPr>
          <t>Önceki taslak: İnsan
Yeni ana ırk: İnsan
Güçlü — isim/hikâye
Görsel: İnsan görünümlü</t>
        </r>
      </text>
    </comment>
    <comment ref="H238" authorId="0" shapeId="0" xr:uid="{00000000-0006-0000-0A00-00007C010000}">
      <text>
        <r>
          <rPr>
            <sz val="10"/>
            <rFont val="Arial"/>
            <family val="2"/>
            <charset val="162"/>
          </rPr>
          <t>Önceki element: Zaman
Yeni element: Astral
Başka dünyaya açılan boyut kapısı.</t>
        </r>
      </text>
    </comment>
    <comment ref="F239" authorId="0" shapeId="0" xr:uid="{00000000-0006-0000-0A00-00007D010000}">
      <text>
        <r>
          <rPr>
            <sz val="10"/>
            <rFont val="Arial"/>
            <family val="2"/>
            <charset val="162"/>
          </rPr>
          <t>Önceki taslak: Sürüngensoy
Yeni ana ırk: Sürüngensoy
Kesin — kullanıcı onayı/kuralı
Görsel: Yılan/sürüngen-insansı</t>
        </r>
      </text>
    </comment>
    <comment ref="F240" authorId="0" shapeId="0" xr:uid="{00000000-0006-0000-0A00-00007E010000}">
      <text>
        <r>
          <rPr>
            <sz val="10"/>
            <rFont val="Arial"/>
            <family val="2"/>
            <charset val="162"/>
          </rPr>
          <t>Önceki taslak: Mutant
Yeni ana ırk: Böceksırt
Kesin — kullanıcı onayı/kuralı
Görsel: Böcek/araknid varlık | Dağılım revizyonu: Mutant → Böceksırt.</t>
        </r>
      </text>
    </comment>
    <comment ref="F241" authorId="0" shapeId="0" xr:uid="{00000000-0006-0000-0A00-00007F010000}">
      <text>
        <r>
          <rPr>
            <sz val="10"/>
            <rFont val="Arial"/>
            <family val="2"/>
            <charset val="162"/>
          </rPr>
          <t>Önceki taslak: İnsan
Yeni ana ırk: İnsan
Güçlü — isim/hikâye
Görsel: İnsan görünümlü</t>
        </r>
      </text>
    </comment>
    <comment ref="F242" authorId="0" shapeId="0" xr:uid="{00000000-0006-0000-0A00-000080010000}">
      <text>
        <r>
          <rPr>
            <sz val="10"/>
            <rFont val="Arial"/>
            <family val="2"/>
            <charset val="162"/>
          </rPr>
          <t>Önceki taslak: İnsan
Yeni ana ırk: İnsan
Güçlü — isim/hikâye
Görsel: İnsan görünümlü</t>
        </r>
      </text>
    </comment>
    <comment ref="F243" authorId="0" shapeId="0" xr:uid="{00000000-0006-0000-0A00-000081010000}">
      <text>
        <r>
          <rPr>
            <sz val="10"/>
            <rFont val="Arial"/>
            <family val="2"/>
            <charset val="162"/>
          </rPr>
          <t>Önceki taslak: Mutant
Yeni ana ırk: Mutant
Güçlü — isim/hikâye
Görsel: Ateş/element varlığı</t>
        </r>
      </text>
    </comment>
    <comment ref="F244" authorId="0" shapeId="0" xr:uid="{00000000-0006-0000-0A00-000082010000}">
      <text>
        <r>
          <rPr>
            <sz val="10"/>
            <rFont val="Arial"/>
            <family val="2"/>
            <charset val="162"/>
          </rPr>
          <t>Önceki taslak: Sürüngensoy
Yeni ana ırk: Sürüngensoy
Kesin — kullanıcı onayı/kuralı
Görsel: Ejder/kanatlı sürüngen-insansı</t>
        </r>
      </text>
    </comment>
    <comment ref="H244" authorId="0" shapeId="0" xr:uid="{00000000-0006-0000-0A00-000083010000}">
      <text>
        <r>
          <rPr>
            <sz val="10"/>
            <rFont val="Arial"/>
            <family val="2"/>
            <charset val="162"/>
          </rPr>
          <t>Önceki element: Arkan
Yeni element: Işık
Sınıflar arası dağılım için karakter adı, hikâyesi ve mevcut yetenek temaları birlikte değerlendirildi.</t>
        </r>
      </text>
    </comment>
    <comment ref="F245" authorId="0" shapeId="0" xr:uid="{00000000-0006-0000-0A00-000084010000}">
      <text>
        <r>
          <rPr>
            <sz val="10"/>
            <rFont val="Arial"/>
            <family val="2"/>
            <charset val="162"/>
          </rPr>
          <t>Önceki taslak: Elf
Yeni ana ırk: Elf
Güçlü — görsel
Görsel: Elf görünümlü; İnsan görünümlü</t>
        </r>
      </text>
    </comment>
    <comment ref="H245" authorId="0" shapeId="0" xr:uid="{00000000-0006-0000-0A00-000085010000}">
      <text>
        <r>
          <rPr>
            <sz val="10"/>
            <rFont val="Arial"/>
            <family val="2"/>
            <charset val="162"/>
          </rPr>
          <t>Önceki element: Arkan
Yeni element: Yaşam
Dünyanın ilk yarasını kapatabilecek büyü.</t>
        </r>
      </text>
    </comment>
    <comment ref="F246" authorId="0" shapeId="0" xr:uid="{00000000-0006-0000-0A00-000086010000}">
      <text>
        <r>
          <rPr>
            <sz val="10"/>
            <rFont val="Arial"/>
            <family val="2"/>
            <charset val="162"/>
          </rPr>
          <t>Önceki taslak: İnsan
Yeni ana ırk: İnsan
Güçlü — isim/hikâye
Görsel: İnsan görünümlü</t>
        </r>
      </text>
    </comment>
    <comment ref="F247" authorId="0" shapeId="0" xr:uid="{00000000-0006-0000-0A00-000087010000}">
      <text>
        <r>
          <rPr>
            <sz val="10"/>
            <rFont val="Arial"/>
            <family val="2"/>
            <charset val="162"/>
          </rPr>
          <t>Önceki taslak: Astral
Yeni ana ırk: Astral
Kesin — kullanıcı onayı/kuralı
Kullanıcı doğrulaması: görsel Astral. | Görsel: Astral görünümlü</t>
        </r>
      </text>
    </comment>
    <comment ref="F248" authorId="0" shapeId="0" xr:uid="{00000000-0006-0000-0A00-000088010000}">
      <text>
        <r>
          <rPr>
            <sz val="10"/>
            <rFont val="Arial"/>
            <family val="2"/>
            <charset val="162"/>
          </rPr>
          <t>Önceki taslak: İnsan
Yeni ana ırk: İnsan
Güçlü — isim/hikâye
Görsel: İnsan görünümlü</t>
        </r>
      </text>
    </comment>
    <comment ref="F249" authorId="0" shapeId="0" xr:uid="{00000000-0006-0000-0A00-000089010000}">
      <text>
        <r>
          <rPr>
            <sz val="10"/>
            <rFont val="Arial"/>
            <family val="2"/>
            <charset val="162"/>
          </rPr>
          <t>Önceki taslak: Tanrısal
Yeni ana ırk: Tanrısal
Güçlü — isim/hikâye
Görsel: Melek/kanatlı insansı</t>
        </r>
      </text>
    </comment>
    <comment ref="F250" authorId="0" shapeId="0" xr:uid="{00000000-0006-0000-0A00-00008A010000}">
      <text>
        <r>
          <rPr>
            <sz val="10"/>
            <rFont val="Arial"/>
            <family val="2"/>
            <charset val="162"/>
          </rPr>
          <t>Önceki taslak: İnsan
Yeni ana ırk: Astral
Dengeleme — kontrol önerilir
Güvenli görsel eşleşmesi yok; isim ve hikâye kullanıldı. | Dağılım revizyonu: İnsan → Astral.</t>
        </r>
      </text>
    </comment>
    <comment ref="F251" authorId="0" shapeId="0" xr:uid="{00000000-0006-0000-0A00-00008B010000}">
      <text>
        <r>
          <rPr>
            <sz val="10"/>
            <rFont val="Arial"/>
            <family val="2"/>
            <charset val="162"/>
          </rPr>
          <t>Önceki taslak: İnsan
Yeni ana ırk: İnsan
Güçlü — isim/hikâye
Görsel: İnsan görünümlü</t>
        </r>
      </text>
    </comment>
    <comment ref="F252" authorId="0" shapeId="0" xr:uid="{00000000-0006-0000-0A00-00008C010000}">
      <text>
        <r>
          <rPr>
            <sz val="10"/>
            <rFont val="Arial"/>
            <family val="2"/>
            <charset val="162"/>
          </rPr>
          <t>Önceki taslak: İnsan
Yeni ana ırk: İnsan
Güçlü — isim/hikâye
Görsel: İnsan görünümlü</t>
        </r>
      </text>
    </comment>
    <comment ref="F253" authorId="0" shapeId="0" xr:uid="{00000000-0006-0000-0A00-00008D010000}">
      <text>
        <r>
          <rPr>
            <sz val="10"/>
            <rFont val="Arial"/>
            <family val="2"/>
            <charset val="162"/>
          </rPr>
          <t>Önceki taslak: İnsan
Yeni ana ırk: İnsan
Güçlü — isim/hikâye
Görsel: İnsan görünümlü</t>
        </r>
      </text>
    </comment>
    <comment ref="F254" authorId="0" shapeId="0" xr:uid="{00000000-0006-0000-0A00-00008E010000}">
      <text>
        <r>
          <rPr>
            <sz val="10"/>
            <rFont val="Arial"/>
            <family val="2"/>
            <charset val="162"/>
          </rPr>
          <t>Önceki taslak: Canavar
Yeni ana ırk: Canavar
Güçlü — görsel
Görsel: Kurt-insansı</t>
        </r>
      </text>
    </comment>
    <comment ref="H254" authorId="0" shapeId="0" xr:uid="{00000000-0006-0000-0A00-00008F010000}">
      <text>
        <r>
          <rPr>
            <sz val="10"/>
            <rFont val="Arial"/>
            <family val="2"/>
            <charset val="162"/>
          </rPr>
          <t>Önceki element: Savaş
Yeni element: Zaman
Sınıflar arası dağılım için karakter adı, hikâyesi ve mevcut yetenek temaları birlikte değerlendirildi.</t>
        </r>
      </text>
    </comment>
    <comment ref="F255" authorId="0" shapeId="0" xr:uid="{00000000-0006-0000-0A00-000090010000}">
      <text>
        <r>
          <rPr>
            <sz val="10"/>
            <rFont val="Arial"/>
            <family val="2"/>
            <charset val="162"/>
          </rPr>
          <t>Önceki taslak: İnsan
Yeni ana ırk: İnsan
Güçlü — isim/hikâye
Görsel: İnsan görünümlü</t>
        </r>
      </text>
    </comment>
    <comment ref="F256" authorId="0" shapeId="0" xr:uid="{00000000-0006-0000-0A00-000091010000}">
      <text>
        <r>
          <rPr>
            <sz val="10"/>
            <rFont val="Arial"/>
            <family val="2"/>
            <charset val="162"/>
          </rPr>
          <t>Önceki taslak: İnsan
Yeni ana ırk: İnsan
Güçlü — isim/hikâye
Görsel: İnsan görünümlü</t>
        </r>
      </text>
    </comment>
    <comment ref="F257" authorId="0" shapeId="0" xr:uid="{00000000-0006-0000-0A00-000092010000}">
      <text>
        <r>
          <rPr>
            <sz val="10"/>
            <rFont val="Arial"/>
            <family val="2"/>
            <charset val="162"/>
          </rPr>
          <t>Önceki taslak: İnsan
Yeni ana ırk: İnsan
Güçlü — isim/hikâye
Görsel: İnsan görünümlü</t>
        </r>
      </text>
    </comment>
    <comment ref="F258" authorId="0" shapeId="0" xr:uid="{00000000-0006-0000-0A00-000093010000}">
      <text>
        <r>
          <rPr>
            <sz val="10"/>
            <rFont val="Arial"/>
            <family val="2"/>
            <charset val="162"/>
          </rPr>
          <t>Önceki taslak: İnsan
Yeni ana ırk: İnsan
Güçlü — isim/hikâye
Görsel: İnsan görünümlü</t>
        </r>
      </text>
    </comment>
    <comment ref="F259" authorId="0" shapeId="0" xr:uid="{00000000-0006-0000-0A00-000094010000}">
      <text>
        <r>
          <rPr>
            <sz val="10"/>
            <rFont val="Arial"/>
            <family val="2"/>
            <charset val="162"/>
          </rPr>
          <t>Önceki taslak: İnsan
Yeni ana ırk: İnsan
Güçlü — isim/hikâye
Görsel: İnsan görünümlü</t>
        </r>
      </text>
    </comment>
    <comment ref="F260" authorId="0" shapeId="0" xr:uid="{00000000-0006-0000-0A00-000095010000}">
      <text>
        <r>
          <rPr>
            <sz val="10"/>
            <rFont val="Arial"/>
            <family val="2"/>
            <charset val="162"/>
          </rPr>
          <t>Önceki taslak: İnsan
Yeni ana ırk: Elf
Orta
Görsel: İnsan görünümlü | Dağılım revizyonu: İnsan → Elf.</t>
        </r>
      </text>
    </comment>
    <comment ref="F261" authorId="0" shapeId="0" xr:uid="{00000000-0006-0000-0A00-000096010000}">
      <text>
        <r>
          <rPr>
            <sz val="10"/>
            <rFont val="Arial"/>
            <family val="2"/>
            <charset val="162"/>
          </rPr>
          <t>Önceki taslak: Elf
Yeni ana ırk: Elf
Kesin — kullanıcı onayı/kuralı
Görsel: Elf görünümlü</t>
        </r>
      </text>
    </comment>
    <comment ref="H261" authorId="0" shapeId="0" xr:uid="{00000000-0006-0000-0A00-000097010000}">
      <text>
        <r>
          <rPr>
            <sz val="10"/>
            <rFont val="Arial"/>
            <family val="2"/>
            <charset val="162"/>
          </rPr>
          <t>Önceki element: Işık
Yeni element: Astral
Sınıflar arası dağılım için karakter adı, hikâyesi ve mevcut yetenek temaları birlikte değerlendirildi.</t>
        </r>
      </text>
    </comment>
    <comment ref="F262" authorId="0" shapeId="0" xr:uid="{00000000-0006-0000-0A00-000098010000}">
      <text>
        <r>
          <rPr>
            <sz val="10"/>
            <rFont val="Arial"/>
            <family val="2"/>
            <charset val="162"/>
          </rPr>
          <t>Önceki taslak: Ölümsüz
Yeni ana ırk: Ölümsüz
Kesin — kullanıcı onayı/kuralı
Görsel: İnsan görünümlü</t>
        </r>
      </text>
    </comment>
    <comment ref="H262" authorId="0" shapeId="0" xr:uid="{00000000-0006-0000-0A00-000099010000}">
      <text>
        <r>
          <rPr>
            <sz val="10"/>
            <rFont val="Arial"/>
            <family val="2"/>
            <charset val="162"/>
          </rPr>
          <t>Önceki element: Kaos
Yeni element: Yaşam
Sınıflar arası dağılım için karakter adı, hikâyesi ve mevcut yetenek temaları birlikte değerlendirildi.</t>
        </r>
      </text>
    </comment>
    <comment ref="F263" authorId="0" shapeId="0" xr:uid="{00000000-0006-0000-0A00-00009A010000}">
      <text>
        <r>
          <rPr>
            <sz val="10"/>
            <rFont val="Arial"/>
            <family val="2"/>
            <charset val="162"/>
          </rPr>
          <t>Önceki taslak: İnsan
Yeni ana ırk: İnsan
Güçlü — isim/hikâye
Görsel: İnsan görünümlü</t>
        </r>
      </text>
    </comment>
    <comment ref="H263" authorId="0" shapeId="0" xr:uid="{00000000-0006-0000-0A00-00009B010000}">
      <text>
        <r>
          <rPr>
            <sz val="10"/>
            <rFont val="Arial"/>
            <family val="2"/>
            <charset val="162"/>
          </rPr>
          <t>Önceki element: Fırtına
Yeni element: Enerji
Sınıflar arası dağılım için karakter adı, hikâyesi ve mevcut yetenek temaları birlikte değerlendirildi.</t>
        </r>
      </text>
    </comment>
    <comment ref="F264" authorId="0" shapeId="0" xr:uid="{00000000-0006-0000-0A00-00009C010000}">
      <text>
        <r>
          <rPr>
            <sz val="10"/>
            <rFont val="Arial"/>
            <family val="2"/>
            <charset val="162"/>
          </rPr>
          <t>Önceki taslak: İnsan
Yeni ana ırk: İnsan
Güçlü — isim/hikâye
Görsel: İnsan görünümlü</t>
        </r>
      </text>
    </comment>
    <comment ref="F265" authorId="0" shapeId="0" xr:uid="{00000000-0006-0000-0A00-00009D010000}">
      <text>
        <r>
          <rPr>
            <sz val="10"/>
            <rFont val="Arial"/>
            <family val="2"/>
            <charset val="162"/>
          </rPr>
          <t>Önceki taslak: İnsan
Yeni ana ırk: Böceksırt
Kesin — kullanıcı onayı/kuralı
Güvenli görsel eşleşmesi yok; isim ve hikâye kullanıldı. | Dağılım revizyonu: İnsan → Böceksırt.</t>
        </r>
      </text>
    </comment>
    <comment ref="H265" authorId="0" shapeId="0" xr:uid="{00000000-0006-0000-0A00-00009E010000}">
      <text>
        <r>
          <rPr>
            <sz val="10"/>
            <rFont val="Arial"/>
            <family val="2"/>
            <charset val="162"/>
          </rPr>
          <t>Önceki element: Gölge
Yeni element: Zehir
Pençe kullanan savaşçıya, sınıftan bağımsız zehir güç kaynağı atandı.</t>
        </r>
      </text>
    </comment>
    <comment ref="F266" authorId="0" shapeId="0" xr:uid="{00000000-0006-0000-0A00-00009F010000}">
      <text>
        <r>
          <rPr>
            <sz val="10"/>
            <rFont val="Arial"/>
            <family val="2"/>
            <charset val="162"/>
          </rPr>
          <t>Önceki taslak: İnsan
Yeni ana ırk: İnsan
Güçlü — isim/hikâye
Görsel: İnsan görünümlü</t>
        </r>
      </text>
    </comment>
    <comment ref="H266" authorId="0" shapeId="0" xr:uid="{00000000-0006-0000-0A00-0000A0010000}">
      <text>
        <r>
          <rPr>
            <sz val="10"/>
            <rFont val="Arial"/>
            <family val="2"/>
            <charset val="162"/>
          </rPr>
          <t>Önceki element: Savaş
Yeni element: Zihin
Sınıflar arası dağılım için karakter adı, hikâyesi ve mevcut yetenek temaları birlikte değerlendirildi.</t>
        </r>
      </text>
    </comment>
    <comment ref="F267" authorId="0" shapeId="0" xr:uid="{00000000-0006-0000-0A00-0000A1010000}">
      <text>
        <r>
          <rPr>
            <sz val="10"/>
            <rFont val="Arial"/>
            <family val="2"/>
            <charset val="162"/>
          </rPr>
          <t>Önceki taslak: Canavar
Yeni ana ırk: Canavar
Güçlü — görsel
Görsel: Aslan-insansı</t>
        </r>
      </text>
    </comment>
    <comment ref="F268" authorId="0" shapeId="0" xr:uid="{00000000-0006-0000-0A00-0000A2010000}">
      <text>
        <r>
          <rPr>
            <sz val="10"/>
            <rFont val="Arial"/>
            <family val="2"/>
            <charset val="162"/>
          </rPr>
          <t>Önceki taslak: Ejdersoy
Yeni ana ırk: Sürüngensoy
Kesin — kullanıcı onayı/kuralı
Görsel: Ejder/kanatlı sürüngen-insansı | Dağılım revizyonu: Ejdersoy → Sürüngensoy.</t>
        </r>
      </text>
    </comment>
    <comment ref="H268" authorId="0" shapeId="0" xr:uid="{00000000-0006-0000-0A00-0000A3010000}">
      <text>
        <r>
          <rPr>
            <sz val="10"/>
            <rFont val="Arial"/>
            <family val="2"/>
            <charset val="162"/>
          </rPr>
          <t>Önceki element: Savaş
Yeni element: Arkan
Sınıflar arası dağılım için karakter adı, hikâyesi ve mevcut yetenek temaları birlikte değerlendirildi.</t>
        </r>
      </text>
    </comment>
    <comment ref="F269" authorId="0" shapeId="0" xr:uid="{00000000-0006-0000-0A00-0000A4010000}">
      <text>
        <r>
          <rPr>
            <sz val="10"/>
            <rFont val="Arial"/>
            <family val="2"/>
            <charset val="162"/>
          </rPr>
          <t>Önceki taslak: İnsan
Yeni ana ırk: İnsan
Güçlü — isim/hikâye
Görsel: İnsan görünümlü</t>
        </r>
      </text>
    </comment>
    <comment ref="H269" authorId="0" shapeId="0" xr:uid="{00000000-0006-0000-0A00-0000A5010000}">
      <text>
        <r>
          <rPr>
            <sz val="10"/>
            <rFont val="Arial"/>
            <family val="2"/>
            <charset val="162"/>
          </rPr>
          <t>Önceki element: Savaş
Yeni element: Metal
Sınıflar arası dağılım için karakter adı, hikâyesi ve mevcut yetenek temaları birlikte değerlendirildi.</t>
        </r>
      </text>
    </comment>
    <comment ref="F270" authorId="0" shapeId="0" xr:uid="{00000000-0006-0000-0A00-0000A6010000}">
      <text>
        <r>
          <rPr>
            <sz val="10"/>
            <rFont val="Arial"/>
            <family val="2"/>
            <charset val="162"/>
          </rPr>
          <t>Önceki taslak: İnsan
Yeni ana ırk: İnsan
Güçlü — isim/hikâye
Görsel: İnsan görünümlü</t>
        </r>
      </text>
    </comment>
    <comment ref="F271" authorId="0" shapeId="0" xr:uid="{00000000-0006-0000-0A00-0000A7010000}">
      <text>
        <r>
          <rPr>
            <sz val="10"/>
            <rFont val="Arial"/>
            <family val="2"/>
            <charset val="162"/>
          </rPr>
          <t>Önceki taslak: İnsan
Yeni ana ırk: İnsan
Güçlü — isim/hikâye
Görsel: İnsan görünümlü</t>
        </r>
      </text>
    </comment>
    <comment ref="F272" authorId="0" shapeId="0" xr:uid="{00000000-0006-0000-0A00-0000A8010000}">
      <text>
        <r>
          <rPr>
            <sz val="10"/>
            <rFont val="Arial"/>
            <family val="2"/>
            <charset val="162"/>
          </rPr>
          <t>Önceki taslak: İnsan
Yeni ana ırk: İnsan
Güçlü — isim/hikâye
Görsel: İnsan görünümlü</t>
        </r>
      </text>
    </comment>
    <comment ref="F273" authorId="0" shapeId="0" xr:uid="{00000000-0006-0000-0A00-0000A9010000}">
      <text>
        <r>
          <rPr>
            <sz val="10"/>
            <rFont val="Arial"/>
            <family val="2"/>
            <charset val="162"/>
          </rPr>
          <t>Önceki taslak: Canavar
Yeni ana ırk: Canavar
Güçlü — görsel
Görsel: Minotor</t>
        </r>
      </text>
    </comment>
    <comment ref="H273" authorId="0" shapeId="0" xr:uid="{00000000-0006-0000-0A00-0000AA010000}">
      <text>
        <r>
          <rPr>
            <sz val="10"/>
            <rFont val="Arial"/>
            <family val="2"/>
            <charset val="162"/>
          </rPr>
          <t>Önceki element: Savaş
Yeni element: Denge
Sınıflar arası dağılım için karakter adı, hikâyesi ve mevcut yetenek temaları birlikte değerlendirildi.</t>
        </r>
      </text>
    </comment>
    <comment ref="F274" authorId="0" shapeId="0" xr:uid="{00000000-0006-0000-0A00-0000AB010000}">
      <text>
        <r>
          <rPr>
            <sz val="10"/>
            <rFont val="Arial"/>
            <family val="2"/>
            <charset val="162"/>
          </rPr>
          <t>Önceki taslak: Melek
Yeni ana ırk: Melek
Güçlü — görsel
Görsel: Melek/kanatlı insansı</t>
        </r>
      </text>
    </comment>
    <comment ref="F275" authorId="0" shapeId="0" xr:uid="{00000000-0006-0000-0A00-0000AC010000}">
      <text>
        <r>
          <rPr>
            <sz val="10"/>
            <rFont val="Arial"/>
            <family val="2"/>
            <charset val="162"/>
          </rPr>
          <t>Önceki taslak: Ejdersoy
Yeni ana ırk: Ejdersoy
Güçlü — görsel
Görsel: Ejder/kanatlı sürüngen-insansı</t>
        </r>
      </text>
    </comment>
    <comment ref="H275" authorId="0" shapeId="0" xr:uid="{00000000-0006-0000-0A00-0000AD010000}">
      <text>
        <r>
          <rPr>
            <sz val="10"/>
            <rFont val="Arial"/>
            <family val="2"/>
            <charset val="162"/>
          </rPr>
          <t>Önceki element: Savaş
Yeni element: Arkan
Sınıflar arası dağılım için karakter adı, hikâyesi ve mevcut yetenek temaları birlikte değerlendirildi.</t>
        </r>
      </text>
    </comment>
    <comment ref="F276" authorId="0" shapeId="0" xr:uid="{00000000-0006-0000-0A00-0000AE010000}">
      <text>
        <r>
          <rPr>
            <sz val="10"/>
            <rFont val="Arial"/>
            <family val="2"/>
            <charset val="162"/>
          </rPr>
          <t>Önceki taslak: İnsan
Yeni ana ırk: İnsan
Güçlü — isim/hikâye
Görsel: İnsan görünümlü</t>
        </r>
      </text>
    </comment>
    <comment ref="F277" authorId="0" shapeId="0" xr:uid="{00000000-0006-0000-0A00-0000AF010000}">
      <text>
        <r>
          <rPr>
            <sz val="10"/>
            <rFont val="Arial"/>
            <family val="2"/>
            <charset val="162"/>
          </rPr>
          <t>Önceki taslak: İnsan
Yeni ana ırk: İnsan
Güçlü — isim/hikâye
Görsel: İnsan görünümlü</t>
        </r>
      </text>
    </comment>
    <comment ref="F278" authorId="0" shapeId="0" xr:uid="{00000000-0006-0000-0A00-0000B0010000}">
      <text>
        <r>
          <rPr>
            <sz val="10"/>
            <rFont val="Arial"/>
            <family val="2"/>
            <charset val="162"/>
          </rPr>
          <t>Önceki taslak: İnsan
Yeni ana ırk: İnsan
Güçlü — isim/hikâye
Görsel: İnsan görünümlü</t>
        </r>
      </text>
    </comment>
    <comment ref="F279" authorId="0" shapeId="0" xr:uid="{00000000-0006-0000-0A00-0000B1010000}">
      <text>
        <r>
          <rPr>
            <sz val="10"/>
            <rFont val="Arial"/>
            <family val="2"/>
            <charset val="162"/>
          </rPr>
          <t>Önceki taslak: Canavar
Yeni ana ırk: Canavar
Güçlü — görsel
Görsel: Hayvan/kanatlı hayvan-insansı</t>
        </r>
      </text>
    </comment>
    <comment ref="F280" authorId="0" shapeId="0" xr:uid="{00000000-0006-0000-0A00-0000B2010000}">
      <text>
        <r>
          <rPr>
            <sz val="10"/>
            <rFont val="Arial"/>
            <family val="2"/>
            <charset val="162"/>
          </rPr>
          <t>Önceki taslak: Elf
Yeni ana ırk: Elf
Güçlü — görsel
Görsel: Elf görünümlü</t>
        </r>
      </text>
    </comment>
    <comment ref="H280" authorId="0" shapeId="0" xr:uid="{00000000-0006-0000-0A00-0000B3010000}">
      <text>
        <r>
          <rPr>
            <sz val="10"/>
            <rFont val="Arial"/>
            <family val="2"/>
            <charset val="162"/>
          </rPr>
          <t>Önceki element: Savaş
Yeni element: Doğa
Sınıflar arası dağılım için karakter adı, hikâyesi ve mevcut yetenek temaları birlikte değerlendirildi.</t>
        </r>
      </text>
    </comment>
    <comment ref="F281" authorId="0" shapeId="0" xr:uid="{00000000-0006-0000-0A00-0000B4010000}">
      <text>
        <r>
          <rPr>
            <sz val="10"/>
            <rFont val="Arial"/>
            <family val="2"/>
            <charset val="162"/>
          </rPr>
          <t>Önceki taslak: İnsan
Yeni ana ırk: Astral
Dengeleme — kontrol önerilir
Görsel: İnsan görünümlü | Dağılım revizyonu: İnsan → Astral.</t>
        </r>
      </text>
    </comment>
    <comment ref="F282" authorId="0" shapeId="0" xr:uid="{00000000-0006-0000-0A00-0000B5010000}">
      <text>
        <r>
          <rPr>
            <sz val="10"/>
            <rFont val="Arial"/>
            <family val="2"/>
            <charset val="162"/>
          </rPr>
          <t>Önceki taslak: İnsan
Yeni ana ırk: İnsan
Güçlü — isim/hikâye
Görsel: İnsan görünümlü</t>
        </r>
      </text>
    </comment>
    <comment ref="F283" authorId="0" shapeId="0" xr:uid="{00000000-0006-0000-0A00-0000B6010000}">
      <text>
        <r>
          <rPr>
            <sz val="10"/>
            <rFont val="Arial"/>
            <family val="2"/>
            <charset val="162"/>
          </rPr>
          <t>Önceki taslak: İnsan
Yeni ana ırk: Canavar
Orta
Güvenli görsel eşleşmesi yok; isim ve hikâye kullanıldı. | Dağılım revizyonu: İnsan → Canavar.</t>
        </r>
      </text>
    </comment>
    <comment ref="F284" authorId="0" shapeId="0" xr:uid="{00000000-0006-0000-0A00-0000B7010000}">
      <text>
        <r>
          <rPr>
            <sz val="10"/>
            <rFont val="Arial"/>
            <family val="2"/>
            <charset val="162"/>
          </rPr>
          <t>Önceki taslak: İnsan
Yeni ana ırk: Canavar
Orta
Güvenli görsel eşleşmesi yok; isim ve hikâye kullanıldı. | Dağılım revizyonu: İnsan → Canavar.</t>
        </r>
      </text>
    </comment>
    <comment ref="F285" authorId="0" shapeId="0" xr:uid="{00000000-0006-0000-0A00-0000B8010000}">
      <text>
        <r>
          <rPr>
            <sz val="10"/>
            <rFont val="Arial"/>
            <family val="2"/>
            <charset val="162"/>
          </rPr>
          <t>Önceki taslak: İnsan
Yeni ana ırk: Canavar
Orta
Güvenli görsel eşleşmesi yok; isim ve hikâye kullanıldı. | Dağılım revizyonu: İnsan → Canavar.</t>
        </r>
      </text>
    </comment>
    <comment ref="H285" authorId="0" shapeId="0" xr:uid="{00000000-0006-0000-0A00-0000B9010000}">
      <text>
        <r>
          <rPr>
            <sz val="10"/>
            <rFont val="Arial"/>
            <family val="2"/>
            <charset val="162"/>
          </rPr>
          <t>Önceki element: Metal
Yeni element: Denge
Ustalığı güç ile denetim arasında kurması.</t>
        </r>
      </text>
    </comment>
    <comment ref="F286" authorId="0" shapeId="0" xr:uid="{00000000-0006-0000-0A00-0000BA010000}">
      <text>
        <r>
          <rPr>
            <sz val="10"/>
            <rFont val="Arial"/>
            <family val="2"/>
            <charset val="162"/>
          </rPr>
          <t>Önceki taslak: İnsan
Yeni ana ırk: Mutant
Dengeleme — kontrol önerilir
Güvenli görsel eşleşmesi yok; isim ve hikâye kullanıldı. | Dağılım revizyonu: İnsan → Mutant.</t>
        </r>
      </text>
    </comment>
    <comment ref="H286" authorId="0" shapeId="0" xr:uid="{00000000-0006-0000-0A00-0000BB010000}">
      <text>
        <r>
          <rPr>
            <sz val="10"/>
            <rFont val="Arial"/>
            <family val="2"/>
            <charset val="162"/>
          </rPr>
          <t>Önceki element: Fırtına
Yeni element: Enerji
Sınıflar arası dağılım için karakter adı, hikâyesi ve mevcut yetenek temaları birlikte değerlendirildi.</t>
        </r>
      </text>
    </comment>
    <comment ref="F287" authorId="0" shapeId="0" xr:uid="{00000000-0006-0000-0A00-0000BC010000}">
      <text>
        <r>
          <rPr>
            <sz val="10"/>
            <rFont val="Arial"/>
            <family val="2"/>
            <charset val="162"/>
          </rPr>
          <t>Önceki taslak: İnsan
Yeni ana ırk: Dev
Kesin — kullanıcı onayı/kuralı
Güvenli görsel eşleşmesi yok; isim ve hikâye kullanıldı. | Dağılım revizyonu: İnsan → Dev.</t>
        </r>
      </text>
    </comment>
    <comment ref="F288" authorId="0" shapeId="0" xr:uid="{00000000-0006-0000-0A00-0000BD010000}">
      <text>
        <r>
          <rPr>
            <sz val="10"/>
            <rFont val="Arial"/>
            <family val="2"/>
            <charset val="162"/>
          </rPr>
          <t>Önceki taslak: İnsan
Yeni ana ırk: Böceksırt
Kesin — kullanıcı onayı/kuralı
Güvenli görsel eşleşmesi yok; isim ve hikâye kullanıldı. | Dağılım revizyonu: İnsan → Böceksırt.</t>
        </r>
      </text>
    </comment>
    <comment ref="F289" authorId="0" shapeId="0" xr:uid="{00000000-0006-0000-0A00-0000BE010000}">
      <text>
        <r>
          <rPr>
            <sz val="10"/>
            <rFont val="Arial"/>
            <family val="2"/>
            <charset val="162"/>
          </rPr>
          <t>Önceki taslak: Ölümsüz
Yeni ana ırk: Ölümsüz
Güçlü — isim/hikâye
Güvenli görsel eşleşmesi yok; isim ve hikâye kullanıldı.</t>
        </r>
      </text>
    </comment>
    <comment ref="F290" authorId="0" shapeId="0" xr:uid="{00000000-0006-0000-0A00-0000BF010000}">
      <text>
        <r>
          <rPr>
            <sz val="10"/>
            <rFont val="Arial"/>
            <family val="2"/>
            <charset val="162"/>
          </rPr>
          <t>Önceki taslak: İnsan
Yeni ana ırk: Mutant
Dengeleme — kontrol önerilir
Güvenli görsel eşleşmesi yok; isim ve hikâye kullanıldı. | Dağılım revizyonu: İnsan → Mutant.</t>
        </r>
      </text>
    </comment>
    <comment ref="H290" authorId="0" shapeId="0" xr:uid="{00000000-0006-0000-0A00-0000C0010000}">
      <text>
        <r>
          <rPr>
            <sz val="10"/>
            <rFont val="Arial"/>
            <family val="2"/>
            <charset val="162"/>
          </rPr>
          <t>Önceki element: Savaş
Yeni element: Toprak
Sınıflar arası dağılım için karakter adı, hikâyesi ve mevcut yetenek temaları birlikte değerlendirildi.</t>
        </r>
      </text>
    </comment>
    <comment ref="F291" authorId="0" shapeId="0" xr:uid="{00000000-0006-0000-0A00-0000C1010000}">
      <text>
        <r>
          <rPr>
            <sz val="10"/>
            <rFont val="Arial"/>
            <family val="2"/>
            <charset val="162"/>
          </rPr>
          <t>Önceki taslak: İnsan
Yeni ana ırk: Mutant
Orta
Güvenli görsel eşleşmesi yok; isim ve hikâye kullanıldı. | Dağılım revizyonu: İnsan → Mutant.</t>
        </r>
      </text>
    </comment>
    <comment ref="F292" authorId="0" shapeId="0" xr:uid="{00000000-0006-0000-0A00-0000C2010000}">
      <text>
        <r>
          <rPr>
            <sz val="10"/>
            <rFont val="Arial"/>
            <family val="2"/>
            <charset val="162"/>
          </rPr>
          <t>Önceki taslak: Astral
Yeni ana ırk: Astral
Güçlü — isim/hikâye
Güvenli görsel eşleşmesi yok; isim ve hikâye kullanıldı.</t>
        </r>
      </text>
    </comment>
    <comment ref="F293" authorId="0" shapeId="0" xr:uid="{00000000-0006-0000-0A00-0000C3010000}">
      <text>
        <r>
          <rPr>
            <sz val="10"/>
            <rFont val="Arial"/>
            <family val="2"/>
            <charset val="162"/>
          </rPr>
          <t>Önceki taslak: Ejdersoy
Yeni ana ırk: Sürüngensoy
Kesin — kullanıcı onayı/kuralı
Güvenli görsel eşleşmesi yok; isim ve hikâye kullanıldı. | Dağılım revizyonu: Ejdersoy → Sürüngensoy.</t>
        </r>
      </text>
    </comment>
    <comment ref="H293" authorId="0" shapeId="0" xr:uid="{00000000-0006-0000-0A00-0000C4010000}">
      <text>
        <r>
          <rPr>
            <sz val="10"/>
            <rFont val="Arial"/>
            <family val="2"/>
            <charset val="162"/>
          </rPr>
          <t>Önceki element: Savaş
Yeni element: Arkan
Sınıflar arası dağılım için karakter adı, hikâyesi ve mevcut yetenek temaları birlikte değerlendirildi.</t>
        </r>
      </text>
    </comment>
    <comment ref="F294" authorId="0" shapeId="0" xr:uid="{00000000-0006-0000-0A00-0000C5010000}">
      <text>
        <r>
          <rPr>
            <sz val="10"/>
            <rFont val="Arial"/>
            <family val="2"/>
            <charset val="162"/>
          </rPr>
          <t>Önceki taslak: İnsan
Yeni ana ırk: Canavar
Orta
Güvenli görsel eşleşmesi yok; isim ve hikâye kullanıldı. | Dağılım revizyonu: İnsan → Canavar.</t>
        </r>
      </text>
    </comment>
    <comment ref="H294" authorId="0" shapeId="0" xr:uid="{00000000-0006-0000-0A00-0000C6010000}">
      <text>
        <r>
          <rPr>
            <sz val="10"/>
            <rFont val="Arial"/>
            <family val="2"/>
            <charset val="162"/>
          </rPr>
          <t>Önceki element: Fırtına
Yeni element: Zaman
Sınıflar arası dağılım için karakter adı, hikâyesi ve mevcut yetenek temaları birlikte değerlendirildi.</t>
        </r>
      </text>
    </comment>
    <comment ref="F295" authorId="0" shapeId="0" xr:uid="{00000000-0006-0000-0A00-0000C7010000}">
      <text>
        <r>
          <rPr>
            <sz val="10"/>
            <rFont val="Arial"/>
            <family val="2"/>
            <charset val="162"/>
          </rPr>
          <t>Önceki taslak: Astral
Yeni ana ırk: Astral
Güçlü — isim/hikâye
Güvenli görsel eşleşmesi yok; isim ve hikâye kullanıldı.</t>
        </r>
      </text>
    </comment>
    <comment ref="F296" authorId="0" shapeId="0" xr:uid="{00000000-0006-0000-0A00-0000C8010000}">
      <text>
        <r>
          <rPr>
            <sz val="10"/>
            <rFont val="Arial"/>
            <family val="2"/>
            <charset val="162"/>
          </rPr>
          <t>Önceki taslak: İnsan
Yeni ana ırk: Dev
Dengeleme — kontrol önerilir
Güvenli görsel eşleşmesi yok; isim ve hikâye kullanıldı. | Dağılım revizyonu: İnsan → Dev.</t>
        </r>
      </text>
    </comment>
    <comment ref="F297" authorId="0" shapeId="0" xr:uid="{00000000-0006-0000-0A00-0000C9010000}">
      <text>
        <r>
          <rPr>
            <sz val="10"/>
            <rFont val="Arial"/>
            <family val="2"/>
            <charset val="162"/>
          </rPr>
          <t>Önceki taslak: İnsan
Yeni ana ırk: Mutant
Dengeleme — kontrol önerilir
Güvenli görsel eşleşmesi yok; isim ve hikâye kullanıldı. | Dağılım revizyonu: İnsan → Mutant.</t>
        </r>
      </text>
    </comment>
    <comment ref="H297" authorId="0" shapeId="0" xr:uid="{00000000-0006-0000-0A00-0000CA010000}">
      <text>
        <r>
          <rPr>
            <sz val="10"/>
            <rFont val="Arial"/>
            <family val="2"/>
            <charset val="162"/>
          </rPr>
          <t>Önceki element: Savaş
Yeni element: Buz
Sınıflar arası dağılım için karakter adı, hikâyesi ve mevcut yetenek temaları birlikte değerlendirildi.</t>
        </r>
      </text>
    </comment>
    <comment ref="F298" authorId="0" shapeId="0" xr:uid="{00000000-0006-0000-0A00-0000CB010000}">
      <text>
        <r>
          <rPr>
            <sz val="10"/>
            <rFont val="Arial"/>
            <family val="2"/>
            <charset val="162"/>
          </rPr>
          <t>Önceki taslak: İnsan
Yeni ana ırk: Tanrısal
Orta
Güvenli görsel eşleşmesi yok; isim ve hikâye kullanıldı. | Dağılım revizyonu: İnsan → Tanrısal.</t>
        </r>
      </text>
    </comment>
    <comment ref="H298" authorId="0" shapeId="0" xr:uid="{00000000-0006-0000-0A00-0000CC010000}">
      <text>
        <r>
          <rPr>
            <sz val="10"/>
            <rFont val="Arial"/>
            <family val="2"/>
            <charset val="162"/>
          </rPr>
          <t>Önceki element: Savaş
Yeni element: Yaşam
Sınıflar arası dağılım için karakter adı, hikâyesi ve mevcut yetenek temaları birlikte değerlendirildi.</t>
        </r>
      </text>
    </comment>
    <comment ref="F299" authorId="0" shapeId="0" xr:uid="{00000000-0006-0000-0A00-0000CD010000}">
      <text>
        <r>
          <rPr>
            <sz val="10"/>
            <rFont val="Arial"/>
            <family val="2"/>
            <charset val="162"/>
          </rPr>
          <t>Önceki taslak: Gölge
Yeni ana ırk: Dev
Dengeleme — kontrol önerilir
Güvenli görsel eşleşmesi yok; isim ve hikâye kullanıldı. | Dağılım revizyonu: Gölge → Dev.</t>
        </r>
      </text>
    </comment>
    <comment ref="F300" authorId="0" shapeId="0" xr:uid="{00000000-0006-0000-0A00-0000CE010000}">
      <text>
        <r>
          <rPr>
            <sz val="10"/>
            <rFont val="Arial"/>
            <family val="2"/>
            <charset val="162"/>
          </rPr>
          <t>Önceki taslak: İnsan
Yeni ana ırk: Dev
Dengeleme — kontrol önerilir
Güvenli görsel eşleşmesi yok; isim ve hikâye kullanıldı. | Dağılım revizyonu: İnsan → Dev.</t>
        </r>
      </text>
    </comment>
    <comment ref="F301" authorId="0" shapeId="0" xr:uid="{00000000-0006-0000-0A00-0000CF010000}">
      <text>
        <r>
          <rPr>
            <sz val="10"/>
            <rFont val="Arial"/>
            <family val="2"/>
            <charset val="162"/>
          </rPr>
          <t>Önceki taslak: İnsan
Yeni ana ırk: Melek
Dengeleme — kontrol önerilir
Güvenli görsel eşleşmesi yok; isim ve hikâye kullanıldı. | Dağılım revizyonu: İnsan → Melek.</t>
        </r>
      </text>
    </comment>
    <comment ref="F302" authorId="0" shapeId="0" xr:uid="{00000000-0006-0000-0A00-0000D0010000}">
      <text>
        <r>
          <rPr>
            <sz val="10"/>
            <rFont val="Arial"/>
            <family val="2"/>
            <charset val="162"/>
          </rPr>
          <t>Önceki taslak: İnsan
Yeni ana ırk: Dev
Kesin — kullanıcı onayı/kuralı
Güvenli görsel eşleşmesi yok; isim ve hikâye kullanıldı. | Dağılım revizyonu: İnsan → Dev.</t>
        </r>
      </text>
    </comment>
    <comment ref="F303" authorId="0" shapeId="0" xr:uid="{00000000-0006-0000-0A00-0000D1010000}">
      <text>
        <r>
          <rPr>
            <sz val="10"/>
            <rFont val="Arial"/>
            <family val="2"/>
            <charset val="162"/>
          </rPr>
          <t>Önceki taslak: Canavar
Yeni ana ırk: Canavar
Güçlü — isim/hikâye
Güvenli görsel eşleşmesi yok; isim ve hikâye kullanıldı.</t>
        </r>
      </text>
    </comment>
    <comment ref="F304" authorId="0" shapeId="0" xr:uid="{00000000-0006-0000-0A00-0000D2010000}">
      <text>
        <r>
          <rPr>
            <sz val="10"/>
            <rFont val="Arial"/>
            <family val="2"/>
            <charset val="162"/>
          </rPr>
          <t>Önceki taslak: İnsan
Yeni ana ırk: Mutant
Dengeleme — kontrol önerilir
Güvenli görsel eşleşmesi yok; isim ve hikâye kullanıldı. | Dağılım revizyonu: İnsan → Mutant.</t>
        </r>
      </text>
    </comment>
    <comment ref="F305" authorId="0" shapeId="0" xr:uid="{00000000-0006-0000-0A00-0000D3010000}">
      <text>
        <r>
          <rPr>
            <sz val="10"/>
            <rFont val="Arial"/>
            <family val="2"/>
            <charset val="162"/>
          </rPr>
          <t>Önceki taslak: İnsan
Yeni ana ırk: Dev
Kesin — kullanıcı onayı/kuralı
Güvenli görsel eşleşmesi yok; isim ve hikâye kullanıldı. | Dağılım revizyonu: İnsan → Dev.</t>
        </r>
      </text>
    </comment>
    <comment ref="H305" authorId="0" shapeId="0" xr:uid="{00000000-0006-0000-0A00-0000D4010000}">
      <text>
        <r>
          <rPr>
            <sz val="10"/>
            <rFont val="Arial"/>
            <family val="2"/>
            <charset val="162"/>
          </rPr>
          <t>Önceki element: Savaş
Yeni element: Yaşam
Sınıflar arası dağılım için karakter adı, hikâyesi ve mevcut yetenek temaları birlikte değerlendirildi.</t>
        </r>
      </text>
    </comment>
    <comment ref="F306" authorId="0" shapeId="0" xr:uid="{00000000-0006-0000-0A00-0000D5010000}">
      <text>
        <r>
          <rPr>
            <sz val="10"/>
            <rFont val="Arial"/>
            <family val="2"/>
            <charset val="162"/>
          </rPr>
          <t>Önceki taslak: Gölge
Yeni ana ırk: Gölge
Güçlü — isim/hikâye
Güvenli görsel eşleşmesi yok; isim ve hikâye kullanıldı.</t>
        </r>
      </text>
    </comment>
    <comment ref="F307" authorId="0" shapeId="0" xr:uid="{00000000-0006-0000-0A00-0000D6010000}">
      <text>
        <r>
          <rPr>
            <sz val="10"/>
            <rFont val="Arial"/>
            <family val="2"/>
            <charset val="162"/>
          </rPr>
          <t>Önceki taslak: Melek
Yeni ana ırk: Melek
Güçlü — isim/hikâye
Güvenli görsel eşleşmesi yok; isim ve hikâye kullanıldı.</t>
        </r>
      </text>
    </comment>
    <comment ref="F308" authorId="0" shapeId="0" xr:uid="{00000000-0006-0000-0A00-0000D7010000}">
      <text>
        <r>
          <rPr>
            <sz val="10"/>
            <rFont val="Arial"/>
            <family val="2"/>
            <charset val="162"/>
          </rPr>
          <t>Önceki taslak: İnsan
Yeni ana ırk: Mutant
Orta
Güvenli görsel eşleşmesi yok; isim ve hikâye kullanıldı. | Dağılım revizyonu: İnsan → Mutant.</t>
        </r>
      </text>
    </comment>
    <comment ref="F309" authorId="0" shapeId="0" xr:uid="{00000000-0006-0000-0A00-0000D8010000}">
      <text>
        <r>
          <rPr>
            <sz val="10"/>
            <rFont val="Arial"/>
            <family val="2"/>
            <charset val="162"/>
          </rPr>
          <t>Önceki taslak: İnsan
Yeni ana ırk: Dev
Kesin — kullanıcı onayı/kuralı
Güvenli görsel eşleşmesi yok; isim ve hikâye kullanıldı. | Dağılım revizyonu: İnsan → Dev.</t>
        </r>
      </text>
    </comment>
    <comment ref="F310" authorId="0" shapeId="0" xr:uid="{00000000-0006-0000-0A00-0000D9010000}">
      <text>
        <r>
          <rPr>
            <sz val="10"/>
            <rFont val="Arial"/>
            <family val="2"/>
            <charset val="162"/>
          </rPr>
          <t>Önceki taslak: Gölge
Yeni ana ırk: Gölge
Güçlü — isim/hikâye
Güvenli görsel eşleşmesi yok; isim ve hikâye kullanıldı.</t>
        </r>
      </text>
    </comment>
    <comment ref="F311" authorId="0" shapeId="0" xr:uid="{00000000-0006-0000-0A00-0000DA010000}">
      <text>
        <r>
          <rPr>
            <sz val="10"/>
            <rFont val="Arial"/>
            <family val="2"/>
            <charset val="162"/>
          </rPr>
          <t>Önceki taslak: Tanrısal
Yeni ana ırk: Tanrısal
Güçlü — isim/hikâye
Güvenli görsel eşleşmesi yok; isim ve hikâye kullanıldı.</t>
        </r>
      </text>
    </comment>
    <comment ref="F312" authorId="0" shapeId="0" xr:uid="{00000000-0006-0000-0A00-0000DB010000}">
      <text>
        <r>
          <rPr>
            <sz val="10"/>
            <rFont val="Arial"/>
            <family val="2"/>
            <charset val="162"/>
          </rPr>
          <t>Önceki taslak: Astral
Yeni ana ırk: Astral
Orta
Güvenli görsel eşleşmesi yok; isim ve hikâye kullanıldı.</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Notion AI</author>
  </authors>
  <commentList>
    <comment ref="A1" authorId="0" shapeId="0" xr:uid="{00000000-0006-0000-0B00-000001000000}">
      <text>
        <r>
          <rPr>
            <sz val="10"/>
            <rFont val="Arial"/>
            <family val="2"/>
            <charset val="162"/>
          </rPr>
          <t>AYNA SAYFA: Güncellemeleri önce Tum_Karakterler_311 sayfasında yapın, sonra aynı ID satırına senkronlayın.</t>
        </r>
      </text>
    </comment>
    <comment ref="H1" authorId="0" shapeId="0" xr:uid="{00000000-0006-0000-0B00-000002000000}">
      <text>
        <r>
          <rPr>
            <sz val="10"/>
            <rFont val="Arial"/>
            <family val="2"/>
            <charset val="162"/>
          </rPr>
          <t>Element, sınıftan bağımsız bir güç kaynağı olarak dağıtıldı. Her sınıfta 19 elementin tamamı temsil edilir. Hikâyeler ve yetenek metinleri korunmuştur.</t>
        </r>
      </text>
    </comment>
    <comment ref="M1" authorId="0" shapeId="0" xr:uid="{00000000-0006-0000-0B00-000003000000}">
      <text>
        <r>
          <rPr>
            <sz val="10"/>
            <rFont val="Arial"/>
            <family val="2"/>
            <charset val="162"/>
          </rPr>
          <t>Boşluklar ve noktalama işaretleri dâhil karakter sayısıdır. Hikâye değiştirildiğinde otomatik hesaplanır.</t>
        </r>
      </text>
    </comment>
    <comment ref="N1" authorId="0" shapeId="0" xr:uid="{00000000-0006-0000-0B00-000004000000}">
      <text>
        <r>
          <rPr>
            <sz val="10"/>
            <rFont val="Arial"/>
            <family val="2"/>
            <charset val="162"/>
          </rPr>
          <t>Boşluklar ve noktalama dâhil en fazla 130 karakter. Metin değiştirildiğinde kontrol otomatik yenilenir.</t>
        </r>
      </text>
    </comment>
    <comment ref="F2" authorId="0" shapeId="0" xr:uid="{00000000-0006-0000-0B00-000005000000}">
      <text>
        <r>
          <rPr>
            <sz val="10"/>
            <rFont val="Arial"/>
            <family val="2"/>
            <charset val="162"/>
          </rPr>
          <t>Önceki taslak: İnsan
Yeni ana ırk: İnsan
Güçlü — isim/hikâye
Görsel: İnsan görünümlü</t>
        </r>
      </text>
    </comment>
    <comment ref="H2" authorId="0" shapeId="0" xr:uid="{00000000-0006-0000-0B00-000006000000}">
      <text>
        <r>
          <rPr>
            <sz val="10"/>
            <rFont val="Arial"/>
            <family val="2"/>
            <charset val="162"/>
          </rPr>
          <t>Önceki element: Yaşam
Yeni element: Metal
Sınıflar arası dağılım için karakter adı, hikâyesi ve mevcut yetenek temaları birlikte değerlendirildi.</t>
        </r>
      </text>
    </comment>
    <comment ref="F3" authorId="0" shapeId="0" xr:uid="{00000000-0006-0000-0B00-000007000000}">
      <text>
        <r>
          <rPr>
            <sz val="10"/>
            <rFont val="Arial"/>
            <family val="2"/>
            <charset val="162"/>
          </rPr>
          <t>Önceki taslak: İnsan
Yeni ana ırk: İnsan
Güçlü — isim/hikâye
Görsel: İnsan görünümlü</t>
        </r>
      </text>
    </comment>
    <comment ref="H3" authorId="0" shapeId="0" xr:uid="{00000000-0006-0000-0B00-000008000000}">
      <text>
        <r>
          <rPr>
            <sz val="10"/>
            <rFont val="Arial"/>
            <family val="2"/>
            <charset val="162"/>
          </rPr>
          <t>Önceki element: Ruh
Yeni element: Metal
Sınıflar arası dağılım için karakter adı, hikâyesi ve mevcut yetenek temaları birlikte değerlendirildi.</t>
        </r>
      </text>
    </comment>
    <comment ref="F4" authorId="0" shapeId="0" xr:uid="{00000000-0006-0000-0B00-000009000000}">
      <text>
        <r>
          <rPr>
            <sz val="10"/>
            <rFont val="Arial"/>
            <family val="2"/>
            <charset val="162"/>
          </rPr>
          <t>Önceki taslak: İnsan
Yeni ana ırk: İnsan
Güçlü — isim/hikâye
Görsel: İnsan görünümlü</t>
        </r>
      </text>
    </comment>
    <comment ref="H4" authorId="0" shapeId="0" xr:uid="{00000000-0006-0000-0B00-00000A000000}">
      <text>
        <r>
          <rPr>
            <sz val="10"/>
            <rFont val="Arial"/>
            <family val="2"/>
            <charset val="162"/>
          </rPr>
          <t>Önceki element: Işık
Yeni element: Savaş
Sınıflar arası dağılım için karakter adı, hikâyesi ve mevcut yetenek temaları birlikte değerlendirildi.</t>
        </r>
      </text>
    </comment>
    <comment ref="F5" authorId="0" shapeId="0" xr:uid="{00000000-0006-0000-0B00-00000B000000}">
      <text>
        <r>
          <rPr>
            <sz val="10"/>
            <rFont val="Arial"/>
            <family val="2"/>
            <charset val="162"/>
          </rPr>
          <t>Önceki taslak: İnsan
Yeni ana ırk: Elf
Orta
Görsel: İnsan görünümlü | Dağılım revizyonu: İnsan → Elf.</t>
        </r>
      </text>
    </comment>
    <comment ref="F6" authorId="0" shapeId="0" xr:uid="{00000000-0006-0000-0B00-00000C000000}">
      <text>
        <r>
          <rPr>
            <sz val="10"/>
            <rFont val="Arial"/>
            <family val="2"/>
            <charset val="162"/>
          </rPr>
          <t>Önceki taslak: İnsan
Yeni ana ırk: İnsan
Güçlü — isim/hikâye
Görsel: İnsan görünümlü</t>
        </r>
      </text>
    </comment>
    <comment ref="F7" authorId="0" shapeId="0" xr:uid="{00000000-0006-0000-0B00-00000D000000}">
      <text>
        <r>
          <rPr>
            <sz val="10"/>
            <rFont val="Arial"/>
            <family val="2"/>
            <charset val="162"/>
          </rPr>
          <t>Önceki taslak: Elf
Yeni ana ırk: Elf
Kesin — kullanıcı onayı/kuralı
Görsel: Elf görünümlü</t>
        </r>
      </text>
    </comment>
    <comment ref="H7" authorId="0" shapeId="0" xr:uid="{00000000-0006-0000-0B00-00000E000000}">
      <text>
        <r>
          <rPr>
            <sz val="10"/>
            <rFont val="Arial"/>
            <family val="2"/>
            <charset val="162"/>
          </rPr>
          <t>Önceki element: Yaşam
Yeni element: Fırtına
Bu sınıfta element çeşitliliği sağlamak üzere yeni ana güç kaynağı önerildi; hikâye ve yetenek metni değiştirilmedi.</t>
        </r>
      </text>
    </comment>
    <comment ref="F8" authorId="0" shapeId="0" xr:uid="{00000000-0006-0000-0B00-00000F000000}">
      <text>
        <r>
          <rPr>
            <sz val="10"/>
            <rFont val="Arial"/>
            <family val="2"/>
            <charset val="162"/>
          </rPr>
          <t>Önceki taslak: Melek
Yeni ana ırk: Melek
Kesin — kullanıcı onayı/kuralı
Görsel: İnsan görünümlü</t>
        </r>
      </text>
    </comment>
    <comment ref="F9" authorId="0" shapeId="0" xr:uid="{00000000-0006-0000-0B00-000010000000}">
      <text>
        <r>
          <rPr>
            <sz val="10"/>
            <rFont val="Arial"/>
            <family val="2"/>
            <charset val="162"/>
          </rPr>
          <t>Önceki taslak: Ölümsüz
Yeni ana ırk: Ölümsüz
Kesin — kullanıcı onayı/kuralı
Görsel: İnsan görünümlü</t>
        </r>
      </text>
    </comment>
    <comment ref="H9" authorId="0" shapeId="0" xr:uid="{00000000-0006-0000-0B00-000011000000}">
      <text>
        <r>
          <rPr>
            <sz val="10"/>
            <rFont val="Arial"/>
            <family val="2"/>
            <charset val="162"/>
          </rPr>
          <t>Önceki element: Yaşam
Yeni element: Ateş
Bu sınıfta element çeşitliliği sağlamak üzere yeni ana güç kaynağı önerildi; hikâye ve yetenek metni değiştirilmedi.</t>
        </r>
      </text>
    </comment>
    <comment ref="F10" authorId="0" shapeId="0" xr:uid="{00000000-0006-0000-0B00-000012000000}">
      <text>
        <r>
          <rPr>
            <sz val="10"/>
            <rFont val="Arial"/>
            <family val="2"/>
            <charset val="162"/>
          </rPr>
          <t>Önceki taslak: İnsan
Yeni ana ırk: İnsan
Güçlü — isim/hikâye
Görsel: İnsan görünümlü</t>
        </r>
      </text>
    </comment>
    <comment ref="F11" authorId="0" shapeId="0" xr:uid="{00000000-0006-0000-0B00-000013000000}">
      <text>
        <r>
          <rPr>
            <sz val="10"/>
            <rFont val="Arial"/>
            <family val="2"/>
            <charset val="162"/>
          </rPr>
          <t>Önceki taslak: Elf
Yeni ana ırk: Elf
Kesin — kullanıcı onayı/kuralı
Görsel: Elf görünümlü</t>
        </r>
      </text>
    </comment>
    <comment ref="H11" authorId="0" shapeId="0" xr:uid="{00000000-0006-0000-0B00-000014000000}">
      <text>
        <r>
          <rPr>
            <sz val="10"/>
            <rFont val="Arial"/>
            <family val="2"/>
            <charset val="162"/>
          </rPr>
          <t>Önceki element: Doğa
Yeni element: Enerji
Sınıflar arası dağılım için karakter adı, hikâyesi ve mevcut yetenek temaları birlikte değerlendirildi.</t>
        </r>
      </text>
    </comment>
    <comment ref="F12" authorId="0" shapeId="0" xr:uid="{00000000-0006-0000-0B00-000015000000}">
      <text>
        <r>
          <rPr>
            <sz val="10"/>
            <rFont val="Arial"/>
            <family val="2"/>
            <charset val="162"/>
          </rPr>
          <t>Önceki taslak: İnsan
Yeni ana ırk: İnsan
Güçlü — isim/hikâye
Görsel: İnsan görünümlü</t>
        </r>
      </text>
    </comment>
    <comment ref="H12" authorId="0" shapeId="0" xr:uid="{00000000-0006-0000-0B00-000016000000}">
      <text>
        <r>
          <rPr>
            <sz val="10"/>
            <rFont val="Arial"/>
            <family val="2"/>
            <charset val="162"/>
          </rPr>
          <t>Önceki element: Zihin
Yeni element: Gölge
Sınıflar arası dağılım için karakter adı, hikâyesi ve mevcut yetenek temaları birlikte değerlendirildi.</t>
        </r>
      </text>
    </comment>
    <comment ref="F13" authorId="0" shapeId="0" xr:uid="{00000000-0006-0000-0B00-000017000000}">
      <text>
        <r>
          <rPr>
            <sz val="10"/>
            <rFont val="Arial"/>
            <family val="2"/>
            <charset val="162"/>
          </rPr>
          <t>Önceki taslak: İnsan
Yeni ana ırk: İnsan
Kesin — kullanıcı onayı/kuralı
Görsel: İnsan görünümlü</t>
        </r>
      </text>
    </comment>
    <comment ref="H13" authorId="0" shapeId="0" xr:uid="{00000000-0006-0000-0B00-000018000000}">
      <text>
        <r>
          <rPr>
            <sz val="10"/>
            <rFont val="Arial"/>
            <family val="2"/>
            <charset val="162"/>
          </rPr>
          <t>Önceki element: Yaşam
Yeni element: Metal
Sınıflar arası dağılım için karakter adı, hikâyesi ve mevcut yetenek temaları birlikte değerlendirildi.</t>
        </r>
      </text>
    </comment>
    <comment ref="F14" authorId="0" shapeId="0" xr:uid="{00000000-0006-0000-0B00-000019000000}">
      <text>
        <r>
          <rPr>
            <sz val="10"/>
            <rFont val="Arial"/>
            <family val="2"/>
            <charset val="162"/>
          </rPr>
          <t>Önceki taslak: İnsan
Yeni ana ırk: Elf
Orta
Görsel: İnsan görünümlü | Dağılım revizyonu: İnsan → Elf.</t>
        </r>
      </text>
    </comment>
    <comment ref="H14" authorId="0" shapeId="0" xr:uid="{00000000-0006-0000-0B00-00001A000000}">
      <text>
        <r>
          <rPr>
            <sz val="10"/>
            <rFont val="Arial"/>
            <family val="2"/>
            <charset val="162"/>
          </rPr>
          <t>Önceki element: Işık
Yeni element: Savaş
Sınıflar arası dağılım için karakter adı, hikâyesi ve mevcut yetenek temaları birlikte değerlendirildi.</t>
        </r>
      </text>
    </comment>
    <comment ref="F15" authorId="0" shapeId="0" xr:uid="{00000000-0006-0000-0B00-00001B000000}">
      <text>
        <r>
          <rPr>
            <sz val="10"/>
            <rFont val="Arial"/>
            <family val="2"/>
            <charset val="162"/>
          </rPr>
          <t>Önceki taslak: İnsan
Yeni ana ırk: İnsan
Güçlü — isim/hikâye
Görsel: İnsan görünümlü</t>
        </r>
      </text>
    </comment>
    <comment ref="F16" authorId="0" shapeId="0" xr:uid="{00000000-0006-0000-0B00-00001C000000}">
      <text>
        <r>
          <rPr>
            <sz val="10"/>
            <rFont val="Arial"/>
            <family val="2"/>
            <charset val="162"/>
          </rPr>
          <t>Önceki taslak: İnsan
Yeni ana ırk: İnsan
Güçlü — isim/hikâye
Görsel: İnsan görünümlü</t>
        </r>
      </text>
    </comment>
    <comment ref="H16" authorId="0" shapeId="0" xr:uid="{00000000-0006-0000-0B00-00001D000000}">
      <text>
        <r>
          <rPr>
            <sz val="10"/>
            <rFont val="Arial"/>
            <family val="2"/>
            <charset val="162"/>
          </rPr>
          <t>Önceki element: Yaşam
Yeni element: Savaş
Sınıflar arası dağılım için karakter adı, hikâyesi ve mevcut yetenek temaları birlikte değerlendirildi.</t>
        </r>
      </text>
    </comment>
    <comment ref="F17" authorId="0" shapeId="0" xr:uid="{00000000-0006-0000-0B00-00001E000000}">
      <text>
        <r>
          <rPr>
            <sz val="10"/>
            <rFont val="Arial"/>
            <family val="2"/>
            <charset val="162"/>
          </rPr>
          <t>Önceki taslak: İnsan
Yeni ana ırk: İnsan
Kesin — kullanıcı onayı/kuralı
Görsel: İnsan görünümlü</t>
        </r>
      </text>
    </comment>
    <comment ref="H17" authorId="0" shapeId="0" xr:uid="{00000000-0006-0000-0B00-00001F000000}">
      <text>
        <r>
          <rPr>
            <sz val="10"/>
            <rFont val="Arial"/>
            <family val="2"/>
            <charset val="162"/>
          </rPr>
          <t>Önceki element: Yaşam
Yeni element: Ateş
Bu sınıfta element çeşitliliği sağlamak üzere yeni ana güç kaynağı önerildi; hikâye ve yetenek metni değiştirilmedi.</t>
        </r>
      </text>
    </comment>
    <comment ref="F18" authorId="0" shapeId="0" xr:uid="{00000000-0006-0000-0B00-000020000000}">
      <text>
        <r>
          <rPr>
            <sz val="10"/>
            <rFont val="Arial"/>
            <family val="2"/>
            <charset val="162"/>
          </rPr>
          <t>Önceki taslak: Astral
Yeni ana ırk: Astral
Kesin — kullanıcı onayı/kuralı
Kullanıcı doğrulaması: görsel Astral. | Görsel: Astral görünümlü</t>
        </r>
      </text>
    </comment>
    <comment ref="F19" authorId="0" shapeId="0" xr:uid="{00000000-0006-0000-0B00-000021000000}">
      <text>
        <r>
          <rPr>
            <sz val="10"/>
            <rFont val="Arial"/>
            <family val="2"/>
            <charset val="162"/>
          </rPr>
          <t>Önceki taslak: Melek
Yeni ana ırk: Melek
Kesin — kullanıcı onayı/kuralı
Görsel: İnsan görünümlü</t>
        </r>
      </text>
    </comment>
    <comment ref="F20" authorId="0" shapeId="0" xr:uid="{00000000-0006-0000-0B00-000022000000}">
      <text>
        <r>
          <rPr>
            <sz val="10"/>
            <rFont val="Arial"/>
            <family val="2"/>
            <charset val="162"/>
          </rPr>
          <t>Önceki taslak: İnsan
Yeni ana ırk: İnsan
Güçlü — isim/hikâye
Görsel: İnsan görünümlü</t>
        </r>
      </text>
    </comment>
    <comment ref="F21" authorId="0" shapeId="0" xr:uid="{00000000-0006-0000-0B00-000023000000}">
      <text>
        <r>
          <rPr>
            <sz val="10"/>
            <rFont val="Arial"/>
            <family val="2"/>
            <charset val="162"/>
          </rPr>
          <t>Önceki taslak: Elf
Yeni ana ırk: Elf
Kesin — kullanıcı onayı/kuralı
Görsel: Elf görünümlü</t>
        </r>
      </text>
    </comment>
    <comment ref="H21" authorId="0" shapeId="0" xr:uid="{00000000-0006-0000-0B00-000024000000}">
      <text>
        <r>
          <rPr>
            <sz val="10"/>
            <rFont val="Arial"/>
            <family val="2"/>
            <charset val="162"/>
          </rPr>
          <t>Önceki element: Doğa
Yeni element: Zehir
Sınıflar arası dağılım için karakter adı, hikâyesi ve mevcut yetenek temaları birlikte değerlendirildi.</t>
        </r>
      </text>
    </comment>
    <comment ref="F22" authorId="0" shapeId="0" xr:uid="{00000000-0006-0000-0B00-000025000000}">
      <text>
        <r>
          <rPr>
            <sz val="10"/>
            <rFont val="Arial"/>
            <family val="2"/>
            <charset val="162"/>
          </rPr>
          <t>Önceki taslak: İnsan
Yeni ana ırk: Astral
Dengeleme — kontrol önerilir
Görsel: İnsan görünümlü | Dağılım revizyonu: İnsan → Astral.</t>
        </r>
      </text>
    </comment>
    <comment ref="H22" authorId="0" shapeId="0" xr:uid="{00000000-0006-0000-0B00-000026000000}">
      <text>
        <r>
          <rPr>
            <sz val="10"/>
            <rFont val="Arial"/>
            <family val="2"/>
            <charset val="162"/>
          </rPr>
          <t>Önceki element: Ruh
Yeni element: Metal
Sınıflar arası dağılım için karakter adı, hikâyesi ve mevcut yetenek temaları birlikte değerlendirildi.</t>
        </r>
      </text>
    </comment>
    <comment ref="F23" authorId="0" shapeId="0" xr:uid="{00000000-0006-0000-0B00-000027000000}">
      <text>
        <r>
          <rPr>
            <sz val="10"/>
            <rFont val="Arial"/>
            <family val="2"/>
            <charset val="162"/>
          </rPr>
          <t>Önceki taslak: İnsan
Yeni ana ırk: Elf
Orta
Görsel: İnsan görünümlü | Dağılım revizyonu: İnsan → Elf.</t>
        </r>
      </text>
    </comment>
    <comment ref="H23" authorId="0" shapeId="0" xr:uid="{00000000-0006-0000-0B00-000028000000}">
      <text>
        <r>
          <rPr>
            <sz val="10"/>
            <rFont val="Arial"/>
            <family val="2"/>
            <charset val="162"/>
          </rPr>
          <t>Önceki element: Işık
Yeni element: Kaos
Sınıflar arası dağılım için karakter adı, hikâyesi ve mevcut yetenek temaları birlikte değerlendirildi.</t>
        </r>
      </text>
    </comment>
    <comment ref="F24" authorId="0" shapeId="0" xr:uid="{00000000-0006-0000-0B00-000029000000}">
      <text>
        <r>
          <rPr>
            <sz val="10"/>
            <rFont val="Arial"/>
            <family val="2"/>
            <charset val="162"/>
          </rPr>
          <t>Önceki taslak: Elf
Yeni ana ırk: Elf
Güçlü — görsel
Görsel: Elf görünümlü</t>
        </r>
      </text>
    </comment>
    <comment ref="H24" authorId="0" shapeId="0" xr:uid="{00000000-0006-0000-0B00-00002A000000}">
      <text>
        <r>
          <rPr>
            <sz val="10"/>
            <rFont val="Arial"/>
            <family val="2"/>
            <charset val="162"/>
          </rPr>
          <t>Önceki element: Yaşam
Yeni element: Fırtına
Sınıflar arası dağılım için karakter adı, hikâyesi ve mevcut yetenek temaları birlikte değerlendirildi.</t>
        </r>
      </text>
    </comment>
    <comment ref="F25" authorId="0" shapeId="0" xr:uid="{00000000-0006-0000-0B00-00002B000000}">
      <text>
        <r>
          <rPr>
            <sz val="10"/>
            <rFont val="Arial"/>
            <family val="2"/>
            <charset val="162"/>
          </rPr>
          <t>Önceki taslak: İnsan
Yeni ana ırk: Astral
Dengeleme — kontrol önerilir
Görsel: İnsan görünümlü | Dağılım revizyonu: İnsan → Astral.</t>
        </r>
      </text>
    </comment>
    <comment ref="F26" authorId="0" shapeId="0" xr:uid="{00000000-0006-0000-0B00-00002C000000}">
      <text>
        <r>
          <rPr>
            <sz val="10"/>
            <rFont val="Arial"/>
            <family val="2"/>
            <charset val="162"/>
          </rPr>
          <t>Önceki taslak: İnsan
Yeni ana ırk: İnsan
Güçlü — isim/hikâye
Görsel: İnsan görünümlü</t>
        </r>
      </text>
    </comment>
    <comment ref="H26" authorId="0" shapeId="0" xr:uid="{00000000-0006-0000-0B00-00002D000000}">
      <text>
        <r>
          <rPr>
            <sz val="10"/>
            <rFont val="Arial"/>
            <family val="2"/>
            <charset val="162"/>
          </rPr>
          <t>Önceki element: Işık
Yeni element: Gölge
Sınıflar arası dağılım için karakter adı, hikâyesi ve mevcut yetenek temaları birlikte değerlendirildi.</t>
        </r>
      </text>
    </comment>
    <comment ref="F27" authorId="0" shapeId="0" xr:uid="{00000000-0006-0000-0B00-00002E000000}">
      <text>
        <r>
          <rPr>
            <sz val="10"/>
            <rFont val="Arial"/>
            <family val="2"/>
            <charset val="162"/>
          </rPr>
          <t>Önceki taslak: Astral
Yeni ana ırk: Astral
Güçlü — isim/hikâye
Görsel: İnsan görünümlü</t>
        </r>
      </text>
    </comment>
    <comment ref="F28" authorId="0" shapeId="0" xr:uid="{00000000-0006-0000-0B00-00002F000000}">
      <text>
        <r>
          <rPr>
            <sz val="10"/>
            <rFont val="Arial"/>
            <family val="2"/>
            <charset val="162"/>
          </rPr>
          <t>Önceki taslak: Elf
Yeni ana ırk: Elf
Güçlü — görsel
Görsel: Elf görünümlü</t>
        </r>
      </text>
    </comment>
    <comment ref="H28" authorId="0" shapeId="0" xr:uid="{00000000-0006-0000-0B00-000030000000}">
      <text>
        <r>
          <rPr>
            <sz val="10"/>
            <rFont val="Arial"/>
            <family val="2"/>
            <charset val="162"/>
          </rPr>
          <t>Önceki element: Yaşam
Yeni element: Fırtına
Bu sınıfta element çeşitliliği sağlamak üzere yeni ana güç kaynağı önerildi; hikâye ve yetenek metni değiştirilmedi.</t>
        </r>
      </text>
    </comment>
    <comment ref="F29" authorId="0" shapeId="0" xr:uid="{00000000-0006-0000-0B00-000031000000}">
      <text>
        <r>
          <rPr>
            <sz val="10"/>
            <rFont val="Arial"/>
            <family val="2"/>
            <charset val="162"/>
          </rPr>
          <t>Önceki taslak: İnsan
Yeni ana ırk: İnsan
Güçlü — isim/hikâye
Görsel: İnsan görünümlü</t>
        </r>
      </text>
    </comment>
    <comment ref="H29" authorId="0" shapeId="0" xr:uid="{00000000-0006-0000-0B00-000032000000}">
      <text>
        <r>
          <rPr>
            <sz val="10"/>
            <rFont val="Arial"/>
            <family val="2"/>
            <charset val="162"/>
          </rPr>
          <t>Önceki element: Zihin
Yeni element: Arkan
Sınıflar arası dağılım için karakter adı, hikâyesi ve mevcut yetenek temaları birlikte değerlendirildi.</t>
        </r>
      </text>
    </comment>
    <comment ref="F30" authorId="0" shapeId="0" xr:uid="{00000000-0006-0000-0B00-000033000000}">
      <text>
        <r>
          <rPr>
            <sz val="10"/>
            <rFont val="Arial"/>
            <family val="2"/>
            <charset val="162"/>
          </rPr>
          <t>Önceki taslak: İnsan
Yeni ana ırk: İnsan
Güçlü — isim/hikâye
Görsel: İnsan görünümlü</t>
        </r>
      </text>
    </comment>
    <comment ref="F31" authorId="0" shapeId="0" xr:uid="{00000000-0006-0000-0B00-000034000000}">
      <text>
        <r>
          <rPr>
            <sz val="10"/>
            <rFont val="Arial"/>
            <family val="2"/>
            <charset val="162"/>
          </rPr>
          <t>Önceki taslak: Elf
Yeni ana ırk: Elf
Kesin — kullanıcı onayı/kuralı
Görsel: Elf görünümlü</t>
        </r>
      </text>
    </comment>
    <comment ref="H31" authorId="0" shapeId="0" xr:uid="{00000000-0006-0000-0B00-000035000000}">
      <text>
        <r>
          <rPr>
            <sz val="10"/>
            <rFont val="Arial"/>
            <family val="2"/>
            <charset val="162"/>
          </rPr>
          <t>Önceki element: Doğa
Yeni element: Metal
Sınıflar arası dağılım için karakter adı, hikâyesi ve mevcut yetenek temaları birlikte değerlendirildi.</t>
        </r>
      </text>
    </comment>
    <comment ref="F32" authorId="0" shapeId="0" xr:uid="{00000000-0006-0000-0B00-000036000000}">
      <text>
        <r>
          <rPr>
            <sz val="10"/>
            <rFont val="Arial"/>
            <family val="2"/>
            <charset val="162"/>
          </rPr>
          <t>Önceki taslak: İnsan
Yeni ana ırk: İnsan
Güçlü — isim/hikâye
Görsel: İnsan görünümlü</t>
        </r>
      </text>
    </comment>
    <comment ref="F33" authorId="0" shapeId="0" xr:uid="{00000000-0006-0000-0B00-000037000000}">
      <text>
        <r>
          <rPr>
            <sz val="10"/>
            <rFont val="Arial"/>
            <family val="2"/>
            <charset val="162"/>
          </rPr>
          <t>Önceki taslak: İnsan
Yeni ana ırk: İnsan
Güçlü — isim/hikâye
Görsel: İnsan görünümlü</t>
        </r>
      </text>
    </comment>
    <comment ref="F34" authorId="0" shapeId="0" xr:uid="{00000000-0006-0000-0B00-000038000000}">
      <text>
        <r>
          <rPr>
            <sz val="10"/>
            <rFont val="Arial"/>
            <family val="2"/>
            <charset val="162"/>
          </rPr>
          <t>Önceki taslak: Elf
Yeni ana ırk: Elf
Kesin — kullanıcı onayı/kuralı
Görsel: Elf görünümlü</t>
        </r>
      </text>
    </comment>
    <comment ref="F35" authorId="0" shapeId="0" xr:uid="{00000000-0006-0000-0B00-000039000000}">
      <text>
        <r>
          <rPr>
            <sz val="10"/>
            <rFont val="Arial"/>
            <family val="2"/>
            <charset val="162"/>
          </rPr>
          <t>Önceki taslak: İnsan
Yeni ana ırk: İnsan
Güçlü — isim/hikâye
Görsel: İnsan görünümlü</t>
        </r>
      </text>
    </comment>
    <comment ref="F36" authorId="0" shapeId="0" xr:uid="{00000000-0006-0000-0B00-00003A000000}">
      <text>
        <r>
          <rPr>
            <sz val="10"/>
            <rFont val="Arial"/>
            <family val="2"/>
            <charset val="162"/>
          </rPr>
          <t>Önceki taslak: Melek
Yeni ana ırk: Melek
Kesin — kullanıcı onayı/kuralı
Görsel: Melek/kanatlı insansı</t>
        </r>
      </text>
    </comment>
    <comment ref="H36" authorId="0" shapeId="0" xr:uid="{00000000-0006-0000-0B00-00003B000000}">
      <text>
        <r>
          <rPr>
            <sz val="10"/>
            <rFont val="Arial"/>
            <family val="2"/>
            <charset val="162"/>
          </rPr>
          <t>Önceki element: Işık
Yeni element: Metal
Sınıflar arası dağılım için karakter adı, hikâyesi ve mevcut yetenek temaları birlikte değerlendirildi.</t>
        </r>
      </text>
    </comment>
    <comment ref="F37" authorId="0" shapeId="0" xr:uid="{00000000-0006-0000-0B00-00003C000000}">
      <text>
        <r>
          <rPr>
            <sz val="10"/>
            <rFont val="Arial"/>
            <family val="2"/>
            <charset val="162"/>
          </rPr>
          <t>Önceki taslak: İnsan
Yeni ana ırk: Astral
Dengeleme — kontrol önerilir
Görsel: İnsan görünümlü | Dağılım revizyonu: İnsan → Astral.</t>
        </r>
      </text>
    </comment>
    <comment ref="F38" authorId="0" shapeId="0" xr:uid="{00000000-0006-0000-0B00-00003D000000}">
      <text>
        <r>
          <rPr>
            <sz val="10"/>
            <rFont val="Arial"/>
            <family val="2"/>
            <charset val="162"/>
          </rPr>
          <t>Önceki taslak: Elf
Yeni ana ırk: Elf
Kesin — kullanıcı onayı/kuralı
Görsel: Elf görünümlü</t>
        </r>
      </text>
    </comment>
    <comment ref="H38" authorId="0" shapeId="0" xr:uid="{00000000-0006-0000-0B00-00003E000000}">
      <text>
        <r>
          <rPr>
            <sz val="10"/>
            <rFont val="Arial"/>
            <family val="2"/>
            <charset val="162"/>
          </rPr>
          <t>Önceki element: Doğa
Yeni element: Toprak
Sınıflar arası dağılım için karakter adı, hikâyesi ve mevcut yetenek temaları birlikte değerlendirildi.</t>
        </r>
      </text>
    </comment>
    <comment ref="F39" authorId="0" shapeId="0" xr:uid="{00000000-0006-0000-0B00-00003F000000}">
      <text>
        <r>
          <rPr>
            <sz val="10"/>
            <rFont val="Arial"/>
            <family val="2"/>
            <charset val="162"/>
          </rPr>
          <t>Önceki taslak: İnsan
Yeni ana ırk: İnsan
Güçlü — isim/hikâye
Görsel: İnsan görünümlü</t>
        </r>
      </text>
    </comment>
    <comment ref="F40" authorId="0" shapeId="0" xr:uid="{00000000-0006-0000-0B00-000040000000}">
      <text>
        <r>
          <rPr>
            <sz val="10"/>
            <rFont val="Arial"/>
            <family val="2"/>
            <charset val="162"/>
          </rPr>
          <t>Önceki taslak: İnsan
Yeni ana ırk: İnsan
Güçlü — isim/hikâye
Görsel: İnsan görünümlü</t>
        </r>
      </text>
    </comment>
    <comment ref="F41" authorId="0" shapeId="0" xr:uid="{00000000-0006-0000-0B00-000041000000}">
      <text>
        <r>
          <rPr>
            <sz val="10"/>
            <rFont val="Arial"/>
            <family val="2"/>
            <charset val="162"/>
          </rPr>
          <t>Önceki taslak: İnsan
Yeni ana ırk: Melek
Orta
Görsel: İnsan görünümlü | Dağılım revizyonu: İnsan → Melek.</t>
        </r>
      </text>
    </comment>
    <comment ref="H41" authorId="0" shapeId="0" xr:uid="{00000000-0006-0000-0B00-000042000000}">
      <text>
        <r>
          <rPr>
            <sz val="10"/>
            <rFont val="Arial"/>
            <family val="2"/>
            <charset val="162"/>
          </rPr>
          <t>Önceki element: Işık
Yeni element: Fırtına
Bu sınıfta element çeşitliliği sağlamak üzere yeni ana güç kaynağı önerildi; hikâye ve yetenek metni değiştirilmedi.</t>
        </r>
      </text>
    </comment>
    <comment ref="F42" authorId="0" shapeId="0" xr:uid="{00000000-0006-0000-0B00-000043000000}">
      <text>
        <r>
          <rPr>
            <sz val="10"/>
            <rFont val="Arial"/>
            <family val="2"/>
            <charset val="162"/>
          </rPr>
          <t>Önceki taslak: İnsan
Yeni ana ırk: İnsan
Güçlü — isim/hikâye
Görsel: İnsan görünümlü</t>
        </r>
      </text>
    </comment>
    <comment ref="F43" authorId="0" shapeId="0" xr:uid="{00000000-0006-0000-0B00-000044000000}">
      <text>
        <r>
          <rPr>
            <sz val="10"/>
            <rFont val="Arial"/>
            <family val="2"/>
            <charset val="162"/>
          </rPr>
          <t>Önceki taslak: İnsan
Yeni ana ırk: Elf
Güçlü — isim/hikâye
Görsel: İnsan görünümlü | Dağılım revizyonu: İnsan → Elf.</t>
        </r>
      </text>
    </comment>
    <comment ref="H43" authorId="0" shapeId="0" xr:uid="{00000000-0006-0000-0B00-000045000000}">
      <text>
        <r>
          <rPr>
            <sz val="10"/>
            <rFont val="Arial"/>
            <family val="2"/>
            <charset val="162"/>
          </rPr>
          <t>Önceki element: Yaşam
Yeni element: Arkan
Sınıflar arası dağılım için karakter adı, hikâyesi ve mevcut yetenek temaları birlikte değerlendirildi.</t>
        </r>
      </text>
    </comment>
    <comment ref="F44" authorId="0" shapeId="0" xr:uid="{00000000-0006-0000-0B00-000046000000}">
      <text>
        <r>
          <rPr>
            <sz val="10"/>
            <rFont val="Arial"/>
            <family val="2"/>
            <charset val="162"/>
          </rPr>
          <t>Önceki taslak: İnsan
Yeni ana ırk: Astral
Dengeleme — kontrol önerilir
Görsel: İnsan görünümlü | Dağılım revizyonu: İnsan → Astral.</t>
        </r>
      </text>
    </comment>
    <comment ref="H44" authorId="0" shapeId="0" xr:uid="{00000000-0006-0000-0B00-000047000000}">
      <text>
        <r>
          <rPr>
            <sz val="10"/>
            <rFont val="Arial"/>
            <family val="2"/>
            <charset val="162"/>
          </rPr>
          <t>Önceki element: Ruh
Yeni element: Kaos
Sınıflar arası dağılım için karakter adı, hikâyesi ve mevcut yetenek temaları birlikte değerlendirildi.</t>
        </r>
      </text>
    </comment>
    <comment ref="F45" authorId="0" shapeId="0" xr:uid="{00000000-0006-0000-0B00-000048000000}">
      <text>
        <r>
          <rPr>
            <sz val="10"/>
            <rFont val="Arial"/>
            <family val="2"/>
            <charset val="162"/>
          </rPr>
          <t>Önceki taslak: İnsan
Yeni ana ırk: İnsan
Güçlü — isim/hikâye
Görsel: İnsan görünümlü</t>
        </r>
      </text>
    </comment>
    <comment ref="H45" authorId="0" shapeId="0" xr:uid="{00000000-0006-0000-0B00-000049000000}">
      <text>
        <r>
          <rPr>
            <sz val="10"/>
            <rFont val="Arial"/>
            <family val="2"/>
            <charset val="162"/>
          </rPr>
          <t>Önceki element: Yaşam
Yeni element: Gölge
Sınıflar arası dağılım için karakter adı, hikâyesi ve mevcut yetenek temaları birlikte değerlendirildi.</t>
        </r>
      </text>
    </comment>
    <comment ref="F46" authorId="0" shapeId="0" xr:uid="{00000000-0006-0000-0B00-00004A000000}">
      <text>
        <r>
          <rPr>
            <sz val="10"/>
            <rFont val="Arial"/>
            <family val="2"/>
            <charset val="162"/>
          </rPr>
          <t>Önceki taslak: İnsan
Yeni ana ırk: Astral
Dengeleme — kontrol önerilir
Görsel: İnsan görünümlü | Dağılım revizyonu: İnsan → Astral.</t>
        </r>
      </text>
    </comment>
    <comment ref="F47" authorId="0" shapeId="0" xr:uid="{00000000-0006-0000-0B00-00004B000000}">
      <text>
        <r>
          <rPr>
            <sz val="10"/>
            <rFont val="Arial"/>
            <family val="2"/>
            <charset val="162"/>
          </rPr>
          <t>Önceki taslak: Astral
Yeni ana ırk: Astral
Kesin — kullanıcı onayı/kuralı
Kullanıcı görseli Astral olarak yeniledi. | Görsel: Astral görünümlü</t>
        </r>
      </text>
    </comment>
    <comment ref="F48" authorId="0" shapeId="0" xr:uid="{00000000-0006-0000-0B00-00004C000000}">
      <text>
        <r>
          <rPr>
            <sz val="10"/>
            <rFont val="Arial"/>
            <family val="2"/>
            <charset val="162"/>
          </rPr>
          <t>Önceki taslak: İnsan
Yeni ana ırk: İnsan
Güçlü — isim/hikâye
Görsel: İnsan görünümlü</t>
        </r>
      </text>
    </comment>
    <comment ref="H48" authorId="0" shapeId="0" xr:uid="{00000000-0006-0000-0B00-00004D000000}">
      <text>
        <r>
          <rPr>
            <sz val="10"/>
            <rFont val="Arial"/>
            <family val="2"/>
            <charset val="162"/>
          </rPr>
          <t>Önceki element: Işık
Yeni element: Gölge
Sınıflar arası dağılım için karakter adı, hikâyesi ve mevcut yetenek temaları birlikte değerlendirildi.</t>
        </r>
      </text>
    </comment>
    <comment ref="F49" authorId="0" shapeId="0" xr:uid="{00000000-0006-0000-0B00-00004E000000}">
      <text>
        <r>
          <rPr>
            <sz val="10"/>
            <rFont val="Arial"/>
            <family val="2"/>
            <charset val="162"/>
          </rPr>
          <t>Önceki taslak: Tanrısal
Yeni ana ırk: Tanrısal
Güçlü — isim/hikâye
Görsel: İnsan görünümlü</t>
        </r>
      </text>
    </comment>
    <comment ref="H49" authorId="0" shapeId="0" xr:uid="{00000000-0006-0000-0B00-00004F000000}">
      <text>
        <r>
          <rPr>
            <sz val="10"/>
            <rFont val="Arial"/>
            <family val="2"/>
            <charset val="162"/>
          </rPr>
          <t>Önceki element: Yaşam
Yeni element: Buz
Sınıflar arası dağılım için karakter adı, hikâyesi ve mevcut yetenek temaları birlikte değerlendirildi.</t>
        </r>
      </text>
    </comment>
    <comment ref="F50" authorId="0" shapeId="0" xr:uid="{00000000-0006-0000-0B00-000050000000}">
      <text>
        <r>
          <rPr>
            <sz val="10"/>
            <rFont val="Arial"/>
            <family val="2"/>
            <charset val="162"/>
          </rPr>
          <t>Önceki taslak: İnsan
Yeni ana ırk: İnsan
Güçlü — isim/hikâye
Görsel: İnsan görünümlü</t>
        </r>
      </text>
    </comment>
    <comment ref="H50" authorId="0" shapeId="0" xr:uid="{00000000-0006-0000-0B00-000051000000}">
      <text>
        <r>
          <rPr>
            <sz val="10"/>
            <rFont val="Arial"/>
            <family val="2"/>
            <charset val="162"/>
          </rPr>
          <t>Önceki element: Zaman
Yeni element: Gölge
Sınıflar arası dağılım için karakter adı, hikâyesi ve mevcut yetenek temaları birlikte değerlendirildi.</t>
        </r>
      </text>
    </comment>
    <comment ref="F51" authorId="0" shapeId="0" xr:uid="{00000000-0006-0000-0B00-000052000000}">
      <text>
        <r>
          <rPr>
            <sz val="10"/>
            <rFont val="Arial"/>
            <family val="2"/>
            <charset val="162"/>
          </rPr>
          <t>Önceki taslak: İnsan
Yeni ana ırk: İnsan
Güçlü — isim/hikâye
Görsel: İnsan görünümlü</t>
        </r>
      </text>
    </comment>
    <comment ref="H51" authorId="0" shapeId="0" xr:uid="{00000000-0006-0000-0B00-000053000000}">
      <text>
        <r>
          <rPr>
            <sz val="10"/>
            <rFont val="Arial"/>
            <family val="2"/>
            <charset val="162"/>
          </rPr>
          <t>Önceki element: Ruh
Yeni element: Gölge
Sınıflar arası dağılım için karakter adı, hikâyesi ve mevcut yetenek temaları birlikte değerlendirildi.</t>
        </r>
      </text>
    </comment>
    <comment ref="F52" authorId="0" shapeId="0" xr:uid="{00000000-0006-0000-0B00-000054000000}">
      <text>
        <r>
          <rPr>
            <sz val="10"/>
            <rFont val="Arial"/>
            <family val="2"/>
            <charset val="162"/>
          </rPr>
          <t>Önceki taslak: İnsan
Yeni ana ırk: İnsan
Güçlü — isim/hikâye
Görsel: İnsan görünümlü</t>
        </r>
      </text>
    </comment>
    <comment ref="H52" authorId="0" shapeId="0" xr:uid="{00000000-0006-0000-0B00-000055000000}">
      <text>
        <r>
          <rPr>
            <sz val="10"/>
            <rFont val="Arial"/>
            <family val="2"/>
            <charset val="162"/>
          </rPr>
          <t>Önceki element: Yaşam
Yeni element: Kaos
Sınıflar arası dağılım için karakter adı, hikâyesi ve mevcut yetenek temaları birlikte değerlendirildi.</t>
        </r>
      </text>
    </comment>
    <comment ref="F53" authorId="0" shapeId="0" xr:uid="{00000000-0006-0000-0B00-000056000000}">
      <text>
        <r>
          <rPr>
            <sz val="10"/>
            <rFont val="Arial"/>
            <family val="2"/>
            <charset val="162"/>
          </rPr>
          <t>Önceki taslak: İnsan
Yeni ana ırk: İnsan
Güçlü — isim/hikâye
Görsel: İnsan görünümlü</t>
        </r>
      </text>
    </comment>
    <comment ref="H53" authorId="0" shapeId="0" xr:uid="{00000000-0006-0000-0B00-000057000000}">
      <text>
        <r>
          <rPr>
            <sz val="10"/>
            <rFont val="Arial"/>
            <family val="2"/>
            <charset val="162"/>
          </rPr>
          <t>Önceki element: Zaman
Yeni element: Kaos
Sınıflar arası dağılım için karakter adı, hikâyesi ve mevcut yetenek temaları birlikte değerlendirildi.</t>
        </r>
      </text>
    </comment>
    <comment ref="F54" authorId="0" shapeId="0" xr:uid="{00000000-0006-0000-0B00-000058000000}">
      <text>
        <r>
          <rPr>
            <sz val="10"/>
            <rFont val="Arial"/>
            <family val="2"/>
            <charset val="162"/>
          </rPr>
          <t>Önceki taslak: Elf
Yeni ana ırk: Elf
Güçlü — görsel
Görsel: Doğa/bitki-insansı</t>
        </r>
      </text>
    </comment>
    <comment ref="F55" authorId="0" shapeId="0" xr:uid="{00000000-0006-0000-0B00-000059000000}">
      <text>
        <r>
          <rPr>
            <sz val="10"/>
            <rFont val="Arial"/>
            <family val="2"/>
            <charset val="162"/>
          </rPr>
          <t>Önceki taslak: Melek
Yeni ana ırk: Melek
Kesin — kullanıcı onayı/kuralı
Görsel: İnsan görünümlü</t>
        </r>
      </text>
    </comment>
    <comment ref="H55" authorId="0" shapeId="0" xr:uid="{00000000-0006-0000-0B00-00005A000000}">
      <text>
        <r>
          <rPr>
            <sz val="10"/>
            <rFont val="Arial"/>
            <family val="2"/>
            <charset val="162"/>
          </rPr>
          <t>Önceki element: Işık
Yeni element: Ateş
Sınıflar arası dağılım için karakter adı, hikâyesi ve mevcut yetenek temaları birlikte değerlendirildi.</t>
        </r>
      </text>
    </comment>
    <comment ref="F56" authorId="0" shapeId="0" xr:uid="{00000000-0006-0000-0B00-00005B000000}">
      <text>
        <r>
          <rPr>
            <sz val="10"/>
            <rFont val="Arial"/>
            <family val="2"/>
            <charset val="162"/>
          </rPr>
          <t>Önceki taslak: Ölümsüz
Yeni ana ırk: Ölümsüz
Kesin — kullanıcı onayı/kuralı
Görsel: Tam zırhlı, türü belirsiz</t>
        </r>
      </text>
    </comment>
    <comment ref="F57" authorId="0" shapeId="0" xr:uid="{00000000-0006-0000-0B00-00005C000000}">
      <text>
        <r>
          <rPr>
            <sz val="10"/>
            <rFont val="Arial"/>
            <family val="2"/>
            <charset val="162"/>
          </rPr>
          <t>Önceki taslak: Tanrısal
Yeni ana ırk: Tanrısal
Kesin — kullanıcı onayı/kuralı
Görsel mevcut; yalnızca ırk kaydı revize edildi. | Görsel: Görsel mevcut; ırk Tanrısal olarak onaylandı</t>
        </r>
      </text>
    </comment>
    <comment ref="H57" authorId="0" shapeId="0" xr:uid="{00000000-0006-0000-0B00-00005D000000}">
      <text>
        <r>
          <rPr>
            <sz val="10"/>
            <rFont val="Arial"/>
            <family val="2"/>
            <charset val="162"/>
          </rPr>
          <t>Önceki element: Işık
Yeni element: Gölge
Sınıflar arası dağılım için karakter adı, hikâyesi ve mevcut yetenek temaları birlikte değerlendirildi.</t>
        </r>
      </text>
    </comment>
    <comment ref="F58" authorId="0" shapeId="0" xr:uid="{00000000-0006-0000-0B00-00005E000000}">
      <text>
        <r>
          <rPr>
            <sz val="10"/>
            <rFont val="Arial"/>
            <family val="2"/>
            <charset val="162"/>
          </rPr>
          <t>Önceki taslak: İnsan
Yeni ana ırk: Mutant
Dengeleme — kontrol önerilir
Güvenli görsel eşleşmesi yok; isim ve hikâye kullanıldı. | Dağılım revizyonu: İnsan → Mutant.</t>
        </r>
      </text>
    </comment>
    <comment ref="H58" authorId="0" shapeId="0" xr:uid="{00000000-0006-0000-0B00-00005F000000}">
      <text>
        <r>
          <rPr>
            <sz val="10"/>
            <rFont val="Arial"/>
            <family val="2"/>
            <charset val="162"/>
          </rPr>
          <t>Önceki element: Yaşam
Yeni element: Gölge
Sınıflar arası dağılım için karakter adı, hikâyesi ve mevcut yetenek temaları birlikte değerlendirildi.</t>
        </r>
      </text>
    </comment>
    <comment ref="F59" authorId="0" shapeId="0" xr:uid="{00000000-0006-0000-0B00-000060000000}">
      <text>
        <r>
          <rPr>
            <sz val="10"/>
            <rFont val="Arial"/>
            <family val="2"/>
            <charset val="162"/>
          </rPr>
          <t>Önceki taslak: Melek
Yeni ana ırk: Melek
Güçlü — isim/hikâye
Güvenli görsel eşleşmesi yok; isim ve hikâye kullanıldı.</t>
        </r>
      </text>
    </comment>
    <comment ref="F60" authorId="0" shapeId="0" xr:uid="{00000000-0006-0000-0B00-000061000000}">
      <text>
        <r>
          <rPr>
            <sz val="10"/>
            <rFont val="Arial"/>
            <family val="2"/>
            <charset val="162"/>
          </rPr>
          <t>Önceki taslak: Astral
Yeni ana ırk: Astral
Orta
Güvenli görsel eşleşmesi yok; isim ve hikâye kullanıldı.</t>
        </r>
      </text>
    </comment>
    <comment ref="F61" authorId="0" shapeId="0" xr:uid="{00000000-0006-0000-0B00-000062000000}">
      <text>
        <r>
          <rPr>
            <sz val="10"/>
            <rFont val="Arial"/>
            <family val="2"/>
            <charset val="162"/>
          </rPr>
          <t>Önceki taslak: İnsan
Yeni ana ırk: Mutant
Dengeleme — kontrol önerilir
Güvenli görsel eşleşmesi yok; isim ve hikâye kullanıldı. | Dağılım revizyonu: İnsan → Mutant.</t>
        </r>
      </text>
    </comment>
    <comment ref="F62" authorId="0" shapeId="0" xr:uid="{00000000-0006-0000-0B00-000063000000}">
      <text>
        <r>
          <rPr>
            <sz val="10"/>
            <rFont val="Arial"/>
            <family val="2"/>
            <charset val="162"/>
          </rPr>
          <t>Önceki taslak: Tanrısal
Yeni ana ırk: Tanrısal
Güçlü — isim/hikâye
Güvenli görsel eşleşmesi yok; isim ve hikâye kullanıldı.</t>
        </r>
      </text>
    </comment>
    <comment ref="H62" authorId="0" shapeId="0" xr:uid="{00000000-0006-0000-0B00-000064000000}">
      <text>
        <r>
          <rPr>
            <sz val="10"/>
            <rFont val="Arial"/>
            <family val="2"/>
            <charset val="162"/>
          </rPr>
          <t>Önceki element: Yaşam
Yeni element: Fırtına
Bu sınıfta element çeşitliliği sağlamak üzere yeni ana güç kaynağı önerildi; hikâye ve yetenek metni değiştirilmedi.</t>
        </r>
      </text>
    </comment>
    <comment ref="F63" authorId="0" shapeId="0" xr:uid="{00000000-0006-0000-0B00-000065000000}">
      <text>
        <r>
          <rPr>
            <sz val="10"/>
            <rFont val="Arial"/>
            <family val="2"/>
            <charset val="162"/>
          </rPr>
          <t>Önceki taslak: Tanrısal
Yeni ana ırk: Tanrısal
Güçlü — isim/hikâye
Güvenli görsel eşleşmesi yok; isim ve hikâye kullanıldı.</t>
        </r>
      </text>
    </comment>
    <comment ref="F64" authorId="0" shapeId="0" xr:uid="{00000000-0006-0000-0B00-000066000000}">
      <text>
        <r>
          <rPr>
            <sz val="10"/>
            <rFont val="Arial"/>
            <family val="2"/>
            <charset val="162"/>
          </rPr>
          <t>Önceki taslak: Tanrısal
Yeni ana ırk: Tanrısal
Güçlü — isim/hikâye
Güvenli görsel eşleşmesi yok; isim ve hikâye kullanıldı.</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Notion AI</author>
  </authors>
  <commentList>
    <comment ref="A1" authorId="0" shapeId="0" xr:uid="{00000000-0006-0000-0C00-000001000000}">
      <text>
        <r>
          <rPr>
            <sz val="10"/>
            <rFont val="Arial"/>
            <family val="2"/>
            <charset val="162"/>
          </rPr>
          <t>AYNA SAYFA: Güncellemeleri önce Tum_Karakterler_311 sayfasında yapın, sonra aynı ID satırına senkronlayın.</t>
        </r>
      </text>
    </comment>
    <comment ref="H1" authorId="0" shapeId="0" xr:uid="{00000000-0006-0000-0C00-000002000000}">
      <text>
        <r>
          <rPr>
            <sz val="10"/>
            <rFont val="Arial"/>
            <family val="2"/>
            <charset val="162"/>
          </rPr>
          <t>Element, sınıftan bağımsız bir güç kaynağı olarak dağıtıldı. Her sınıfta 19 elementin tamamı temsil edilir. Hikâyeler ve yetenek metinleri korunmuştur.</t>
        </r>
      </text>
    </comment>
    <comment ref="M1" authorId="0" shapeId="0" xr:uid="{00000000-0006-0000-0C00-000003000000}">
      <text>
        <r>
          <rPr>
            <sz val="10"/>
            <rFont val="Arial"/>
            <family val="2"/>
            <charset val="162"/>
          </rPr>
          <t>Boşluklar ve noktalama işaretleri dâhil karakter sayısıdır. Hikâye değiştirildiğinde otomatik hesaplanır.</t>
        </r>
      </text>
    </comment>
    <comment ref="N1" authorId="0" shapeId="0" xr:uid="{00000000-0006-0000-0C00-000004000000}">
      <text>
        <r>
          <rPr>
            <sz val="10"/>
            <rFont val="Arial"/>
            <family val="2"/>
            <charset val="162"/>
          </rPr>
          <t>Boşluklar ve noktalama dâhil en fazla 130 karakter. Metin değiştirildiğinde kontrol otomatik yenilenir.</t>
        </r>
      </text>
    </comment>
    <comment ref="F2" authorId="0" shapeId="0" xr:uid="{00000000-0006-0000-0C00-000005000000}">
      <text>
        <r>
          <rPr>
            <sz val="10"/>
            <rFont val="Arial"/>
            <family val="2"/>
            <charset val="162"/>
          </rPr>
          <t>Önceki taslak: Gölge
Yeni ana ırk: Gölge
Güçlü — görsel
Görsel: Gölge/ruh-insansı</t>
        </r>
      </text>
    </comment>
    <comment ref="L2" authorId="0" shapeId="0" xr:uid="{00000000-0006-0000-0C00-000006000000}">
      <text>
        <r>
          <rPr>
            <sz val="10"/>
            <rFont val="Arial"/>
            <family val="2"/>
            <charset val="162"/>
          </rPr>
          <t>Bu sekmedeki önceki hikâye (girdi dosyasından korunmuştur):
Sessizliği kaçış değildi; saklanan bedelin ilanıydı.</t>
        </r>
      </text>
    </comment>
    <comment ref="F3" authorId="0" shapeId="0" xr:uid="{00000000-0006-0000-0C00-000007000000}">
      <text>
        <r>
          <rPr>
            <sz val="10"/>
            <rFont val="Arial"/>
            <family val="2"/>
            <charset val="162"/>
          </rPr>
          <t>Önceki taslak: Gölge
Yeni ana ırk: Gölge
Güçlü — isim/hikâye
Görsel: İnsan görünümlü</t>
        </r>
      </text>
    </comment>
    <comment ref="L3" authorId="0" shapeId="0" xr:uid="{00000000-0006-0000-0C00-000008000000}">
      <text>
        <r>
          <rPr>
            <sz val="10"/>
            <rFont val="Arial"/>
            <family val="2"/>
            <charset val="162"/>
          </rPr>
          <t>Bu sekmedeki önceki hikâye (girdi dosyasından korunmuştur):
Zehirli Vasiyet karardığında hüküm bıçağın sessiz ucunda değişti.</t>
        </r>
      </text>
    </comment>
    <comment ref="F4" authorId="0" shapeId="0" xr:uid="{00000000-0006-0000-0C00-000009000000}">
      <text>
        <r>
          <rPr>
            <sz val="10"/>
            <rFont val="Arial"/>
            <family val="2"/>
            <charset val="162"/>
          </rPr>
          <t>Önceki taslak: Gölge
Yeni ana ırk: Gölge
Güçlü — isim/hikâye
Görsel: İnsan görünümlü</t>
        </r>
      </text>
    </comment>
    <comment ref="H4" authorId="0" shapeId="0" xr:uid="{00000000-0006-0000-0C00-00000A000000}">
      <text>
        <r>
          <rPr>
            <sz val="10"/>
            <rFont val="Arial"/>
            <family val="2"/>
            <charset val="162"/>
          </rPr>
          <t>Önceki element: Gölge
Yeni element: Ateş
Bu sınıfta element çeşitliliği sağlamak üzere yeni ana güç kaynağı önerildi; hikâye ve yetenek metni değiştirilmedi.</t>
        </r>
      </text>
    </comment>
    <comment ref="L4" authorId="0" shapeId="0" xr:uid="{00000000-0006-0000-0C00-00000B000000}">
      <text>
        <r>
          <rPr>
            <sz val="10"/>
            <rFont val="Arial"/>
            <family val="2"/>
            <charset val="162"/>
          </rPr>
          <t>Bu sekmedeki önceki hikâye (girdi dosyasından korunmuştur):
Gölgeye saklanmadı; gölge onun geçişini saklamak zorunda kaldı.</t>
        </r>
      </text>
    </comment>
    <comment ref="F5" authorId="0" shapeId="0" xr:uid="{00000000-0006-0000-0C00-00000C000000}">
      <text>
        <r>
          <rPr>
            <sz val="10"/>
            <rFont val="Arial"/>
            <family val="2"/>
            <charset val="162"/>
          </rPr>
          <t>Önceki taslak: Gölge
Yeni ana ırk: Gölge
Güçlü — görsel
Görsel: Gölge/ruh-insansı</t>
        </r>
      </text>
    </comment>
    <comment ref="H5" authorId="0" shapeId="0" xr:uid="{00000000-0006-0000-0C00-00000D000000}">
      <text>
        <r>
          <rPr>
            <sz val="10"/>
            <rFont val="Arial"/>
            <family val="2"/>
            <charset val="162"/>
          </rPr>
          <t>Önceki element: Gölge
Yeni element: Astral
Sınıflar arası dağılım için karakter adı, hikâyesi ve mevcut yetenek temaları birlikte değerlendirildi.</t>
        </r>
      </text>
    </comment>
    <comment ref="L5" authorId="0" shapeId="0" xr:uid="{00000000-0006-0000-0C00-00000E000000}">
      <text>
        <r>
          <rPr>
            <sz val="10"/>
            <rFont val="Arial"/>
            <family val="2"/>
            <charset val="162"/>
          </rPr>
          <t>Bu sekmedeki önceki hikâye (girdi dosyasından korunmuştur):
Adı okunmadı; fakat mühürdeki eksik çizgi onun işiydi.</t>
        </r>
      </text>
    </comment>
    <comment ref="F6" authorId="0" shapeId="0" xr:uid="{00000000-0006-0000-0C00-00000F000000}">
      <text>
        <r>
          <rPr>
            <sz val="10"/>
            <rFont val="Arial"/>
            <family val="2"/>
            <charset val="162"/>
          </rPr>
          <t>Önceki taslak: Gölge
Yeni ana ırk: Gölge
Güçlü — isim/hikâye
Görsel: İnsan görünümlü</t>
        </r>
      </text>
    </comment>
    <comment ref="H6" authorId="0" shapeId="0" xr:uid="{00000000-0006-0000-0C00-000010000000}">
      <text>
        <r>
          <rPr>
            <sz val="10"/>
            <rFont val="Arial"/>
            <family val="2"/>
            <charset val="162"/>
          </rPr>
          <t>Önceki element: Gölge
Yeni element: Zehir
Zehirli Pençe adı ve pençedeki zehirle ilgili hikâyesi korundu.</t>
        </r>
      </text>
    </comment>
    <comment ref="L6" authorId="0" shapeId="0" xr:uid="{00000000-0006-0000-0C00-000011000000}">
      <text>
        <r>
          <rPr>
            <sz val="10"/>
            <rFont val="Arial"/>
            <family val="2"/>
            <charset val="162"/>
          </rPr>
          <t>Bu sekmedeki önceki hikâye (girdi dosyasından korunmuştur):
Adı okunmadı; fakat mühürdeki eksik çizgi onun işiydi.</t>
        </r>
      </text>
    </comment>
    <comment ref="F7" authorId="0" shapeId="0" xr:uid="{00000000-0006-0000-0C00-000012000000}">
      <text>
        <r>
          <rPr>
            <sz val="10"/>
            <rFont val="Arial"/>
            <family val="2"/>
            <charset val="162"/>
          </rPr>
          <t>Önceki taslak: Gölge
Yeni ana ırk: Gölge
Güçlü — isim/hikâye
Görsel: İnsan görünümlü</t>
        </r>
      </text>
    </comment>
    <comment ref="H7" authorId="0" shapeId="0" xr:uid="{00000000-0006-0000-0C00-000013000000}">
      <text>
        <r>
          <rPr>
            <sz val="10"/>
            <rFont val="Arial"/>
            <family val="2"/>
            <charset val="162"/>
          </rPr>
          <t>Önceki element: Gölge
Yeni element: Zaman
Sınıflar arası dağılım için karakter adı, hikâyesi ve mevcut yetenek temaları birlikte değerlendirildi.</t>
        </r>
      </text>
    </comment>
    <comment ref="L7" authorId="0" shapeId="0" xr:uid="{00000000-0006-0000-0C00-000014000000}">
      <text>
        <r>
          <rPr>
            <sz val="10"/>
            <rFont val="Arial"/>
            <family val="2"/>
            <charset val="162"/>
          </rPr>
          <t>Bu sekmedeki önceki hikâye (girdi dosyasından korunmuştur):
Gölgeye saklanmadı; gölge onun geçişini saklamak zorunda kaldı.</t>
        </r>
      </text>
    </comment>
    <comment ref="F8" authorId="0" shapeId="0" xr:uid="{00000000-0006-0000-0C00-000015000000}">
      <text>
        <r>
          <rPr>
            <sz val="10"/>
            <rFont val="Arial"/>
            <family val="2"/>
            <charset val="162"/>
          </rPr>
          <t>Önceki taslak: Gölge
Yeni ana ırk: Gölge
Güçlü — görsel
Görsel: Gölge/ruh-insansı</t>
        </r>
      </text>
    </comment>
    <comment ref="L8" authorId="0" shapeId="0" xr:uid="{00000000-0006-0000-0C00-000016000000}">
      <text>
        <r>
          <rPr>
            <sz val="10"/>
            <rFont val="Arial"/>
            <family val="2"/>
            <charset val="162"/>
          </rPr>
          <t>Bu sekmedeki önceki hikâye (girdi dosyasından korunmuştur):
Kutsal Isik'ın konuşacağı sırada ihanetin boğazını sessizce kesti.</t>
        </r>
      </text>
    </comment>
    <comment ref="F9" authorId="0" shapeId="0" xr:uid="{00000000-0006-0000-0C00-000017000000}">
      <text>
        <r>
          <rPr>
            <sz val="10"/>
            <rFont val="Arial"/>
            <family val="2"/>
            <charset val="162"/>
          </rPr>
          <t>Önceki taslak: Cüce
Yeni ana ırk: Cüce
Güçlü — görsel
Görsel: Cüce görünümlü</t>
        </r>
      </text>
    </comment>
    <comment ref="H9" authorId="0" shapeId="0" xr:uid="{00000000-0006-0000-0C00-000018000000}">
      <text>
        <r>
          <rPr>
            <sz val="10"/>
            <rFont val="Arial"/>
            <family val="2"/>
            <charset val="162"/>
          </rPr>
          <t>Önceki element: Gölge
Yeni element: Kaos
Sınıflar arası dağılım için karakter adı, hikâyesi ve mevcut yetenek temaları birlikte değerlendirildi.</t>
        </r>
      </text>
    </comment>
    <comment ref="L9" authorId="0" shapeId="0" xr:uid="{00000000-0006-0000-0C00-000019000000}">
      <text>
        <r>
          <rPr>
            <sz val="10"/>
            <rFont val="Arial"/>
            <family val="2"/>
            <charset val="162"/>
          </rPr>
          <t>Bu sekmedeki önceki hikâye (girdi dosyasından korunmuştur):
Bıçağı kan değil, kayıt taşıdı; kayıp satır yerine kondu.</t>
        </r>
      </text>
    </comment>
    <comment ref="F10" authorId="0" shapeId="0" xr:uid="{00000000-0006-0000-0C00-00001A000000}">
      <text>
        <r>
          <rPr>
            <sz val="10"/>
            <rFont val="Arial"/>
            <family val="2"/>
            <charset val="162"/>
          </rPr>
          <t>Önceki taslak: Gölge
Yeni ana ırk: Gölge
Güçlü — görsel
Görsel: Gölge/ruh-insansı</t>
        </r>
      </text>
    </comment>
    <comment ref="L10" authorId="0" shapeId="0" xr:uid="{00000000-0006-0000-0C00-00001B000000}">
      <text>
        <r>
          <rPr>
            <sz val="10"/>
            <rFont val="Arial"/>
            <family val="2"/>
            <charset val="162"/>
          </rPr>
          <t>Bu sekmedeki önceki hikâye (girdi dosyasından korunmuştur):
Adı okunmadı; fakat mühürdeki eksik çizgi onun işiydi.</t>
        </r>
      </text>
    </comment>
    <comment ref="F11" authorId="0" shapeId="0" xr:uid="{00000000-0006-0000-0C00-00001C000000}">
      <text>
        <r>
          <rPr>
            <sz val="10"/>
            <rFont val="Arial"/>
            <family val="2"/>
            <charset val="162"/>
          </rPr>
          <t>Önceki taslak: Gölge
Yeni ana ırk: Gölge
Güçlü — isim/hikâye
Görsel: İnsan görünümlü</t>
        </r>
      </text>
    </comment>
    <comment ref="H11" authorId="0" shapeId="0" xr:uid="{00000000-0006-0000-0C00-00001D000000}">
      <text>
        <r>
          <rPr>
            <sz val="10"/>
            <rFont val="Arial"/>
            <family val="2"/>
            <charset val="162"/>
          </rPr>
          <t>Önceki element: Gölge
Yeni element: Işık
Sınıflar arası dağılım için karakter adı, hikâyesi ve mevcut yetenek temaları birlikte değerlendirildi.</t>
        </r>
      </text>
    </comment>
    <comment ref="L11" authorId="0" shapeId="0" xr:uid="{00000000-0006-0000-0C00-00001E000000}">
      <text>
        <r>
          <rPr>
            <sz val="10"/>
            <rFont val="Arial"/>
            <family val="2"/>
            <charset val="162"/>
          </rPr>
          <t>Bu sekmedeki önceki hikâye (girdi dosyasından korunmuştur):
Gölge Fermanı gecesinde görünmedi; sabaha yalnız değişmiş mühür kaldı.</t>
        </r>
      </text>
    </comment>
    <comment ref="F12" authorId="0" shapeId="0" xr:uid="{00000000-0006-0000-0C00-00001F000000}">
      <text>
        <r>
          <rPr>
            <sz val="10"/>
            <rFont val="Arial"/>
            <family val="2"/>
            <charset val="162"/>
          </rPr>
          <t>Önceki taslak: Gölge
Yeni ana ırk: Gölge
Güçlü — isim/hikâye
Görsel: İnsan görünümlü</t>
        </r>
      </text>
    </comment>
    <comment ref="H12" authorId="0" shapeId="0" xr:uid="{00000000-0006-0000-0C00-000020000000}">
      <text>
        <r>
          <rPr>
            <sz val="10"/>
            <rFont val="Arial"/>
            <family val="2"/>
            <charset val="162"/>
          </rPr>
          <t>Önceki element: Gölge
Yeni element: Fırtına
Sınıflar arası dağılım için karakter adı, hikâyesi ve mevcut yetenek temaları birlikte değerlendirildi.</t>
        </r>
      </text>
    </comment>
    <comment ref="L12" authorId="0" shapeId="0" xr:uid="{00000000-0006-0000-0C00-000021000000}">
      <text>
        <r>
          <rPr>
            <sz val="10"/>
            <rFont val="Arial"/>
            <family val="2"/>
            <charset val="162"/>
          </rPr>
          <t>Bu sekmedeki önceki hikâye (girdi dosyasından korunmuştur):
Gölgeye saklanmadı; gölge onun geçişini saklamak zorunda kaldı.</t>
        </r>
      </text>
    </comment>
    <comment ref="F13" authorId="0" shapeId="0" xr:uid="{00000000-0006-0000-0C00-000022000000}">
      <text>
        <r>
          <rPr>
            <sz val="10"/>
            <rFont val="Arial"/>
            <family val="2"/>
            <charset val="162"/>
          </rPr>
          <t>Önceki taslak: Gölge
Yeni ana ırk: Gölge
Güçlü — isim/hikâye
Görsel: Kapüşonlu/belirsiz insansı</t>
        </r>
      </text>
    </comment>
    <comment ref="H13" authorId="0" shapeId="0" xr:uid="{00000000-0006-0000-0C00-000023000000}">
      <text>
        <r>
          <rPr>
            <sz val="10"/>
            <rFont val="Arial"/>
            <family val="2"/>
            <charset val="162"/>
          </rPr>
          <t>Önceki element: Gölge
Yeni element: Yaşam
Sınıflar arası dağılım için karakter adı, hikâyesi ve mevcut yetenek temaları birlikte değerlendirildi.</t>
        </r>
      </text>
    </comment>
    <comment ref="L13" authorId="0" shapeId="0" xr:uid="{00000000-0006-0000-0C00-000024000000}">
      <text>
        <r>
          <rPr>
            <sz val="10"/>
            <rFont val="Arial"/>
            <family val="2"/>
            <charset val="162"/>
          </rPr>
          <t>Bu sekmedeki önceki hikâye (girdi dosyasından korunmuştur):
Gölge Fermanı gecesinde görünmedi; sabaha yalnız değişmiş mühür kaldı.</t>
        </r>
      </text>
    </comment>
    <comment ref="F14" authorId="0" shapeId="0" xr:uid="{00000000-0006-0000-0C00-000025000000}">
      <text>
        <r>
          <rPr>
            <sz val="10"/>
            <rFont val="Arial"/>
            <family val="2"/>
            <charset val="162"/>
          </rPr>
          <t>Önceki taslak: Ölümsüz
Yeni ana ırk: Ölümsüz
Kesin — kullanıcı onayı/kuralı
Görsel: Gölge/ruh-insansı</t>
        </r>
      </text>
    </comment>
    <comment ref="H14" authorId="0" shapeId="0" xr:uid="{00000000-0006-0000-0C00-000026000000}">
      <text>
        <r>
          <rPr>
            <sz val="10"/>
            <rFont val="Arial"/>
            <family val="2"/>
            <charset val="162"/>
          </rPr>
          <t>Önceki element: Gölge
Yeni element: Yaşam
Sınıflar arası dağılım için karakter adı, hikâyesi ve mevcut yetenek temaları birlikte değerlendirildi.</t>
        </r>
      </text>
    </comment>
    <comment ref="L14" authorId="0" shapeId="0" xr:uid="{00000000-0006-0000-0C00-000027000000}">
      <text>
        <r>
          <rPr>
            <sz val="10"/>
            <rFont val="Arial"/>
            <family val="2"/>
            <charset val="162"/>
          </rPr>
          <t>Bu sekmedeki önceki hikâye (girdi dosyasından korunmuştur):
Gölge Fermanı karardığında hüküm bıçağın sessiz ucunda değişti.</t>
        </r>
      </text>
    </comment>
    <comment ref="F15" authorId="0" shapeId="0" xr:uid="{00000000-0006-0000-0C00-000028000000}">
      <text>
        <r>
          <rPr>
            <sz val="10"/>
            <rFont val="Arial"/>
            <family val="2"/>
            <charset val="162"/>
          </rPr>
          <t>Önceki taslak: İnsan
Yeni ana ırk: İnsan
Güçlü — isim/hikâye
Görsel: İnsan görünümlü</t>
        </r>
      </text>
    </comment>
    <comment ref="H15" authorId="0" shapeId="0" xr:uid="{00000000-0006-0000-0C00-000029000000}">
      <text>
        <r>
          <rPr>
            <sz val="10"/>
            <rFont val="Arial"/>
            <family val="2"/>
            <charset val="162"/>
          </rPr>
          <t>Önceki element: Gölge
Yeni element: Metal
Sınıflar arası dağılım için karakter adı, hikâyesi ve mevcut yetenek temaları birlikte değerlendirildi.</t>
        </r>
      </text>
    </comment>
    <comment ref="L15" authorId="0" shapeId="0" xr:uid="{00000000-0006-0000-0C00-00002A000000}">
      <text>
        <r>
          <rPr>
            <sz val="10"/>
            <rFont val="Arial"/>
            <family val="2"/>
            <charset val="162"/>
          </rPr>
          <t>Bu sekmedeki önceki hikâye (girdi dosyasından korunmuştur):
Adı okunmadı; fakat mühürdeki eksik çizgi onun işiydi.</t>
        </r>
      </text>
    </comment>
    <comment ref="F16" authorId="0" shapeId="0" xr:uid="{00000000-0006-0000-0C00-00002B000000}">
      <text>
        <r>
          <rPr>
            <sz val="10"/>
            <rFont val="Arial"/>
            <family val="2"/>
            <charset val="162"/>
          </rPr>
          <t>Önceki taslak: Cüce
Yeni ana ırk: Cüce
Güçlü — görsel
Görsel: Cüce görünümlü</t>
        </r>
      </text>
    </comment>
    <comment ref="H16" authorId="0" shapeId="0" xr:uid="{00000000-0006-0000-0C00-00002C000000}">
      <text>
        <r>
          <rPr>
            <sz val="10"/>
            <rFont val="Arial"/>
            <family val="2"/>
            <charset val="162"/>
          </rPr>
          <t>Önceki element: Gölge
Yeni element: Arkan
Bu sınıfta element çeşitliliği sağlamak üzere yeni ana güç kaynağı önerildi; hikâye ve yetenek metni değiştirilmedi.</t>
        </r>
      </text>
    </comment>
    <comment ref="L16" authorId="0" shapeId="0" xr:uid="{00000000-0006-0000-0C00-00002D000000}">
      <text>
        <r>
          <rPr>
            <sz val="10"/>
            <rFont val="Arial"/>
            <family val="2"/>
            <charset val="162"/>
          </rPr>
          <t>Bu sekmedeki önceki hikâye (girdi dosyasından korunmuştur):
Efsanevi Sifaci'ın konuşacağı sırada ihanetin boğazını sessizce kesti.</t>
        </r>
      </text>
    </comment>
    <comment ref="F17" authorId="0" shapeId="0" xr:uid="{00000000-0006-0000-0C00-00002E000000}">
      <text>
        <r>
          <rPr>
            <sz val="10"/>
            <rFont val="Arial"/>
            <family val="2"/>
            <charset val="162"/>
          </rPr>
          <t>Önceki taslak: Gölge
Yeni ana ırk: Gölge
Güçlü — görsel
Görsel: Gölge/ruh-insansı</t>
        </r>
      </text>
    </comment>
    <comment ref="H17" authorId="0" shapeId="0" xr:uid="{00000000-0006-0000-0C00-00002F000000}">
      <text>
        <r>
          <rPr>
            <sz val="10"/>
            <rFont val="Arial"/>
            <family val="2"/>
            <charset val="162"/>
          </rPr>
          <t>Önceki element: Gölge
Yeni element: Zihin
Sınıflar arası dağılım için karakter adı, hikâyesi ve mevcut yetenek temaları birlikte değerlendirildi.</t>
        </r>
      </text>
    </comment>
    <comment ref="L17" authorId="0" shapeId="0" xr:uid="{00000000-0006-0000-0C00-000030000000}">
      <text>
        <r>
          <rPr>
            <sz val="10"/>
            <rFont val="Arial"/>
            <family val="2"/>
            <charset val="162"/>
          </rPr>
          <t>Bu sekmedeki önceki hikâye (girdi dosyasından korunmuştur):
Gölgeye saklanmadı; gölge onun geçişini saklamak zorunda kaldı.</t>
        </r>
      </text>
    </comment>
    <comment ref="F18" authorId="0" shapeId="0" xr:uid="{00000000-0006-0000-0C00-000031000000}">
      <text>
        <r>
          <rPr>
            <sz val="10"/>
            <rFont val="Arial"/>
            <family val="2"/>
            <charset val="162"/>
          </rPr>
          <t>Önceki taslak: Gölge
Yeni ana ırk: Gölge
Güçlü — isim/hikâye
Görsel: İnsan görünümlü</t>
        </r>
      </text>
    </comment>
    <comment ref="H18" authorId="0" shapeId="0" xr:uid="{00000000-0006-0000-0C00-000032000000}">
      <text>
        <r>
          <rPr>
            <sz val="10"/>
            <rFont val="Arial"/>
            <family val="2"/>
            <charset val="162"/>
          </rPr>
          <t>Önceki element: Gölge
Yeni element: Savaş
Sınıflar arası dağılım için karakter adı, hikâyesi ve mevcut yetenek temaları birlikte değerlendirildi.</t>
        </r>
      </text>
    </comment>
    <comment ref="L18" authorId="0" shapeId="0" xr:uid="{00000000-0006-0000-0C00-000033000000}">
      <text>
        <r>
          <rPr>
            <sz val="10"/>
            <rFont val="Arial"/>
            <family val="2"/>
            <charset val="162"/>
          </rPr>
          <t>Bu sekmedeki önceki hikâye (girdi dosyasından korunmuştur):
Tanık bırakmadı; düşmanın imzasız korkusu kaldı.</t>
        </r>
      </text>
    </comment>
    <comment ref="F19" authorId="0" shapeId="0" xr:uid="{00000000-0006-0000-0C00-000034000000}">
      <text>
        <r>
          <rPr>
            <sz val="10"/>
            <rFont val="Arial"/>
            <family val="2"/>
            <charset val="162"/>
          </rPr>
          <t>Önceki taslak: İnsan
Yeni ana ırk: İnsan
Güçlü — isim/hikâye
Görsel: İnsan görünümlü</t>
        </r>
      </text>
    </comment>
    <comment ref="L19" authorId="0" shapeId="0" xr:uid="{00000000-0006-0000-0C00-000035000000}">
      <text>
        <r>
          <rPr>
            <sz val="10"/>
            <rFont val="Arial"/>
            <family val="2"/>
            <charset val="162"/>
          </rPr>
          <t>Bu sekmedeki önceki hikâye (girdi dosyasından korunmuştur):
Gölgeye saklanmadı; gölge onun geçişini saklamak zorunda kaldı.</t>
        </r>
      </text>
    </comment>
    <comment ref="F20" authorId="0" shapeId="0" xr:uid="{00000000-0006-0000-0C00-000036000000}">
      <text>
        <r>
          <rPr>
            <sz val="10"/>
            <rFont val="Arial"/>
            <family val="2"/>
            <charset val="162"/>
          </rPr>
          <t>Önceki taslak: Gölge
Yeni ana ırk: Elf
Orta
Görsel: İnsan görünümlü | Dağılım revizyonu: Gölge → Elf.</t>
        </r>
      </text>
    </comment>
    <comment ref="L20" authorId="0" shapeId="0" xr:uid="{00000000-0006-0000-0C00-000037000000}">
      <text>
        <r>
          <rPr>
            <sz val="10"/>
            <rFont val="Arial"/>
            <family val="2"/>
            <charset val="162"/>
          </rPr>
          <t>Bu sekmedeki önceki hikâye (girdi dosyasından korunmuştur):
Gölge Fermanı gecesinde görünmedi; sabaha yalnız değişmiş mühür kaldı.</t>
        </r>
      </text>
    </comment>
    <comment ref="F21" authorId="0" shapeId="0" xr:uid="{00000000-0006-0000-0C00-000038000000}">
      <text>
        <r>
          <rPr>
            <sz val="10"/>
            <rFont val="Arial"/>
            <family val="2"/>
            <charset val="162"/>
          </rPr>
          <t>Önceki taslak: Gölge
Yeni ana ırk: Gölge
Güçlü — görsel
Görsel: Gölge/ruh-insansı</t>
        </r>
      </text>
    </comment>
    <comment ref="H21" authorId="0" shapeId="0" xr:uid="{00000000-0006-0000-0C00-000039000000}">
      <text>
        <r>
          <rPr>
            <sz val="10"/>
            <rFont val="Arial"/>
            <family val="2"/>
            <charset val="162"/>
          </rPr>
          <t>Önceki element: Gölge
Yeni element: Yaşam
Sınıflar arası dağılım için karakter adı, hikâyesi ve mevcut yetenek temaları birlikte değerlendirildi.</t>
        </r>
      </text>
    </comment>
    <comment ref="L21" authorId="0" shapeId="0" xr:uid="{00000000-0006-0000-0C00-00003A000000}">
      <text>
        <r>
          <rPr>
            <sz val="10"/>
            <rFont val="Arial"/>
            <family val="2"/>
            <charset val="162"/>
          </rPr>
          <t>Bu sekmedeki önceki hikâye (girdi dosyasından korunmuştur):
Bıçağı kan değil, kayıt taşıdı; kayıp satır yerine kondu.</t>
        </r>
      </text>
    </comment>
    <comment ref="F22" authorId="0" shapeId="0" xr:uid="{00000000-0006-0000-0C00-00003B000000}">
      <text>
        <r>
          <rPr>
            <sz val="10"/>
            <rFont val="Arial"/>
            <family val="2"/>
            <charset val="162"/>
          </rPr>
          <t>Önceki taslak: Cüce
Yeni ana ırk: Cüce
Güçlü — isim/hikâye
Güvenli görsel eşleşmesi yok; isim ve hikâye kullanıldı.</t>
        </r>
      </text>
    </comment>
    <comment ref="H22" authorId="0" shapeId="0" xr:uid="{00000000-0006-0000-0C00-00003C000000}">
      <text>
        <r>
          <rPr>
            <sz val="10"/>
            <rFont val="Arial"/>
            <family val="2"/>
            <charset val="162"/>
          </rPr>
          <t>Önceki element: Gölge
Yeni element: Toprak
Sınıflar arası dağılım için karakter adı, hikâyesi ve mevcut yetenek temaları birlikte değerlendirildi.</t>
        </r>
      </text>
    </comment>
    <comment ref="L22" authorId="0" shapeId="0" xr:uid="{00000000-0006-0000-0C00-00003D000000}">
      <text>
        <r>
          <rPr>
            <sz val="10"/>
            <rFont val="Arial"/>
            <family val="2"/>
            <charset val="162"/>
          </rPr>
          <t>Bu sekmedeki önceki hikâye (girdi dosyasından korunmuştur):
Bıçağı kan değil, kayıt taşıdı; kayıp satır yerine kondu.</t>
        </r>
      </text>
    </comment>
    <comment ref="F23" authorId="0" shapeId="0" xr:uid="{00000000-0006-0000-0C00-00003E000000}">
      <text>
        <r>
          <rPr>
            <sz val="10"/>
            <rFont val="Arial"/>
            <family val="2"/>
            <charset val="162"/>
          </rPr>
          <t>Önceki taslak: Gölge
Yeni ana ırk: Gölge
Güçlü — görsel
Görsel: Gölge/ruh-insansı</t>
        </r>
      </text>
    </comment>
    <comment ref="H23" authorId="0" shapeId="0" xr:uid="{00000000-0006-0000-0C00-00003F000000}">
      <text>
        <r>
          <rPr>
            <sz val="10"/>
            <rFont val="Arial"/>
            <family val="2"/>
            <charset val="162"/>
          </rPr>
          <t>Önceki element: Gölge
Yeni element: Ateş
Bu sınıfta element çeşitliliği sağlamak üzere yeni ana güç kaynağı önerildi; hikâye ve yetenek metni değiştirilmedi.</t>
        </r>
      </text>
    </comment>
    <comment ref="L23" authorId="0" shapeId="0" xr:uid="{00000000-0006-0000-0C00-000040000000}">
      <text>
        <r>
          <rPr>
            <sz val="10"/>
            <rFont val="Arial"/>
            <family val="2"/>
            <charset val="162"/>
          </rPr>
          <t>Bu sekmedeki önceki hikâye (girdi dosyasından korunmuştur):
Isigin Efendisi'ın izini takip etmedi; izi kimin çizdiğini ortaya çıkardı.</t>
        </r>
      </text>
    </comment>
    <comment ref="F24" authorId="0" shapeId="0" xr:uid="{00000000-0006-0000-0C00-000041000000}">
      <text>
        <r>
          <rPr>
            <sz val="10"/>
            <rFont val="Arial"/>
            <family val="2"/>
            <charset val="162"/>
          </rPr>
          <t>Önceki taslak: Gölge
Yeni ana ırk: Gölge
Güçlü — isim/hikâye
Görsel: İnsan görünümlü</t>
        </r>
      </text>
    </comment>
    <comment ref="H24" authorId="0" shapeId="0" xr:uid="{00000000-0006-0000-0C00-000042000000}">
      <text>
        <r>
          <rPr>
            <sz val="10"/>
            <rFont val="Arial"/>
            <family val="2"/>
            <charset val="162"/>
          </rPr>
          <t>Önceki element: Gölge
Yeni element: Buz
Sınıflar arası dağılım için karakter adı, hikâyesi ve mevcut yetenek temaları birlikte değerlendirildi.</t>
        </r>
      </text>
    </comment>
    <comment ref="L24" authorId="0" shapeId="0" xr:uid="{00000000-0006-0000-0C00-000043000000}">
      <text>
        <r>
          <rPr>
            <sz val="10"/>
            <rFont val="Arial"/>
            <family val="2"/>
            <charset val="162"/>
          </rPr>
          <t>Bu sekmedeki önceki hikâye (girdi dosyasından korunmuştur):
Adı okunmadı; fakat mühürdeki eksik çizgi onun işiydi.</t>
        </r>
      </text>
    </comment>
    <comment ref="F25" authorId="0" shapeId="0" xr:uid="{00000000-0006-0000-0C00-000044000000}">
      <text>
        <r>
          <rPr>
            <sz val="10"/>
            <rFont val="Arial"/>
            <family val="2"/>
            <charset val="162"/>
          </rPr>
          <t>Önceki taslak: Gölge
Yeni ana ırk: Gölge
Güçlü — isim/hikâye
Görsel: İnsan görünümlü</t>
        </r>
      </text>
    </comment>
    <comment ref="H25" authorId="0" shapeId="0" xr:uid="{00000000-0006-0000-0C00-000045000000}">
      <text>
        <r>
          <rPr>
            <sz val="10"/>
            <rFont val="Arial"/>
            <family val="2"/>
            <charset val="162"/>
          </rPr>
          <t>Önceki element: Gölge
Yeni element: Ateş
Bu sınıfta element çeşitliliği sağlamak üzere yeni ana güç kaynağı önerildi; hikâye ve yetenek metni değiştirilmedi.</t>
        </r>
      </text>
    </comment>
    <comment ref="L25" authorId="0" shapeId="0" xr:uid="{00000000-0006-0000-0C00-000046000000}">
      <text>
        <r>
          <rPr>
            <sz val="10"/>
            <rFont val="Arial"/>
            <family val="2"/>
            <charset val="162"/>
          </rPr>
          <t>Bu sekmedeki önceki hikâye (girdi dosyasından korunmuştur):
Gölge Fermanı gecesinde görünmedi; sabaha yalnız değişmiş mühür kaldı.</t>
        </r>
      </text>
    </comment>
    <comment ref="F26" authorId="0" shapeId="0" xr:uid="{00000000-0006-0000-0C00-000047000000}">
      <text>
        <r>
          <rPr>
            <sz val="10"/>
            <rFont val="Arial"/>
            <family val="2"/>
            <charset val="162"/>
          </rPr>
          <t>Önceki taslak: Gölge
Yeni ana ırk: Gölge
Güçlü — isim/hikâye
Görsel: İnsan görünümlü</t>
        </r>
      </text>
    </comment>
    <comment ref="H26" authorId="0" shapeId="0" xr:uid="{00000000-0006-0000-0C00-000048000000}">
      <text>
        <r>
          <rPr>
            <sz val="10"/>
            <rFont val="Arial"/>
            <family val="2"/>
            <charset val="162"/>
          </rPr>
          <t>Önceki element: Gölge
Yeni element: Zaman
Sınıflar arası dağılım için karakter adı, hikâyesi ve mevcut yetenek temaları birlikte değerlendirildi.</t>
        </r>
      </text>
    </comment>
    <comment ref="L26" authorId="0" shapeId="0" xr:uid="{00000000-0006-0000-0C00-000049000000}">
      <text>
        <r>
          <rPr>
            <sz val="10"/>
            <rFont val="Arial"/>
            <family val="2"/>
            <charset val="162"/>
          </rPr>
          <t>Bu sekmedeki önceki hikâye (girdi dosyasından korunmuştur):
Tanık bırakmadı; düşmanın imzasız korkusu kaldı.</t>
        </r>
      </text>
    </comment>
    <comment ref="F27" authorId="0" shapeId="0" xr:uid="{00000000-0006-0000-0C00-00004A000000}">
      <text>
        <r>
          <rPr>
            <sz val="10"/>
            <rFont val="Arial"/>
            <family val="2"/>
            <charset val="162"/>
          </rPr>
          <t>Önceki taslak: Sürüngensoy
Yeni ana ırk: Sürüngensoy
Kesin — kullanıcı onayı/kuralı
Görsel: Yılan/sürüngen-insansı</t>
        </r>
      </text>
    </comment>
    <comment ref="H27" authorId="0" shapeId="0" xr:uid="{00000000-0006-0000-0C00-00004B000000}">
      <text>
        <r>
          <rPr>
            <sz val="10"/>
            <rFont val="Arial"/>
            <family val="2"/>
            <charset val="162"/>
          </rPr>
          <t>Önceki element: Gölge
Yeni element: Işık
Sınıflar arası dağılım için karakter adı, hikâyesi ve mevcut yetenek temaları birlikte değerlendirildi.</t>
        </r>
      </text>
    </comment>
    <comment ref="L27" authorId="0" shapeId="0" xr:uid="{00000000-0006-0000-0C00-00004C000000}">
      <text>
        <r>
          <rPr>
            <sz val="10"/>
            <rFont val="Arial"/>
            <family val="2"/>
            <charset val="162"/>
          </rPr>
          <t>Bu sekmedeki önceki hikâye (girdi dosyasından korunmuştur):
Evrenin Korumacisi'ın konuşacağı sırada ihanetin boğazını sessizce kesti.</t>
        </r>
      </text>
    </comment>
    <comment ref="F28" authorId="0" shapeId="0" xr:uid="{00000000-0006-0000-0C00-00004D000000}">
      <text>
        <r>
          <rPr>
            <sz val="10"/>
            <rFont val="Arial"/>
            <family val="2"/>
            <charset val="162"/>
          </rPr>
          <t>Önceki taslak: Gölge
Yeni ana ırk: Gölge
Güçlü — görsel
Görsel: Gölge/ruh-insansı</t>
        </r>
      </text>
    </comment>
    <comment ref="L28" authorId="0" shapeId="0" xr:uid="{00000000-0006-0000-0C00-00004E000000}">
      <text>
        <r>
          <rPr>
            <sz val="10"/>
            <rFont val="Arial"/>
            <family val="2"/>
            <charset val="162"/>
          </rPr>
          <t>Bu sekmedeki önceki hikâye (girdi dosyasından korunmuştur):
Sessizliği kaçış değildi; saklanan bedelin ilanıydı.</t>
        </r>
      </text>
    </comment>
    <comment ref="F29" authorId="0" shapeId="0" xr:uid="{00000000-0006-0000-0C00-00004F000000}">
      <text>
        <r>
          <rPr>
            <sz val="10"/>
            <rFont val="Arial"/>
            <family val="2"/>
            <charset val="162"/>
          </rPr>
          <t>Önceki taslak: Gölge
Yeni ana ırk: Gölge
Güçlü — isim/hikâye
Görsel: İnsan görünümlü</t>
        </r>
      </text>
    </comment>
    <comment ref="L29" authorId="0" shapeId="0" xr:uid="{00000000-0006-0000-0C00-000050000000}">
      <text>
        <r>
          <rPr>
            <sz val="10"/>
            <rFont val="Arial"/>
            <family val="2"/>
            <charset val="162"/>
          </rPr>
          <t>Bu sekmedeki önceki hikâye (girdi dosyasından korunmuştur):
Bıçağı kan değil, kayıt taşıdı; kayıp satır yerine kondu.</t>
        </r>
      </text>
    </comment>
    <comment ref="F30" authorId="0" shapeId="0" xr:uid="{00000000-0006-0000-0C00-000051000000}">
      <text>
        <r>
          <rPr>
            <sz val="10"/>
            <rFont val="Arial"/>
            <family val="2"/>
            <charset val="162"/>
          </rPr>
          <t>Önceki taslak: Gölge
Yeni ana ırk: Gölge
Güçlü — görsel
Görsel: Gölge/ruh-insansı</t>
        </r>
      </text>
    </comment>
    <comment ref="H30" authorId="0" shapeId="0" xr:uid="{00000000-0006-0000-0C00-000052000000}">
      <text>
        <r>
          <rPr>
            <sz val="10"/>
            <rFont val="Arial"/>
            <family val="2"/>
            <charset val="162"/>
          </rPr>
          <t>Önceki element: Gölge
Yeni element: Enerji
Sınıflar arası dağılım için karakter adı, hikâyesi ve mevcut yetenek temaları birlikte değerlendirildi.</t>
        </r>
      </text>
    </comment>
    <comment ref="L30" authorId="0" shapeId="0" xr:uid="{00000000-0006-0000-0C00-000053000000}">
      <text>
        <r>
          <rPr>
            <sz val="10"/>
            <rFont val="Arial"/>
            <family val="2"/>
            <charset val="162"/>
          </rPr>
          <t>Bu sekmedeki önceki hikâye (girdi dosyasından korunmuştur):
Enerji Dagiticisi'ın konuşacağı sırada ihanetin boğazını sessizce kesti.</t>
        </r>
      </text>
    </comment>
    <comment ref="F31" authorId="0" shapeId="0" xr:uid="{00000000-0006-0000-0C00-000054000000}">
      <text>
        <r>
          <rPr>
            <sz val="10"/>
            <rFont val="Arial"/>
            <family val="2"/>
            <charset val="162"/>
          </rPr>
          <t>Önceki taslak: Gölge
Yeni ana ırk: Gölge
Güçlü — görsel
Görsel: Gölge/ruh-insansı</t>
        </r>
      </text>
    </comment>
    <comment ref="H31" authorId="0" shapeId="0" xr:uid="{00000000-0006-0000-0C00-000055000000}">
      <text>
        <r>
          <rPr>
            <sz val="10"/>
            <rFont val="Arial"/>
            <family val="2"/>
            <charset val="162"/>
          </rPr>
          <t>Önceki element: Gölge
Yeni element: Metal
Sınıflar arası dağılım için karakter adı, hikâyesi ve mevcut yetenek temaları birlikte değerlendirildi.</t>
        </r>
      </text>
    </comment>
    <comment ref="L31" authorId="0" shapeId="0" xr:uid="{00000000-0006-0000-0C00-000056000000}">
      <text>
        <r>
          <rPr>
            <sz val="10"/>
            <rFont val="Arial"/>
            <family val="2"/>
            <charset val="162"/>
          </rPr>
          <t>Bu sekmedeki önceki hikâye (girdi dosyasından korunmuştur):
Tanık bırakmadı; düşmanın imzasız korkusu kaldı.</t>
        </r>
      </text>
    </comment>
    <comment ref="F32" authorId="0" shapeId="0" xr:uid="{00000000-0006-0000-0C00-000057000000}">
      <text>
        <r>
          <rPr>
            <sz val="10"/>
            <rFont val="Arial"/>
            <family val="2"/>
            <charset val="162"/>
          </rPr>
          <t>Önceki taslak: İnsan
Yeni ana ırk: İnsan
Güçlü — isim/hikâye
Görsel: İnsan görünümlü</t>
        </r>
      </text>
    </comment>
    <comment ref="H32" authorId="0" shapeId="0" xr:uid="{00000000-0006-0000-0C00-000058000000}">
      <text>
        <r>
          <rPr>
            <sz val="10"/>
            <rFont val="Arial"/>
            <family val="2"/>
            <charset val="162"/>
          </rPr>
          <t>Önceki element: Zehir
Yeni element: Metal
Sınıflar arası dağılım için karakter adı, hikâyesi ve mevcut yetenek temaları birlikte değerlendirildi.</t>
        </r>
      </text>
    </comment>
    <comment ref="L32" authorId="0" shapeId="0" xr:uid="{00000000-0006-0000-0C00-000059000000}">
      <text>
        <r>
          <rPr>
            <sz val="10"/>
            <rFont val="Arial"/>
            <family val="2"/>
            <charset val="162"/>
          </rPr>
          <t>Bu sekmedeki önceki hikâye (girdi dosyasından korunmuştur):
Zehirli Vasiyet karardığında hüküm bıçağın sessiz ucunda değişti.</t>
        </r>
      </text>
    </comment>
    <comment ref="F33" authorId="0" shapeId="0" xr:uid="{00000000-0006-0000-0C00-00005A000000}">
      <text>
        <r>
          <rPr>
            <sz val="10"/>
            <rFont val="Arial"/>
            <family val="2"/>
            <charset val="162"/>
          </rPr>
          <t>Önceki taslak: Gölge
Yeni ana ırk: Gölge
Güçlü — isim/hikâye
Görsel: İnsan görünümlü</t>
        </r>
      </text>
    </comment>
    <comment ref="L33" authorId="0" shapeId="0" xr:uid="{00000000-0006-0000-0C00-00005B000000}">
      <text>
        <r>
          <rPr>
            <sz val="10"/>
            <rFont val="Arial"/>
            <family val="2"/>
            <charset val="162"/>
          </rPr>
          <t>Bu sekmedeki önceki hikâye (girdi dosyasından korunmuştur):
Gölgeye saklanmadı; gölge onun geçişini saklamak zorunda kaldı.</t>
        </r>
      </text>
    </comment>
    <comment ref="F34" authorId="0" shapeId="0" xr:uid="{00000000-0006-0000-0C00-00005C000000}">
      <text>
        <r>
          <rPr>
            <sz val="10"/>
            <rFont val="Arial"/>
            <family val="2"/>
            <charset val="162"/>
          </rPr>
          <t>Önceki taslak: Gölge
Yeni ana ırk: Gölge
Güçlü — görsel
Görsel: Gölge/ruh-insansı</t>
        </r>
      </text>
    </comment>
    <comment ref="H34" authorId="0" shapeId="0" xr:uid="{00000000-0006-0000-0C00-00005D000000}">
      <text>
        <r>
          <rPr>
            <sz val="10"/>
            <rFont val="Arial"/>
            <family val="2"/>
            <charset val="162"/>
          </rPr>
          <t>Önceki element: Gölge
Yeni element: Ateş
Bu sınıfta element çeşitliliği sağlamak üzere yeni ana güç kaynağı önerildi; hikâye ve yetenek metni değiştirilmedi.</t>
        </r>
      </text>
    </comment>
    <comment ref="L34" authorId="0" shapeId="0" xr:uid="{00000000-0006-0000-0C00-00005E000000}">
      <text>
        <r>
          <rPr>
            <sz val="10"/>
            <rFont val="Arial"/>
            <family val="2"/>
            <charset val="162"/>
          </rPr>
          <t>Bu sekmedeki önceki hikâye (girdi dosyasından korunmuştur):
Sessizliği kaçış değildi; saklanan bedelin ilanıydı.</t>
        </r>
      </text>
    </comment>
    <comment ref="F35" authorId="0" shapeId="0" xr:uid="{00000000-0006-0000-0C00-00005F000000}">
      <text>
        <r>
          <rPr>
            <sz val="10"/>
            <rFont val="Arial"/>
            <family val="2"/>
            <charset val="162"/>
          </rPr>
          <t>Önceki taslak: Gölge
Yeni ana ırk: Gölge
Güçlü — isim/hikâye
Görsel: İnsan görünümlü</t>
        </r>
      </text>
    </comment>
    <comment ref="H35" authorId="0" shapeId="0" xr:uid="{00000000-0006-0000-0C00-000060000000}">
      <text>
        <r>
          <rPr>
            <sz val="10"/>
            <rFont val="Arial"/>
            <family val="2"/>
            <charset val="162"/>
          </rPr>
          <t>Önceki element: Gölge
Yeni element: Işık
Sınıflar arası dağılım için karakter adı, hikâyesi ve mevcut yetenek temaları birlikte değerlendirildi.</t>
        </r>
      </text>
    </comment>
    <comment ref="L35" authorId="0" shapeId="0" xr:uid="{00000000-0006-0000-0C00-000061000000}">
      <text>
        <r>
          <rPr>
            <sz val="10"/>
            <rFont val="Arial"/>
            <family val="2"/>
            <charset val="162"/>
          </rPr>
          <t>Bu sekmedeki önceki hikâye (girdi dosyasından korunmuştur):
Gölgeye saklanmadı; gölge onun geçişini saklamak zorunda kaldı.</t>
        </r>
      </text>
    </comment>
    <comment ref="F36" authorId="0" shapeId="0" xr:uid="{00000000-0006-0000-0C00-000062000000}">
      <text>
        <r>
          <rPr>
            <sz val="10"/>
            <rFont val="Arial"/>
            <family val="2"/>
            <charset val="162"/>
          </rPr>
          <t>Önceki taslak: Gölge
Yeni ana ırk: Gölge
Güçlü — isim/hikâye
Görsel: İnsan görünümlü</t>
        </r>
      </text>
    </comment>
    <comment ref="H36" authorId="0" shapeId="0" xr:uid="{00000000-0006-0000-0C00-000063000000}">
      <text>
        <r>
          <rPr>
            <sz val="10"/>
            <rFont val="Arial"/>
            <family val="2"/>
            <charset val="162"/>
          </rPr>
          <t>Önceki element: Gölge
Yeni element: Işık
Sınıflar arası dağılım için karakter adı, hikâyesi ve mevcut yetenek temaları birlikte değerlendirildi.</t>
        </r>
      </text>
    </comment>
    <comment ref="L36" authorId="0" shapeId="0" xr:uid="{00000000-0006-0000-0C00-000064000000}">
      <text>
        <r>
          <rPr>
            <sz val="10"/>
            <rFont val="Arial"/>
            <family val="2"/>
            <charset val="162"/>
          </rPr>
          <t>Bu sekmedeki önceki hikâye (girdi dosyasından korunmuştur):
Koruyucu Melek'ın konuşacağı sırada ihanetin boğazını sessizce kesti.</t>
        </r>
      </text>
    </comment>
    <comment ref="F37" authorId="0" shapeId="0" xr:uid="{00000000-0006-0000-0C00-000065000000}">
      <text>
        <r>
          <rPr>
            <sz val="10"/>
            <rFont val="Arial"/>
            <family val="2"/>
            <charset val="162"/>
          </rPr>
          <t>Önceki taslak: Gölge
Yeni ana ırk: Cüce
Güçlü — görsel
Görsel: Cüce görünümlü | Dağılım revizyonu: Gölge → Cüce.</t>
        </r>
      </text>
    </comment>
    <comment ref="H37" authorId="0" shapeId="0" xr:uid="{00000000-0006-0000-0C00-000066000000}">
      <text>
        <r>
          <rPr>
            <sz val="10"/>
            <rFont val="Arial"/>
            <family val="2"/>
            <charset val="162"/>
          </rPr>
          <t>Önceki element: Zehir
Yeni element: Denge
Sınıflar arası dağılım için karakter adı, hikâyesi ve mevcut yetenek temaları birlikte değerlendirildi.</t>
        </r>
      </text>
    </comment>
    <comment ref="L37" authorId="0" shapeId="0" xr:uid="{00000000-0006-0000-0C00-000067000000}">
      <text>
        <r>
          <rPr>
            <sz val="10"/>
            <rFont val="Arial"/>
            <family val="2"/>
            <charset val="162"/>
          </rPr>
          <t>Bu sekmedeki önceki hikâye (girdi dosyasından korunmuştur):
Gölgeye saklanmadı; gölge onun geçişini saklamak zorunda kaldı.</t>
        </r>
      </text>
    </comment>
    <comment ref="F38" authorId="0" shapeId="0" xr:uid="{00000000-0006-0000-0C00-000068000000}">
      <text>
        <r>
          <rPr>
            <sz val="10"/>
            <rFont val="Arial"/>
            <family val="2"/>
            <charset val="162"/>
          </rPr>
          <t>Önceki taslak: Gölge
Yeni ana ırk: Gölge
Güçlü — isim/hikâye
Görsel: İnsan görünümlü</t>
        </r>
      </text>
    </comment>
    <comment ref="L38" authorId="0" shapeId="0" xr:uid="{00000000-0006-0000-0C00-000069000000}">
      <text>
        <r>
          <rPr>
            <sz val="10"/>
            <rFont val="Arial"/>
            <family val="2"/>
            <charset val="162"/>
          </rPr>
          <t>Bu sekmedeki önceki hikâye (girdi dosyasından korunmuştur):
Derin Arkan Defteri gecesinde görünmedi; sabaha yalnız değişmiş mühür kaldı.</t>
        </r>
      </text>
    </comment>
    <comment ref="F39" authorId="0" shapeId="0" xr:uid="{00000000-0006-0000-0C00-00006A000000}">
      <text>
        <r>
          <rPr>
            <sz val="10"/>
            <rFont val="Arial"/>
            <family val="2"/>
            <charset val="162"/>
          </rPr>
          <t>Önceki taslak: Gölge
Yeni ana ırk: Cüce
Güçlü — görsel
Görsel: Cüce görünümlü | Dağılım revizyonu: Gölge → Cüce.</t>
        </r>
      </text>
    </comment>
    <comment ref="H39" authorId="0" shapeId="0" xr:uid="{00000000-0006-0000-0C00-00006B000000}">
      <text>
        <r>
          <rPr>
            <sz val="10"/>
            <rFont val="Arial"/>
            <family val="2"/>
            <charset val="162"/>
          </rPr>
          <t>Önceki element: Gölge
Yeni element: Kaos
Sınıflar arası dağılım için karakter adı, hikâyesi ve mevcut yetenek temaları birlikte değerlendirildi.</t>
        </r>
      </text>
    </comment>
    <comment ref="L39" authorId="0" shapeId="0" xr:uid="{00000000-0006-0000-0C00-00006C000000}">
      <text>
        <r>
          <rPr>
            <sz val="10"/>
            <rFont val="Arial"/>
            <family val="2"/>
            <charset val="162"/>
          </rPr>
          <t>Bu sekmedeki önceki hikâye (girdi dosyasından korunmuştur):
Sessizliği kaçış değildi; saklanan bedelin ilanıydı.</t>
        </r>
      </text>
    </comment>
    <comment ref="F40" authorId="0" shapeId="0" xr:uid="{00000000-0006-0000-0C00-00006D000000}">
      <text>
        <r>
          <rPr>
            <sz val="10"/>
            <rFont val="Arial"/>
            <family val="2"/>
            <charset val="162"/>
          </rPr>
          <t>Önceki taslak: Gölge
Yeni ana ırk: Gölge
Güçlü — isim/hikâye
Görsel: İnsan görünümlü</t>
        </r>
      </text>
    </comment>
    <comment ref="H40" authorId="0" shapeId="0" xr:uid="{00000000-0006-0000-0C00-00006E000000}">
      <text>
        <r>
          <rPr>
            <sz val="10"/>
            <rFont val="Arial"/>
            <family val="2"/>
            <charset val="162"/>
          </rPr>
          <t>Önceki element: Gölge
Yeni element: Astral
Bu sınıfta element çeşitliliği sağlamak üzere yeni ana güç kaynağı önerildi; hikâye ve yetenek metni değiştirilmedi.</t>
        </r>
      </text>
    </comment>
    <comment ref="L40" authorId="0" shapeId="0" xr:uid="{00000000-0006-0000-0C00-00006F000000}">
      <text>
        <r>
          <rPr>
            <sz val="10"/>
            <rFont val="Arial"/>
            <family val="2"/>
            <charset val="162"/>
          </rPr>
          <t>Bu sekmedeki önceki hikâye (girdi dosyasından korunmuştur):
Gölgeye saklanmadı; gölge onun geçişini saklamak zorunda kaldı.</t>
        </r>
      </text>
    </comment>
    <comment ref="F41" authorId="0" shapeId="0" xr:uid="{00000000-0006-0000-0C00-000070000000}">
      <text>
        <r>
          <rPr>
            <sz val="10"/>
            <rFont val="Arial"/>
            <family val="2"/>
            <charset val="162"/>
          </rPr>
          <t>Önceki taslak: Gölge
Yeni ana ırk: Gölge
Güçlü — görsel
Görsel: Gölge/ruh-insansı</t>
        </r>
      </text>
    </comment>
    <comment ref="H41" authorId="0" shapeId="0" xr:uid="{00000000-0006-0000-0C00-000071000000}">
      <text>
        <r>
          <rPr>
            <sz val="10"/>
            <rFont val="Arial"/>
            <family val="2"/>
            <charset val="162"/>
          </rPr>
          <t>Önceki element: Gölge
Yeni element: Astral
Bu sınıfta element çeşitliliği sağlamak üzere yeni ana güç kaynağı önerildi; hikâye ve yetenek metni değiştirilmedi.</t>
        </r>
      </text>
    </comment>
    <comment ref="L41" authorId="0" shapeId="0" xr:uid="{00000000-0006-0000-0C00-000072000000}">
      <text>
        <r>
          <rPr>
            <sz val="10"/>
            <rFont val="Arial"/>
            <family val="2"/>
            <charset val="162"/>
          </rPr>
          <t>Bu sekmedeki önceki hikâye (girdi dosyasından korunmuştur):
Derin Gölge Fermanı karardığında hüküm bıçağın sessiz ucunda değişti.</t>
        </r>
      </text>
    </comment>
    <comment ref="F42" authorId="0" shapeId="0" xr:uid="{00000000-0006-0000-0C00-000073000000}">
      <text>
        <r>
          <rPr>
            <sz val="10"/>
            <rFont val="Arial"/>
            <family val="2"/>
            <charset val="162"/>
          </rPr>
          <t>Önceki taslak: Gölge
Yeni ana ırk: Böceksırt
Kesin — kullanıcı onayı/kuralı
Güvenli görsel eşleşmesi yok; isim ve hikâye kullanıldı. | Dağılım revizyonu: Gölge → Böceksırt.</t>
        </r>
      </text>
    </comment>
    <comment ref="H42" authorId="0" shapeId="0" xr:uid="{00000000-0006-0000-0C00-000074000000}">
      <text>
        <r>
          <rPr>
            <sz val="10"/>
            <rFont val="Arial"/>
            <family val="2"/>
            <charset val="162"/>
          </rPr>
          <t>Önceki element: Gölge
Yeni element: Savaş
Sınıflar arası dağılım için karakter adı, hikâyesi ve mevcut yetenek temaları birlikte değerlendirildi.</t>
        </r>
      </text>
    </comment>
    <comment ref="L42" authorId="0" shapeId="0" xr:uid="{00000000-0006-0000-0C00-000075000000}">
      <text>
        <r>
          <rPr>
            <sz val="10"/>
            <rFont val="Arial"/>
            <family val="2"/>
            <charset val="162"/>
          </rPr>
          <t>Bu sekmedeki önceki hikâye (girdi dosyasından korunmuştur):
Derin Gölge Fermanı sarsılınca hedef ölmedi, kaderin sahibi değişti.</t>
        </r>
      </text>
    </comment>
    <comment ref="F43" authorId="0" shapeId="0" xr:uid="{00000000-0006-0000-0C00-000076000000}">
      <text>
        <r>
          <rPr>
            <sz val="10"/>
            <rFont val="Arial"/>
            <family val="2"/>
            <charset val="162"/>
          </rPr>
          <t>Önceki taslak: Gölge
Yeni ana ırk: Gölge
Güçlü — isim/hikâye
Güvenli görsel eşleşmesi yok; isim ve hikâye kullanıldı.</t>
        </r>
      </text>
    </comment>
    <comment ref="H43" authorId="0" shapeId="0" xr:uid="{00000000-0006-0000-0C00-000077000000}">
      <text>
        <r>
          <rPr>
            <sz val="10"/>
            <rFont val="Arial"/>
            <family val="2"/>
            <charset val="162"/>
          </rPr>
          <t>Önceki element: Gölge
Yeni element: Metal
Sınıflar arası dağılım için karakter adı, hikâyesi ve mevcut yetenek temaları birlikte değerlendirildi.</t>
        </r>
      </text>
    </comment>
    <comment ref="L43" authorId="0" shapeId="0" xr:uid="{00000000-0006-0000-0C00-000078000000}">
      <text>
        <r>
          <rPr>
            <sz val="10"/>
            <rFont val="Arial"/>
            <family val="2"/>
            <charset val="162"/>
          </rPr>
          <t>Bu sekmedeki önceki hikâye (girdi dosyasından korunmuştur):
Derin Gölge Fermanı karardığında hüküm bıçağın sessiz ucunda değişti.</t>
        </r>
      </text>
    </comment>
    <comment ref="F44" authorId="0" shapeId="0" xr:uid="{00000000-0006-0000-0C00-000079000000}">
      <text>
        <r>
          <rPr>
            <sz val="10"/>
            <rFont val="Arial"/>
            <family val="2"/>
            <charset val="162"/>
          </rPr>
          <t>Önceki taslak: Astral
Yeni ana ırk: Astral
Güçlü — isim/hikâye
Güvenli görsel eşleşmesi yok; isim ve hikâye kullanıldı.</t>
        </r>
      </text>
    </comment>
    <comment ref="L44" authorId="0" shapeId="0" xr:uid="{00000000-0006-0000-0C00-00007A000000}">
      <text>
        <r>
          <rPr>
            <sz val="10"/>
            <rFont val="Arial"/>
            <family val="2"/>
            <charset val="162"/>
          </rPr>
          <t>Bu sekmedeki önceki hikâye (girdi dosyasından korunmuştur):
Kadim Ruh Koruyucusu'ın konuşacağı sırada ihanetin boğazını sessizce kesti.</t>
        </r>
      </text>
    </comment>
    <comment ref="F45" authorId="0" shapeId="0" xr:uid="{00000000-0006-0000-0C00-00007B000000}">
      <text>
        <r>
          <rPr>
            <sz val="10"/>
            <rFont val="Arial"/>
            <family val="2"/>
            <charset val="162"/>
          </rPr>
          <t>Önceki taslak: Gölge
Yeni ana ırk: Gölge
Güçlü — isim/hikâye
Güvenli görsel eşleşmesi yok; isim ve hikâye kullanıldı.</t>
        </r>
      </text>
    </comment>
    <comment ref="H45" authorId="0" shapeId="0" xr:uid="{00000000-0006-0000-0C00-00007C000000}">
      <text>
        <r>
          <rPr>
            <sz val="10"/>
            <rFont val="Arial"/>
            <family val="2"/>
            <charset val="162"/>
          </rPr>
          <t>Önceki element: Gölge
Yeni element: Savaş
Sınıflar arası dağılım için karakter adı, hikâyesi ve mevcut yetenek temaları birlikte değerlendirildi.</t>
        </r>
      </text>
    </comment>
    <comment ref="L45" authorId="0" shapeId="0" xr:uid="{00000000-0006-0000-0C00-00007D000000}">
      <text>
        <r>
          <rPr>
            <sz val="10"/>
            <rFont val="Arial"/>
            <family val="2"/>
            <charset val="162"/>
          </rPr>
          <t>Bu sekmedeki önceki hikâye (girdi dosyasından korunmuştur):
Sessizliği kaçış değildi; saklanan bedelin ilanıydı.</t>
        </r>
      </text>
    </comment>
    <comment ref="F46" authorId="0" shapeId="0" xr:uid="{00000000-0006-0000-0C00-00007E000000}">
      <text>
        <r>
          <rPr>
            <sz val="10"/>
            <rFont val="Arial"/>
            <family val="2"/>
            <charset val="162"/>
          </rPr>
          <t>Önceki taslak: Gölge
Yeni ana ırk: Böceksırt
Kesin — kullanıcı onayı/kuralı
Güvenli görsel eşleşmesi yok; isim ve hikâye kullanıldı. | Dağılım revizyonu: Gölge → Böceksırt.</t>
        </r>
      </text>
    </comment>
    <comment ref="H46" authorId="0" shapeId="0" xr:uid="{00000000-0006-0000-0C00-00007F000000}">
      <text>
        <r>
          <rPr>
            <sz val="10"/>
            <rFont val="Arial"/>
            <family val="2"/>
            <charset val="162"/>
          </rPr>
          <t>Önceki element: Zehir
Yeni element: Arkan
Sınıflar arası dağılım için karakter adı, hikâyesi ve mevcut yetenek temaları birlikte değerlendirildi.</t>
        </r>
      </text>
    </comment>
    <comment ref="L46" authorId="0" shapeId="0" xr:uid="{00000000-0006-0000-0C00-000080000000}">
      <text>
        <r>
          <rPr>
            <sz val="10"/>
            <rFont val="Arial"/>
            <family val="2"/>
            <charset val="162"/>
          </rPr>
          <t>Bu sekmedeki önceki hikâye (girdi dosyasından korunmuştur):
Tanık bırakmadı; düşmanın imzasız korkusu kaldı.</t>
        </r>
      </text>
    </comment>
    <comment ref="F47" authorId="0" shapeId="0" xr:uid="{00000000-0006-0000-0C00-000081000000}">
      <text>
        <r>
          <rPr>
            <sz val="10"/>
            <rFont val="Arial"/>
            <family val="2"/>
            <charset val="162"/>
          </rPr>
          <t>Önceki taslak: Gölge
Yeni ana ırk: Gölge
Güçlü — isim/hikâye
Güvenli görsel eşleşmesi yok; isim ve hikâye kullanıldı.</t>
        </r>
      </text>
    </comment>
    <comment ref="H47" authorId="0" shapeId="0" xr:uid="{00000000-0006-0000-0C00-000082000000}">
      <text>
        <r>
          <rPr>
            <sz val="10"/>
            <rFont val="Arial"/>
            <family val="2"/>
            <charset val="162"/>
          </rPr>
          <t>Önceki element: Gölge
Yeni element: Metal
Sınıflar arası dağılım için karakter adı, hikâyesi ve mevcut yetenek temaları birlikte değerlendirildi.</t>
        </r>
      </text>
    </comment>
    <comment ref="L47" authorId="0" shapeId="0" xr:uid="{00000000-0006-0000-0C00-000083000000}">
      <text>
        <r>
          <rPr>
            <sz val="10"/>
            <rFont val="Arial"/>
            <family val="2"/>
            <charset val="162"/>
          </rPr>
          <t>Bu sekmedeki önceki hikâye (girdi dosyasından korunmuştur):
Derin Gölge Fermanı karardığında hüküm bıçağın sessiz ucunda değişti.</t>
        </r>
      </text>
    </comment>
    <comment ref="F48" authorId="0" shapeId="0" xr:uid="{00000000-0006-0000-0C00-000084000000}">
      <text>
        <r>
          <rPr>
            <sz val="10"/>
            <rFont val="Arial"/>
            <family val="2"/>
            <charset val="162"/>
          </rPr>
          <t>Önceki taslak: Gölge
Yeni ana ırk: Gölge
Güçlü — isim/hikâye
Güvenli görsel eşleşmesi yok; isim ve hikâye kullanıldı.</t>
        </r>
      </text>
    </comment>
    <comment ref="H48" authorId="0" shapeId="0" xr:uid="{00000000-0006-0000-0C00-000085000000}">
      <text>
        <r>
          <rPr>
            <sz val="10"/>
            <rFont val="Arial"/>
            <family val="2"/>
            <charset val="162"/>
          </rPr>
          <t>Önceki element: Gölge
Yeni element: Metal
Sınıflar arası dağılım için karakter adı, hikâyesi ve mevcut yetenek temaları birlikte değerlendirildi.</t>
        </r>
      </text>
    </comment>
    <comment ref="L48" authorId="0" shapeId="0" xr:uid="{00000000-0006-0000-0C00-000086000000}">
      <text>
        <r>
          <rPr>
            <sz val="10"/>
            <rFont val="Arial"/>
            <family val="2"/>
            <charset val="162"/>
          </rPr>
          <t>Bu sekmedeki önceki hikâye (girdi dosyasından korunmuştur):
Tanık bırakmadı; düşmanın imzasız korkusu kaldı.</t>
        </r>
      </text>
    </comment>
    <comment ref="F49" authorId="0" shapeId="0" xr:uid="{00000000-0006-0000-0C00-000087000000}">
      <text>
        <r>
          <rPr>
            <sz val="10"/>
            <rFont val="Arial"/>
            <family val="2"/>
            <charset val="162"/>
          </rPr>
          <t>Önceki taslak: Gölge
Yeni ana ırk: Gölge
Güçlü — isim/hikâye
Güvenli görsel eşleşmesi yok; isim ve hikâye kullanıldı.</t>
        </r>
      </text>
    </comment>
    <comment ref="H49" authorId="0" shapeId="0" xr:uid="{00000000-0006-0000-0C00-000088000000}">
      <text>
        <r>
          <rPr>
            <sz val="10"/>
            <rFont val="Arial"/>
            <family val="2"/>
            <charset val="162"/>
          </rPr>
          <t>Önceki element: Gölge
Yeni element: Enerji
Sınıflar arası dağılım için karakter adı, hikâyesi ve mevcut yetenek temaları birlikte değerlendirildi.</t>
        </r>
      </text>
    </comment>
    <comment ref="L49" authorId="0" shapeId="0" xr:uid="{00000000-0006-0000-0C00-000089000000}">
      <text>
        <r>
          <rPr>
            <sz val="10"/>
            <rFont val="Arial"/>
            <family val="2"/>
            <charset val="162"/>
          </rPr>
          <t>Bu sekmedeki önceki hikâye (girdi dosyasından korunmuştur):
Tanık bırakmadı; düşmanın imzasız korkusu kaldı.</t>
        </r>
      </text>
    </comment>
    <comment ref="F50" authorId="0" shapeId="0" xr:uid="{00000000-0006-0000-0C00-00008A000000}">
      <text>
        <r>
          <rPr>
            <sz val="10"/>
            <rFont val="Arial"/>
            <family val="2"/>
            <charset val="162"/>
          </rPr>
          <t>Önceki taslak: Ölümsüz
Yeni ana ırk: Ölümsüz
Güçlü — isim/hikâye
Güvenli görsel eşleşmesi yok; isim ve hikâye kullanıldı.</t>
        </r>
      </text>
    </comment>
    <comment ref="L50" authorId="0" shapeId="0" xr:uid="{00000000-0006-0000-0C00-00008B000000}">
      <text>
        <r>
          <rPr>
            <sz val="10"/>
            <rFont val="Arial"/>
            <family val="2"/>
            <charset val="162"/>
          </rPr>
          <t>Bu sekmedeki önceki hikâye (girdi dosyasından korunmuştur):
Gölgeye saklanmadı; gölge onun geçişini saklamak zorunda kaldı.</t>
        </r>
      </text>
    </comment>
    <comment ref="F51" authorId="0" shapeId="0" xr:uid="{00000000-0006-0000-0C00-00008C000000}">
      <text>
        <r>
          <rPr>
            <sz val="10"/>
            <rFont val="Arial"/>
            <family val="2"/>
            <charset val="162"/>
          </rPr>
          <t>Önceki taslak: Gölge
Yeni ana ırk: Mutant
Dengeleme — kontrol önerilir
Güvenli görsel eşleşmesi yok; isim ve hikâye kullanıldı. | Dağılım revizyonu: Gölge → Mutant.</t>
        </r>
      </text>
    </comment>
    <comment ref="H51" authorId="0" shapeId="0" xr:uid="{00000000-0006-0000-0C00-00008D000000}">
      <text>
        <r>
          <rPr>
            <sz val="10"/>
            <rFont val="Arial"/>
            <family val="2"/>
            <charset val="162"/>
          </rPr>
          <t>Önceki element: Gölge
Yeni element: Kaos
Sınıflar arası dağılım için karakter adı, hikâyesi ve mevcut yetenek temaları birlikte değerlendirildi.</t>
        </r>
      </text>
    </comment>
    <comment ref="L51" authorId="0" shapeId="0" xr:uid="{00000000-0006-0000-0C00-00008E000000}">
      <text>
        <r>
          <rPr>
            <sz val="10"/>
            <rFont val="Arial"/>
            <family val="2"/>
            <charset val="162"/>
          </rPr>
          <t>Bu sekmedeki önceki hikâye (girdi dosyasından korunmuştur):
Ruh Samani'ın izini takip etmedi; izi kimin çizdiğini ortaya çıkardı.</t>
        </r>
      </text>
    </comment>
    <comment ref="F52" authorId="0" shapeId="0" xr:uid="{00000000-0006-0000-0C00-00008F000000}">
      <text>
        <r>
          <rPr>
            <sz val="10"/>
            <rFont val="Arial"/>
            <family val="2"/>
            <charset val="162"/>
          </rPr>
          <t>Önceki taslak: Gölge
Yeni ana ırk: Gölge
Güçlü — isim/hikâye
Güvenli görsel eşleşmesi yok; isim ve hikâye kullanıldı.</t>
        </r>
      </text>
    </comment>
    <comment ref="H52" authorId="0" shapeId="0" xr:uid="{00000000-0006-0000-0C00-000090000000}">
      <text>
        <r>
          <rPr>
            <sz val="10"/>
            <rFont val="Arial"/>
            <family val="2"/>
            <charset val="162"/>
          </rPr>
          <t>Önceki element: Kaos
Yeni element: Ruh
Sınıflar arası dağılım için karakter adı, hikâyesi ve mevcut yetenek temaları birlikte değerlendirildi.</t>
        </r>
      </text>
    </comment>
    <comment ref="L52" authorId="0" shapeId="0" xr:uid="{00000000-0006-0000-0C00-000091000000}">
      <text>
        <r>
          <rPr>
            <sz val="10"/>
            <rFont val="Arial"/>
            <family val="2"/>
            <charset val="162"/>
          </rPr>
          <t>Bu sekmedeki önceki hikâye (girdi dosyasından korunmuştur):
Yasam Ustasi'ın izini takip etmedi; izi kimin çizdiğini ortaya çıkardı.</t>
        </r>
      </text>
    </comment>
    <comment ref="F53" authorId="0" shapeId="0" xr:uid="{00000000-0006-0000-0C00-000092000000}">
      <text>
        <r>
          <rPr>
            <sz val="10"/>
            <rFont val="Arial"/>
            <family val="2"/>
            <charset val="162"/>
          </rPr>
          <t>Önceki taslak: Sürüngensoy
Yeni ana ırk: Sürüngensoy
Kesin — kullanıcı onayı/kuralı
Güvenli görsel eşleşmesi yok; isim ve hikâye kullanıldı.</t>
        </r>
      </text>
    </comment>
    <comment ref="H53" authorId="0" shapeId="0" xr:uid="{00000000-0006-0000-0C00-000093000000}">
      <text>
        <r>
          <rPr>
            <sz val="10"/>
            <rFont val="Arial"/>
            <family val="2"/>
            <charset val="162"/>
          </rPr>
          <t>Önceki element: Gölge
Yeni element: Doğa
Sınıflar arası dağılım için karakter adı, hikâyesi ve mevcut yetenek temaları birlikte değerlendirildi.</t>
        </r>
      </text>
    </comment>
    <comment ref="L53" authorId="0" shapeId="0" xr:uid="{00000000-0006-0000-0C00-000094000000}">
      <text>
        <r>
          <rPr>
            <sz val="10"/>
            <rFont val="Arial"/>
            <family val="2"/>
            <charset val="162"/>
          </rPr>
          <t>Bu sekmedeki önceki hikâye (girdi dosyasından korunmuştur):
Tanık bırakmadı; düşmanın imzasız korkusu kaldı.</t>
        </r>
      </text>
    </comment>
    <comment ref="F54" authorId="0" shapeId="0" xr:uid="{00000000-0006-0000-0C00-000095000000}">
      <text>
        <r>
          <rPr>
            <sz val="10"/>
            <rFont val="Arial"/>
            <family val="2"/>
            <charset val="162"/>
          </rPr>
          <t>Önceki taslak: Ölümsüz
Yeni ana ırk: Ölümsüz
Güçlü — isim/hikâye
Güvenli görsel eşleşmesi yok; isim ve hikâye kullanıldı.</t>
        </r>
      </text>
    </comment>
    <comment ref="H54" authorId="0" shapeId="0" xr:uid="{00000000-0006-0000-0C00-000096000000}">
      <text>
        <r>
          <rPr>
            <sz val="10"/>
            <rFont val="Arial"/>
            <family val="2"/>
            <charset val="162"/>
          </rPr>
          <t>Önceki element: Gölge
Yeni element: Yaşam
Sınıflar arası dağılım için karakter adı, hikâyesi ve mevcut yetenek temaları birlikte değerlendirildi.</t>
        </r>
      </text>
    </comment>
    <comment ref="L54" authorId="0" shapeId="0" xr:uid="{00000000-0006-0000-0C00-000097000000}">
      <text>
        <r>
          <rPr>
            <sz val="10"/>
            <rFont val="Arial"/>
            <family val="2"/>
            <charset val="162"/>
          </rPr>
          <t>Bu sekmedeki önceki hikâye (girdi dosyasından korunmuştur):
Sessizliği kaçış değildi; saklanan bedelin ilanıydı.</t>
        </r>
      </text>
    </comment>
    <comment ref="F55" authorId="0" shapeId="0" xr:uid="{00000000-0006-0000-0C00-000098000000}">
      <text>
        <r>
          <rPr>
            <sz val="10"/>
            <rFont val="Arial"/>
            <family val="2"/>
            <charset val="162"/>
          </rPr>
          <t>Önceki taslak: Gölge
Yeni ana ırk: Böceksırt
Kesin — kullanıcı onayı/kuralı
Güvenli görsel eşleşmesi yok; isim ve hikâye kullanıldı. | Dağılım revizyonu: Gölge → Böceksırt.</t>
        </r>
      </text>
    </comment>
    <comment ref="H55" authorId="0" shapeId="0" xr:uid="{00000000-0006-0000-0C00-000099000000}">
      <text>
        <r>
          <rPr>
            <sz val="10"/>
            <rFont val="Arial"/>
            <family val="2"/>
            <charset val="162"/>
          </rPr>
          <t>Önceki element: Gölge
Yeni element: Fırtına
Sınıflar arası dağılım için karakter adı, hikâyesi ve mevcut yetenek temaları birlikte değerlendirildi.</t>
        </r>
      </text>
    </comment>
    <comment ref="L55" authorId="0" shapeId="0" xr:uid="{00000000-0006-0000-0C00-00009A000000}">
      <text>
        <r>
          <rPr>
            <sz val="10"/>
            <rFont val="Arial"/>
            <family val="2"/>
            <charset val="162"/>
          </rPr>
          <t>Bu sekmedeki önceki hikâye (girdi dosyasından korunmuştur):
Kadim Gölge Fermanı karardığında hüküm bıçağın sessiz ucunda değişti.</t>
        </r>
      </text>
    </comment>
    <comment ref="F56" authorId="0" shapeId="0" xr:uid="{00000000-0006-0000-0C00-00009B000000}">
      <text>
        <r>
          <rPr>
            <sz val="10"/>
            <rFont val="Arial"/>
            <family val="2"/>
            <charset val="162"/>
          </rPr>
          <t>Önceki taslak: Gölge
Yeni ana ırk: Gölge
Güçlü — isim/hikâye
Güvenli görsel eşleşmesi yok; isim ve hikâye kullanıldı.</t>
        </r>
      </text>
    </comment>
    <comment ref="H56" authorId="0" shapeId="0" xr:uid="{00000000-0006-0000-0C00-00009C000000}">
      <text>
        <r>
          <rPr>
            <sz val="10"/>
            <rFont val="Arial"/>
            <family val="2"/>
            <charset val="162"/>
          </rPr>
          <t>Önceki element: Gölge
Yeni element: Işık
Sınıflar arası dağılım için karakter adı, hikâyesi ve mevcut yetenek temaları birlikte değerlendirildi.</t>
        </r>
      </text>
    </comment>
    <comment ref="L56" authorId="0" shapeId="0" xr:uid="{00000000-0006-0000-0C00-00009D000000}">
      <text>
        <r>
          <rPr>
            <sz val="10"/>
            <rFont val="Arial"/>
            <family val="2"/>
            <charset val="162"/>
          </rPr>
          <t>Bu sekmedeki önceki hikâye (girdi dosyasından korunmuştur):
Kadim Gölge Fermanı karardığında hüküm bıçağın sessiz ucunda değişti.</t>
        </r>
      </text>
    </comment>
    <comment ref="F57" authorId="0" shapeId="0" xr:uid="{00000000-0006-0000-0C00-00009E000000}">
      <text>
        <r>
          <rPr>
            <sz val="10"/>
            <rFont val="Arial"/>
            <family val="2"/>
            <charset val="162"/>
          </rPr>
          <t>Önceki taslak: Gölge
Yeni ana ırk: Böceksırt
Kesin — kullanıcı onayı/kuralı
Güvenli görsel eşleşmesi yok; isim ve hikâye kullanıldı. | Dağılım revizyonu: Gölge → Böceksırt.</t>
        </r>
      </text>
    </comment>
    <comment ref="H57" authorId="0" shapeId="0" xr:uid="{00000000-0006-0000-0C00-00009F000000}">
      <text>
        <r>
          <rPr>
            <sz val="10"/>
            <rFont val="Arial"/>
            <family val="2"/>
            <charset val="162"/>
          </rPr>
          <t>Önceki element: Gölge
Yeni element: Arkan
Sınıflar arası dağılım için karakter adı, hikâyesi ve mevcut yetenek temaları birlikte değerlendirildi.</t>
        </r>
      </text>
    </comment>
    <comment ref="L57" authorId="0" shapeId="0" xr:uid="{00000000-0006-0000-0C00-0000A0000000}">
      <text>
        <r>
          <rPr>
            <sz val="10"/>
            <rFont val="Arial"/>
            <family val="2"/>
            <charset val="162"/>
          </rPr>
          <t>Bu sekmedeki önceki hikâye (girdi dosyasından korunmuştur):
Isigin Yuces'ın izini takip etmedi; izi kimin çizdiğini ortaya çıkardı.</t>
        </r>
      </text>
    </comment>
    <comment ref="F58" authorId="0" shapeId="0" xr:uid="{00000000-0006-0000-0C00-0000A1000000}">
      <text>
        <r>
          <rPr>
            <sz val="10"/>
            <rFont val="Arial"/>
            <family val="2"/>
            <charset val="162"/>
          </rPr>
          <t>Önceki taslak: Gölge
Yeni ana ırk: Gölge
Güçlü — isim/hikâye
Güvenli görsel eşleşmesi yok; isim ve hikâye kullanıldı.</t>
        </r>
      </text>
    </comment>
    <comment ref="H58" authorId="0" shapeId="0" xr:uid="{00000000-0006-0000-0C00-0000A2000000}">
      <text>
        <r>
          <rPr>
            <sz val="10"/>
            <rFont val="Arial"/>
            <family val="2"/>
            <charset val="162"/>
          </rPr>
          <t>Önceki element: Gölge
Yeni element: Arkan
Bu sınıfta element çeşitliliği sağlamak üzere yeni ana güç kaynağı önerildi; hikâye ve yetenek metni değiştirilmedi.</t>
        </r>
      </text>
    </comment>
    <comment ref="L58" authorId="0" shapeId="0" xr:uid="{00000000-0006-0000-0C00-0000A3000000}">
      <text>
        <r>
          <rPr>
            <sz val="10"/>
            <rFont val="Arial"/>
            <family val="2"/>
            <charset val="162"/>
          </rPr>
          <t>Bu sekmedeki önceki hikâye (girdi dosyasından korunmuştur):
Bıçağı kan değil, kayıt taşıdı; kayıp satır yerine kondu.</t>
        </r>
      </text>
    </comment>
    <comment ref="F59" authorId="0" shapeId="0" xr:uid="{00000000-0006-0000-0C00-0000A4000000}">
      <text>
        <r>
          <rPr>
            <sz val="10"/>
            <rFont val="Arial"/>
            <family val="2"/>
            <charset val="162"/>
          </rPr>
          <t>Önceki taslak: Astral
Yeni ana ırk: Astral
Güçlü — isim/hikâye
Güvenli görsel eşleşmesi yok; isim ve hikâye kullanıldı.</t>
        </r>
      </text>
    </comment>
    <comment ref="L59" authorId="0" shapeId="0" xr:uid="{00000000-0006-0000-0C00-0000A5000000}">
      <text>
        <r>
          <rPr>
            <sz val="10"/>
            <rFont val="Arial"/>
            <family val="2"/>
            <charset val="162"/>
          </rPr>
          <t>Bu sekmedeki önceki hikâye (girdi dosyasından korunmuştur):
Efsanevi Kaos Tacı karardığında hüküm bıçağın sessiz ucunda değişti.</t>
        </r>
      </text>
    </comment>
    <comment ref="F60" authorId="0" shapeId="0" xr:uid="{00000000-0006-0000-0C00-0000A6000000}">
      <text>
        <r>
          <rPr>
            <sz val="10"/>
            <rFont val="Arial"/>
            <family val="2"/>
            <charset val="162"/>
          </rPr>
          <t>Önceki taslak: Astral
Yeni ana ırk: Astral
Güçlü — isim/hikâye
Güvenli görsel eşleşmesi yok; isim ve hikâye kullanıldı.</t>
        </r>
      </text>
    </comment>
    <comment ref="H60" authorId="0" shapeId="0" xr:uid="{00000000-0006-0000-0C00-0000A7000000}">
      <text>
        <r>
          <rPr>
            <sz val="10"/>
            <rFont val="Arial"/>
            <family val="2"/>
            <charset val="162"/>
          </rPr>
          <t>Önceki element: Zaman
Yeni element: Astral
Sınıflar arası dağılım için karakter adı, hikâyesi ve mevcut yetenek temaları birlikte değerlendirildi.</t>
        </r>
      </text>
    </comment>
    <comment ref="L60" authorId="0" shapeId="0" xr:uid="{00000000-0006-0000-0C00-0000A8000000}">
      <text>
        <r>
          <rPr>
            <sz val="10"/>
            <rFont val="Arial"/>
            <family val="2"/>
            <charset val="162"/>
          </rPr>
          <t>Bu sekmedeki önceki hikâye (girdi dosyasından korunmuştur):
Efsanevi Zaman Düğümü karardığında hüküm bıçağın sessiz ucunda değişti.</t>
        </r>
      </text>
    </comment>
    <comment ref="F61" authorId="0" shapeId="0" xr:uid="{00000000-0006-0000-0C00-0000A9000000}">
      <text>
        <r>
          <rPr>
            <sz val="10"/>
            <rFont val="Arial"/>
            <family val="2"/>
            <charset val="162"/>
          </rPr>
          <t>Önceki taslak: Gölge
Yeni ana ırk: Gölge
Güçlü — isim/hikâye
Güvenli görsel eşleşmesi yok; isim ve hikâye kullanıldı.</t>
        </r>
      </text>
    </comment>
    <comment ref="L61" authorId="0" shapeId="0" xr:uid="{00000000-0006-0000-0C00-0000AA000000}">
      <text>
        <r>
          <rPr>
            <sz val="10"/>
            <rFont val="Arial"/>
            <family val="2"/>
            <charset val="162"/>
          </rPr>
          <t>Bu sekmedeki önceki hikâye (girdi dosyasından korunmuştur):
Adı okunmadı; fakat mühürdeki eksik çizgi onun işiydi.</t>
        </r>
      </text>
    </comment>
    <comment ref="F62" authorId="0" shapeId="0" xr:uid="{00000000-0006-0000-0C00-0000AB000000}">
      <text>
        <r>
          <rPr>
            <sz val="10"/>
            <rFont val="Arial"/>
            <family val="2"/>
            <charset val="162"/>
          </rPr>
          <t>Önceki taslak: Gölge
Yeni ana ırk: Gölge
Güçlü — isim/hikâye
Güvenli görsel eşleşmesi yok; isim ve hikâye kullanıldı.</t>
        </r>
      </text>
    </comment>
    <comment ref="H62" authorId="0" shapeId="0" xr:uid="{00000000-0006-0000-0C00-0000AC000000}">
      <text>
        <r>
          <rPr>
            <sz val="10"/>
            <rFont val="Arial"/>
            <family val="2"/>
            <charset val="162"/>
          </rPr>
          <t>Önceki element: Kaos
Yeni element: Arkan
Sınıflar arası dağılım için karakter adı, hikâyesi ve mevcut yetenek temaları birlikte değerlendirildi.</t>
        </r>
      </text>
    </comment>
    <comment ref="L62" authorId="0" shapeId="0" xr:uid="{00000000-0006-0000-0C00-0000AD000000}">
      <text>
        <r>
          <rPr>
            <sz val="10"/>
            <rFont val="Arial"/>
            <family val="2"/>
            <charset val="162"/>
          </rPr>
          <t>Bu sekmedeki önceki hikâye (girdi dosyasından korunmuştur):
Bıçağı kan değil, kayıt taşıdı; kayıp satır yerine kondu.</t>
        </r>
      </text>
    </comment>
    <comment ref="F63" authorId="0" shapeId="0" xr:uid="{00000000-0006-0000-0C00-0000AE000000}">
      <text>
        <r>
          <rPr>
            <sz val="10"/>
            <rFont val="Arial"/>
            <family val="2"/>
            <charset val="162"/>
          </rPr>
          <t>Önceki taslak: Gölge
Yeni ana ırk: Gölge
Güçlü — isim/hikâye
Güvenli görsel eşleşmesi yok; isim ve hikâye kullanıldı.</t>
        </r>
      </text>
    </comment>
    <comment ref="L63" authorId="0" shapeId="0" xr:uid="{00000000-0006-0000-0C00-0000AF000000}">
      <text>
        <r>
          <rPr>
            <sz val="10"/>
            <rFont val="Arial"/>
            <family val="2"/>
            <charset val="162"/>
          </rPr>
          <t>Bu sekmedeki önceki hikâye (girdi dosyasından korunmuştur):
Tanrısal Gölge Fermanı gecesinde görünmedi; sabaha yalnız değişmiş mühür kaldı.</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Notion AI</author>
  </authors>
  <commentList>
    <comment ref="A1" authorId="0" shapeId="0" xr:uid="{00000000-0006-0000-0D00-000001000000}">
      <text>
        <r>
          <rPr>
            <sz val="10"/>
            <rFont val="Arial"/>
            <family val="2"/>
            <charset val="162"/>
          </rPr>
          <t>AYNA SAYFA: Güncellemeleri önce Tum_Karakterler_311 sayfasında yapın, sonra aynı ID satırına senkronlayın.</t>
        </r>
      </text>
    </comment>
    <comment ref="H1" authorId="0" shapeId="0" xr:uid="{00000000-0006-0000-0D00-000002000000}">
      <text>
        <r>
          <rPr>
            <sz val="10"/>
            <rFont val="Arial"/>
            <family val="2"/>
            <charset val="162"/>
          </rPr>
          <t>Element, sınıftan bağımsız bir güç kaynağı olarak dağıtıldı. Her sınıfta 19 elementin tamamı temsil edilir. Hikâyeler ve yetenek metinleri korunmuştur.</t>
        </r>
      </text>
    </comment>
    <comment ref="M1" authorId="0" shapeId="0" xr:uid="{00000000-0006-0000-0D00-000003000000}">
      <text>
        <r>
          <rPr>
            <sz val="10"/>
            <rFont val="Arial"/>
            <family val="2"/>
            <charset val="162"/>
          </rPr>
          <t>Boşluklar ve noktalama işaretleri dâhil karakter sayısıdır. Hikâye değiştirildiğinde otomatik hesaplanır.</t>
        </r>
      </text>
    </comment>
    <comment ref="N1" authorId="0" shapeId="0" xr:uid="{00000000-0006-0000-0D00-000004000000}">
      <text>
        <r>
          <rPr>
            <sz val="10"/>
            <rFont val="Arial"/>
            <family val="2"/>
            <charset val="162"/>
          </rPr>
          <t>Boşluklar ve noktalama dâhil en fazla 130 karakter. Metin değiştirildiğinde kontrol otomatik yenilenir.</t>
        </r>
      </text>
    </comment>
    <comment ref="F2" authorId="0" shapeId="0" xr:uid="{00000000-0006-0000-0D00-000005000000}">
      <text>
        <r>
          <rPr>
            <sz val="10"/>
            <rFont val="Arial"/>
            <family val="2"/>
            <charset val="162"/>
          </rPr>
          <t>Önceki taslak: İnsan
Yeni ana ırk: İnsan
Güçlü — isim/hikâye
Görsel: İnsan görünümlü</t>
        </r>
      </text>
    </comment>
    <comment ref="L2" authorId="0" shapeId="0" xr:uid="{00000000-0006-0000-0D00-000006000000}">
      <text>
        <r>
          <rPr>
            <sz val="10"/>
            <rFont val="Arial"/>
            <family val="2"/>
            <charset val="162"/>
          </rPr>
          <t>Bu sekmedeki önceki hikâye (girdi dosyasından korunmuştur):
Taş ve metal konuştu; hükmü bedenine aldı.</t>
        </r>
      </text>
    </comment>
    <comment ref="F3" authorId="0" shapeId="0" xr:uid="{00000000-0006-0000-0D00-000007000000}">
      <text>
        <r>
          <rPr>
            <sz val="10"/>
            <rFont val="Arial"/>
            <family val="2"/>
            <charset val="162"/>
          </rPr>
          <t>Önceki taslak: Canavar
Yeni ana ırk: Canavar
Güçlü — görsel
Görsel: Hayvan/kanatlı hayvan-insansı</t>
        </r>
      </text>
    </comment>
    <comment ref="H3" authorId="0" shapeId="0" xr:uid="{00000000-0006-0000-0D00-000008000000}">
      <text>
        <r>
          <rPr>
            <sz val="10"/>
            <rFont val="Arial"/>
            <family val="2"/>
            <charset val="162"/>
          </rPr>
          <t>Önceki element: Metal
Yeni element: Toprak
Sınıflar arası dağılım için karakter adı, hikâyesi ve mevcut yetenek temaları birlikte değerlendirildi.</t>
        </r>
      </text>
    </comment>
    <comment ref="L3" authorId="0" shapeId="0" xr:uid="{00000000-0006-0000-0D00-000009000000}">
      <text>
        <r>
          <rPr>
            <sz val="10"/>
            <rFont val="Arial"/>
            <family val="2"/>
            <charset val="162"/>
          </rPr>
          <t>Bu sekmedeki önceki hikâye (girdi dosyasından korunmuştur):
Çelik Yemin kırılınca cephe onun adıyla yeniden hizalandı.</t>
        </r>
      </text>
    </comment>
    <comment ref="F4" authorId="0" shapeId="0" xr:uid="{00000000-0006-0000-0D00-00000A000000}">
      <text>
        <r>
          <rPr>
            <sz val="10"/>
            <rFont val="Arial"/>
            <family val="2"/>
            <charset val="162"/>
          </rPr>
          <t>Önceki taslak: İnsan
Yeni ana ırk: İnsan
Güçlü — isim/hikâye
Görsel: İnsan görünümlü</t>
        </r>
      </text>
    </comment>
    <comment ref="H4" authorId="0" shapeId="0" xr:uid="{00000000-0006-0000-0D00-00000B000000}">
      <text>
        <r>
          <rPr>
            <sz val="10"/>
            <rFont val="Arial"/>
            <family val="2"/>
            <charset val="162"/>
          </rPr>
          <t>Önceki element: Toprak
Yeni element: Metal
Zincir halkalarıyla örülen koruma.</t>
        </r>
      </text>
    </comment>
    <comment ref="L4" authorId="0" shapeId="0" xr:uid="{00000000-0006-0000-0D00-00000C000000}">
      <text>
        <r>
          <rPr>
            <sz val="10"/>
            <rFont val="Arial"/>
            <family val="2"/>
            <charset val="162"/>
          </rPr>
          <t>Bu sekmedeki önceki hikâye (girdi dosyasından korunmuştur):
Umut Tasiyici'ın geri çekildiği çizgide durdu; yenilgiyi kapıya çevirdi.</t>
        </r>
      </text>
    </comment>
    <comment ref="F5" authorId="0" shapeId="0" xr:uid="{00000000-0006-0000-0D00-00000D000000}">
      <text>
        <r>
          <rPr>
            <sz val="10"/>
            <rFont val="Arial"/>
            <family val="2"/>
            <charset val="162"/>
          </rPr>
          <t>Önceki taslak: Ejdersoy
Yeni ana ırk: Sürüngensoy
Kesin — kullanıcı onayı/kuralı
Görsel: Ejderha | Dağılım revizyonu: Ejdersoy → Sürüngensoy.</t>
        </r>
      </text>
    </comment>
    <comment ref="L5" authorId="0" shapeId="0" xr:uid="{00000000-0006-0000-0D00-00000E000000}">
      <text>
        <r>
          <rPr>
            <sz val="10"/>
            <rFont val="Arial"/>
            <family val="2"/>
            <charset val="162"/>
          </rPr>
          <t>Bu sekmedeki önceki hikâye (girdi dosyasından korunmuştur):
Kızıl Antlaşma kırılınca cephe onun adıyla yeniden hizalandı.</t>
        </r>
      </text>
    </comment>
    <comment ref="F6" authorId="0" shapeId="0" xr:uid="{00000000-0006-0000-0D00-00000F000000}">
      <text>
        <r>
          <rPr>
            <sz val="10"/>
            <rFont val="Arial"/>
            <family val="2"/>
            <charset val="162"/>
          </rPr>
          <t>Önceki taslak: Ölümsüz
Yeni ana ırk: Ölümsüz
Kesin — kullanıcı onayı/kuralı
Görsel: İnsan görünümlü</t>
        </r>
      </text>
    </comment>
    <comment ref="H6" authorId="0" shapeId="0" xr:uid="{00000000-0006-0000-0D00-000010000000}">
      <text>
        <r>
          <rPr>
            <sz val="10"/>
            <rFont val="Arial"/>
            <family val="2"/>
            <charset val="162"/>
          </rPr>
          <t>Önceki element: Kaos
Yeni element: Savaş
Sınıflar arası dağılım için karakter adı, hikâyesi ve mevcut yetenek temaları birlikte değerlendirildi.</t>
        </r>
      </text>
    </comment>
    <comment ref="L6" authorId="0" shapeId="0" xr:uid="{00000000-0006-0000-0D00-000011000000}">
      <text>
        <r>
          <rPr>
            <sz val="10"/>
            <rFont val="Arial"/>
            <family val="2"/>
            <charset val="162"/>
          </rPr>
          <t>Bu sekmedeki önceki hikâye (girdi dosyasından korunmuştur):
Kaos Tacı çökerken geri adımı suç, direnişi yasa ilan etti.</t>
        </r>
      </text>
    </comment>
    <comment ref="F7" authorId="0" shapeId="0" xr:uid="{00000000-0006-0000-0D00-000012000000}">
      <text>
        <r>
          <rPr>
            <sz val="10"/>
            <rFont val="Arial"/>
            <family val="2"/>
            <charset val="162"/>
          </rPr>
          <t>Önceki taslak: Ölümsüz
Yeni ana ırk: Ölümsüz
Kesin — kullanıcı onayı/kuralı
Görsel: Mutant/golem-insansı</t>
        </r>
      </text>
    </comment>
    <comment ref="H7" authorId="0" shapeId="0" xr:uid="{00000000-0006-0000-0D00-000013000000}">
      <text>
        <r>
          <rPr>
            <sz val="10"/>
            <rFont val="Arial"/>
            <family val="2"/>
            <charset val="162"/>
          </rPr>
          <t>Önceki element: Kaos
Yeni element: Yaşam
Sınıflar arası dağılım için karakter adı, hikâyesi ve mevcut yetenek temaları birlikte değerlendirildi.</t>
        </r>
      </text>
    </comment>
    <comment ref="L7" authorId="0" shapeId="0" xr:uid="{00000000-0006-0000-0D00-000014000000}">
      <text>
        <r>
          <rPr>
            <sz val="10"/>
            <rFont val="Arial"/>
            <family val="2"/>
            <charset val="162"/>
          </rPr>
          <t>Bu sekmedeki önceki hikâye (girdi dosyasından korunmuştur):
Kalkanı duvar değil, eski borcun kapanmayan mührüydü.</t>
        </r>
      </text>
    </comment>
    <comment ref="F8" authorId="0" shapeId="0" xr:uid="{00000000-0006-0000-0D00-000015000000}">
      <text>
        <r>
          <rPr>
            <sz val="10"/>
            <rFont val="Arial"/>
            <family val="2"/>
            <charset val="162"/>
          </rPr>
          <t>Önceki taslak: Ölümsüz
Yeni ana ırk: Ölümsüz
Kesin — kullanıcı onayı/kuralı
Görsel: Melek/kanatlı insansı</t>
        </r>
      </text>
    </comment>
    <comment ref="H8" authorId="0" shapeId="0" xr:uid="{00000000-0006-0000-0D00-000016000000}">
      <text>
        <r>
          <rPr>
            <sz val="10"/>
            <rFont val="Arial"/>
            <family val="2"/>
            <charset val="162"/>
          </rPr>
          <t>Önceki element: Kaos
Yeni element: Yaşam
Sınıflar arası dağılım için karakter adı, hikâyesi ve mevcut yetenek temaları birlikte değerlendirildi.</t>
        </r>
      </text>
    </comment>
    <comment ref="L8" authorId="0" shapeId="0" xr:uid="{00000000-0006-0000-0D00-000017000000}">
      <text>
        <r>
          <rPr>
            <sz val="10"/>
            <rFont val="Arial"/>
            <family val="2"/>
            <charset val="162"/>
          </rPr>
          <t>Bu sekmedeki önceki hikâye (girdi dosyasından korunmuştur):
Zırhı darbe toplamadı; düşen isimlerin hesabını tuttu.</t>
        </r>
      </text>
    </comment>
    <comment ref="F9" authorId="0" shapeId="0" xr:uid="{00000000-0006-0000-0D00-000018000000}">
      <text>
        <r>
          <rPr>
            <sz val="10"/>
            <rFont val="Arial"/>
            <family val="2"/>
            <charset val="162"/>
          </rPr>
          <t>Önceki taslak: Ölümsüz
Yeni ana ırk: Ölümsüz
Kesin — kullanıcı onayı/kuralı
Görsel: Melek/kanatlı insansı</t>
        </r>
      </text>
    </comment>
    <comment ref="H9" authorId="0" shapeId="0" xr:uid="{00000000-0006-0000-0D00-000019000000}">
      <text>
        <r>
          <rPr>
            <sz val="10"/>
            <rFont val="Arial"/>
            <family val="2"/>
            <charset val="162"/>
          </rPr>
          <t>Önceki element: Kaos
Yeni element: Yaşam
Sınıflar arası dağılım için karakter adı, hikâyesi ve mevcut yetenek temaları birlikte değerlendirildi.</t>
        </r>
      </text>
    </comment>
    <comment ref="L9" authorId="0" shapeId="0" xr:uid="{00000000-0006-0000-0D00-00001A000000}">
      <text>
        <r>
          <rPr>
            <sz val="10"/>
            <rFont val="Arial"/>
            <family val="2"/>
            <charset val="162"/>
          </rPr>
          <t>Bu sekmedeki önceki hikâye (girdi dosyasından korunmuştur):
Kalkanı duvar değil, eski borcun kapanmayan mührüydü.</t>
        </r>
      </text>
    </comment>
    <comment ref="F10" authorId="0" shapeId="0" xr:uid="{00000000-0006-0000-0D00-00001B000000}">
      <text>
        <r>
          <rPr>
            <sz val="10"/>
            <rFont val="Arial"/>
            <family val="2"/>
            <charset val="162"/>
          </rPr>
          <t>Önceki taslak: Ölümsüz
Yeni ana ırk: Ölümsüz
Kesin — kullanıcı onayı/kuralı
Görsel: İblis/kanatlı insansı</t>
        </r>
      </text>
    </comment>
    <comment ref="L10" authorId="0" shapeId="0" xr:uid="{00000000-0006-0000-0D00-00001C000000}">
      <text>
        <r>
          <rPr>
            <sz val="10"/>
            <rFont val="Arial"/>
            <family val="2"/>
            <charset val="162"/>
          </rPr>
          <t>Bu sekmedeki önceki hikâye (girdi dosyasından korunmuştur):
Isik Yoldasi'ın geri çekildiği çizgide durdu; yenilgiyi kapıya çevirdi.</t>
        </r>
      </text>
    </comment>
    <comment ref="F11" authorId="0" shapeId="0" xr:uid="{00000000-0006-0000-0D00-00001D000000}">
      <text>
        <r>
          <rPr>
            <sz val="10"/>
            <rFont val="Arial"/>
            <family val="2"/>
            <charset val="162"/>
          </rPr>
          <t>Önceki taslak: Ölümsüz
Yeni ana ırk: Ölümsüz
Kesin — kullanıcı onayı/kuralı
Görsel: Ejder/kanatlı sürüngen-insansı</t>
        </r>
      </text>
    </comment>
    <comment ref="L11" authorId="0" shapeId="0" xr:uid="{00000000-0006-0000-0D00-00001E000000}">
      <text>
        <r>
          <rPr>
            <sz val="10"/>
            <rFont val="Arial"/>
            <family val="2"/>
            <charset val="162"/>
          </rPr>
          <t>Bu sekmedeki önceki hikâye (girdi dosyasından korunmuştur):
Zırhı darbe toplamadı; düşen isimlerin hesabını tuttu.</t>
        </r>
      </text>
    </comment>
    <comment ref="F12" authorId="0" shapeId="0" xr:uid="{00000000-0006-0000-0D00-00001F000000}">
      <text>
        <r>
          <rPr>
            <sz val="10"/>
            <rFont val="Arial"/>
            <family val="2"/>
            <charset val="162"/>
          </rPr>
          <t>Önceki taslak: Ölümsüz
Yeni ana ırk: Ölümsüz
Kesin — kullanıcı onayı/kuralı
Güvenli görsel eşleşmesi yok; isim ve hikâye kullanıldı.</t>
        </r>
      </text>
    </comment>
    <comment ref="H12" authorId="0" shapeId="0" xr:uid="{00000000-0006-0000-0D00-000020000000}">
      <text>
        <r>
          <rPr>
            <sz val="10"/>
            <rFont val="Arial"/>
            <family val="2"/>
            <charset val="162"/>
          </rPr>
          <t>Önceki element: Kaos
Yeni element: Ruh
Sınıflar arası dağılım için karakter adı, hikâyesi ve mevcut yetenek temaları birlikte değerlendirildi.</t>
        </r>
      </text>
    </comment>
    <comment ref="L12" authorId="0" shapeId="0" xr:uid="{00000000-0006-0000-0D00-000021000000}">
      <text>
        <r>
          <rPr>
            <sz val="10"/>
            <rFont val="Arial"/>
            <family val="2"/>
            <charset val="162"/>
          </rPr>
          <t>Bu sekmedeki önceki hikâye (girdi dosyasından korunmuştur):
Yıkım yaklaşınca kalkanını değil, hükmünü öne sürdü.</t>
        </r>
      </text>
    </comment>
    <comment ref="F13" authorId="0" shapeId="0" xr:uid="{00000000-0006-0000-0D00-000022000000}">
      <text>
        <r>
          <rPr>
            <sz val="10"/>
            <rFont val="Arial"/>
            <family val="2"/>
            <charset val="162"/>
          </rPr>
          <t>Önceki taslak: Ölümsüz
Yeni ana ırk: Ölümsüz
Kesin — kullanıcı onayı/kuralı
Görsel: İnsan görünümlü</t>
        </r>
      </text>
    </comment>
    <comment ref="H13" authorId="0" shapeId="0" xr:uid="{00000000-0006-0000-0D00-000023000000}">
      <text>
        <r>
          <rPr>
            <sz val="10"/>
            <rFont val="Arial"/>
            <family val="2"/>
            <charset val="162"/>
          </rPr>
          <t>Önceki element: Kaos
Yeni element: Ruh
Sınıflar arası dağılım için karakter adı, hikâyesi ve mevcut yetenek temaları birlikte değerlendirildi.</t>
        </r>
      </text>
    </comment>
    <comment ref="L13" authorId="0" shapeId="0" xr:uid="{00000000-0006-0000-0D00-000024000000}">
      <text>
        <r>
          <rPr>
            <sz val="10"/>
            <rFont val="Arial"/>
            <family val="2"/>
            <charset val="162"/>
          </rPr>
          <t>Bu sekmedeki önceki hikâye (girdi dosyasından korunmuştur):
Siperin ardına saklanmadı; siper onun iradesinden doğdu.</t>
        </r>
      </text>
    </comment>
    <comment ref="F14" authorId="0" shapeId="0" xr:uid="{00000000-0006-0000-0D00-000025000000}">
      <text>
        <r>
          <rPr>
            <sz val="10"/>
            <rFont val="Arial"/>
            <family val="2"/>
            <charset val="162"/>
          </rPr>
          <t>Önceki taslak: Ejdersoy
Yeni ana ırk: Dev
Kesin — kullanıcı onayı/kuralı
Görsel: Ejder/kanatlı sürüngen-insansı | Dağılım revizyonu: Ejdersoy → Dev.</t>
        </r>
      </text>
    </comment>
    <comment ref="H14" authorId="0" shapeId="0" xr:uid="{00000000-0006-0000-0D00-000026000000}">
      <text>
        <r>
          <rPr>
            <sz val="10"/>
            <rFont val="Arial"/>
            <family val="2"/>
            <charset val="162"/>
          </rPr>
          <t>Önceki element: Metal
Yeni element: Denge
Yıkım için yetişen devin gücünü korumaya yöneltmesi.</t>
        </r>
      </text>
    </comment>
    <comment ref="L14" authorId="0" shapeId="0" xr:uid="{00000000-0006-0000-0D00-000027000000}">
      <text>
        <r>
          <rPr>
            <sz val="10"/>
            <rFont val="Arial"/>
            <family val="2"/>
            <charset val="162"/>
          </rPr>
          <t>Bu sekmedeki önceki hikâye (girdi dosyasından korunmuştur):
Kalkanı duvar değil, eski borcun kapanmayan mührüydü.</t>
        </r>
      </text>
    </comment>
    <comment ref="F15" authorId="0" shapeId="0" xr:uid="{00000000-0006-0000-0D00-000028000000}">
      <text>
        <r>
          <rPr>
            <sz val="10"/>
            <rFont val="Arial"/>
            <family val="2"/>
            <charset val="162"/>
          </rPr>
          <t>Önceki taslak: Ejdersoy
Yeni ana ırk: Ejdersoy
Güçlü — görsel
Görsel: Ejder/kanatlı sürüngen-insansı</t>
        </r>
      </text>
    </comment>
    <comment ref="L15" authorId="0" shapeId="0" xr:uid="{00000000-0006-0000-0D00-000029000000}">
      <text>
        <r>
          <rPr>
            <sz val="10"/>
            <rFont val="Arial"/>
            <family val="2"/>
            <charset val="162"/>
          </rPr>
          <t>Bu sekmedeki önceki hikâye (girdi dosyasından korunmuştur):
Taş ve metal konuştu; hükmü bedenine aldı.</t>
        </r>
      </text>
    </comment>
    <comment ref="F16" authorId="0" shapeId="0" xr:uid="{00000000-0006-0000-0D00-00002A000000}">
      <text>
        <r>
          <rPr>
            <sz val="10"/>
            <rFont val="Arial"/>
            <family val="2"/>
            <charset val="162"/>
          </rPr>
          <t>Önceki taslak: Ejdersoy
Yeni ana ırk: Ejdersoy
Güçlü — görsel
Görsel: Ejder/kanatlı sürüngen-insansı</t>
        </r>
      </text>
    </comment>
    <comment ref="H16" authorId="0" shapeId="0" xr:uid="{00000000-0006-0000-0D00-00002B000000}">
      <text>
        <r>
          <rPr>
            <sz val="10"/>
            <rFont val="Arial"/>
            <family val="2"/>
            <charset val="162"/>
          </rPr>
          <t>Önceki element: Metal
Yeni element: Arkan
Bu sınıfta element çeşitliliği sağlamak üzere yeni ana güç kaynağı önerildi; hikâye ve yetenek metni değiştirilmedi.</t>
        </r>
      </text>
    </comment>
    <comment ref="L16" authorId="0" shapeId="0" xr:uid="{00000000-0006-0000-0D00-00002C000000}">
      <text>
        <r>
          <rPr>
            <sz val="10"/>
            <rFont val="Arial"/>
            <family val="2"/>
            <charset val="162"/>
          </rPr>
          <t>Bu sekmedeki önceki hikâye (girdi dosyasından korunmuştur):
Taş ve metal konuştu; hükmü bedenine aldı.</t>
        </r>
      </text>
    </comment>
    <comment ref="F17" authorId="0" shapeId="0" xr:uid="{00000000-0006-0000-0D00-00002D000000}">
      <text>
        <r>
          <rPr>
            <sz val="10"/>
            <rFont val="Arial"/>
            <family val="2"/>
            <charset val="162"/>
          </rPr>
          <t>Önceki taslak: Ejdersoy
Yeni ana ırk: Ejdersoy
Güçlü — görsel
Görsel: Ejder/kanatlı sürüngen-insansı</t>
        </r>
      </text>
    </comment>
    <comment ref="L17" authorId="0" shapeId="0" xr:uid="{00000000-0006-0000-0D00-00002E000000}">
      <text>
        <r>
          <rPr>
            <sz val="10"/>
            <rFont val="Arial"/>
            <family val="2"/>
            <charset val="162"/>
          </rPr>
          <t>Bu sekmedeki önceki hikâye (girdi dosyasından korunmuştur):
Hayat Rehberi'ın geri çekildiği çizgide durdu; yenilgiyi kapıya çevirdi.</t>
        </r>
      </text>
    </comment>
    <comment ref="F18" authorId="0" shapeId="0" xr:uid="{00000000-0006-0000-0D00-00002F000000}">
      <text>
        <r>
          <rPr>
            <sz val="10"/>
            <rFont val="Arial"/>
            <family val="2"/>
            <charset val="162"/>
          </rPr>
          <t>Önceki taslak: Ejdersoy
Yeni ana ırk: Ejdersoy
Güçlü — görsel
Görsel: Ejder/kanatlı sürüngen-insansı</t>
        </r>
      </text>
    </comment>
    <comment ref="L18" authorId="0" shapeId="0" xr:uid="{00000000-0006-0000-0D00-000030000000}">
      <text>
        <r>
          <rPr>
            <sz val="10"/>
            <rFont val="Arial"/>
            <family val="2"/>
            <charset val="162"/>
          </rPr>
          <t>Bu sekmedeki önceki hikâye (girdi dosyasından korunmuştur):
Buz Mührü kırılınca cephe onun adıyla yeniden hizalandı.</t>
        </r>
      </text>
    </comment>
    <comment ref="F19" authorId="0" shapeId="0" xr:uid="{00000000-0006-0000-0D00-000031000000}">
      <text>
        <r>
          <rPr>
            <sz val="10"/>
            <rFont val="Arial"/>
            <family val="2"/>
            <charset val="162"/>
          </rPr>
          <t>Önceki taslak: İnsan
Yeni ana ırk: İnsan
Güçlü — isim/hikâye
Görsel: İnsan görünümlü</t>
        </r>
      </text>
    </comment>
    <comment ref="H19" authorId="0" shapeId="0" xr:uid="{00000000-0006-0000-0D00-000032000000}">
      <text>
        <r>
          <rPr>
            <sz val="10"/>
            <rFont val="Arial"/>
            <family val="2"/>
            <charset val="162"/>
          </rPr>
          <t>Önceki element: Metal
Yeni element: Fırtına
Yelkende biriken rüzgâr.</t>
        </r>
      </text>
    </comment>
    <comment ref="L19" authorId="0" shapeId="0" xr:uid="{00000000-0006-0000-0D00-000033000000}">
      <text>
        <r>
          <rPr>
            <sz val="10"/>
            <rFont val="Arial"/>
            <family val="2"/>
            <charset val="162"/>
          </rPr>
          <t>Bu sekmedeki önceki hikâye (girdi dosyasından korunmuştur):
Zırhı darbe toplamadı; düşen isimlerin hesabını tuttu.</t>
        </r>
      </text>
    </comment>
    <comment ref="F20" authorId="0" shapeId="0" xr:uid="{00000000-0006-0000-0D00-000034000000}">
      <text>
        <r>
          <rPr>
            <sz val="10"/>
            <rFont val="Arial"/>
            <family val="2"/>
            <charset val="162"/>
          </rPr>
          <t>Önceki taslak: Cüce
Yeni ana ırk: Cüce
Güçlü — görsel
Görsel: Cüce görünümlü</t>
        </r>
      </text>
    </comment>
    <comment ref="H20" authorId="0" shapeId="0" xr:uid="{00000000-0006-0000-0D00-000035000000}">
      <text>
        <r>
          <rPr>
            <sz val="10"/>
            <rFont val="Arial"/>
            <family val="2"/>
            <charset val="162"/>
          </rPr>
          <t>Önceki element: Metal
Yeni element: Işık
Sınıflar arası dağılım için karakter adı, hikâyesi ve mevcut yetenek temaları birlikte değerlendirildi.</t>
        </r>
      </text>
    </comment>
    <comment ref="L20" authorId="0" shapeId="0" xr:uid="{00000000-0006-0000-0D00-000036000000}">
      <text>
        <r>
          <rPr>
            <sz val="10"/>
            <rFont val="Arial"/>
            <family val="2"/>
            <charset val="162"/>
          </rPr>
          <t>Bu sekmedeki önceki hikâye (girdi dosyasından korunmuştur):
Çelik Yemin kırılınca cephe onun adıyla yeniden hizalandı.</t>
        </r>
      </text>
    </comment>
    <comment ref="F21" authorId="0" shapeId="0" xr:uid="{00000000-0006-0000-0D00-000037000000}">
      <text>
        <r>
          <rPr>
            <sz val="10"/>
            <rFont val="Arial"/>
            <family val="2"/>
            <charset val="162"/>
          </rPr>
          <t>Önceki taslak: Cüce
Yeni ana ırk: Cüce
Güçlü — görsel
Görsel: Cüce görünümlü</t>
        </r>
      </text>
    </comment>
    <comment ref="L21" authorId="0" shapeId="0" xr:uid="{00000000-0006-0000-0D00-000038000000}">
      <text>
        <r>
          <rPr>
            <sz val="10"/>
            <rFont val="Arial"/>
            <family val="2"/>
            <charset val="162"/>
          </rPr>
          <t>Bu sekmedeki önceki hikâye (girdi dosyasından korunmuştur):
Hayat Fisildayicisi'dan kalan yarım antlaşma onun bedeninde kapandı.</t>
        </r>
      </text>
    </comment>
    <comment ref="F22" authorId="0" shapeId="0" xr:uid="{00000000-0006-0000-0D00-000039000000}">
      <text>
        <r>
          <rPr>
            <sz val="10"/>
            <rFont val="Arial"/>
            <family val="2"/>
            <charset val="162"/>
          </rPr>
          <t>Önceki taslak: Cüce
Yeni ana ırk: Cüce
Güçlü — görsel
Görsel: Cüce görünümlü</t>
        </r>
      </text>
    </comment>
    <comment ref="H22" authorId="0" shapeId="0" xr:uid="{00000000-0006-0000-0D00-00003A000000}">
      <text>
        <r>
          <rPr>
            <sz val="10"/>
            <rFont val="Arial"/>
            <family val="2"/>
            <charset val="162"/>
          </rPr>
          <t>Önceki element: Metal
Yeni element: Toprak
Zırhındaki kum ve gömülen maden ocağı.</t>
        </r>
      </text>
    </comment>
    <comment ref="L22" authorId="0" shapeId="0" xr:uid="{00000000-0006-0000-0D00-00003B000000}">
      <text>
        <r>
          <rPr>
            <sz val="10"/>
            <rFont val="Arial"/>
            <family val="2"/>
            <charset val="162"/>
          </rPr>
          <t>Bu sekmedeki önceki hikâye (girdi dosyasından korunmuştur):
Yıkım yaklaşınca kalkanını değil, hükmünü öne sürdü.</t>
        </r>
      </text>
    </comment>
    <comment ref="F23" authorId="0" shapeId="0" xr:uid="{00000000-0006-0000-0D00-00003C000000}">
      <text>
        <r>
          <rPr>
            <sz val="10"/>
            <rFont val="Arial"/>
            <family val="2"/>
            <charset val="162"/>
          </rPr>
          <t>Önceki taslak: Cüce
Yeni ana ırk: Cüce
Güçlü — görsel
Görsel: Cüce görünümlü</t>
        </r>
      </text>
    </comment>
    <comment ref="L23" authorId="0" shapeId="0" xr:uid="{00000000-0006-0000-0D00-00003D000000}">
      <text>
        <r>
          <rPr>
            <sz val="10"/>
            <rFont val="Arial"/>
            <family val="2"/>
            <charset val="162"/>
          </rPr>
          <t>Bu sekmedeki önceki hikâye (girdi dosyasından korunmuştur):
Kızıl Antlaşma kırılınca cephe onun adıyla yeniden hizalandı.</t>
        </r>
      </text>
    </comment>
    <comment ref="F24" authorId="0" shapeId="0" xr:uid="{00000000-0006-0000-0D00-00003E000000}">
      <text>
        <r>
          <rPr>
            <sz val="10"/>
            <rFont val="Arial"/>
            <family val="2"/>
            <charset val="162"/>
          </rPr>
          <t>Önceki taslak: Cüce
Yeni ana ırk: Cüce
Güçlü — görsel
Görsel: Cüce görünümlü</t>
        </r>
      </text>
    </comment>
    <comment ref="L24" authorId="0" shapeId="0" xr:uid="{00000000-0006-0000-0D00-00003F000000}">
      <text>
        <r>
          <rPr>
            <sz val="10"/>
            <rFont val="Arial"/>
            <family val="2"/>
            <charset val="162"/>
          </rPr>
          <t>Bu sekmedeki önceki hikâye (girdi dosyasından korunmuştur):
Siperin ardına saklanmadı; siper onun iradesinden doğdu.</t>
        </r>
      </text>
    </comment>
    <comment ref="F25" authorId="0" shapeId="0" xr:uid="{00000000-0006-0000-0D00-000040000000}">
      <text>
        <r>
          <rPr>
            <sz val="10"/>
            <rFont val="Arial"/>
            <family val="2"/>
            <charset val="162"/>
          </rPr>
          <t>Önceki taslak: Ölümsüz
Yeni ana ırk: Ölümsüz
Kesin — kullanıcı onayı/kuralı
Görsel: Melek/kanatlı insansı</t>
        </r>
      </text>
    </comment>
    <comment ref="H25" authorId="0" shapeId="0" xr:uid="{00000000-0006-0000-0D00-000041000000}">
      <text>
        <r>
          <rPr>
            <sz val="10"/>
            <rFont val="Arial"/>
            <family val="2"/>
            <charset val="162"/>
          </rPr>
          <t>Önceki element: Kaos
Yeni element: Savaş
Sınıflar arası dağılım için karakter adı, hikâyesi ve mevcut yetenek temaları birlikte değerlendirildi.</t>
        </r>
      </text>
    </comment>
    <comment ref="L25" authorId="0" shapeId="0" xr:uid="{00000000-0006-0000-0D00-000042000000}">
      <text>
        <r>
          <rPr>
            <sz val="10"/>
            <rFont val="Arial"/>
            <family val="2"/>
            <charset val="162"/>
          </rPr>
          <t>Bu sekmedeki önceki hikâye (girdi dosyasından korunmuştur):
Zamanin Yoldasi'ın geri çekildiği çizgide durdu; yenilgiyi kapıya çevirdi.</t>
        </r>
      </text>
    </comment>
    <comment ref="F26" authorId="0" shapeId="0" xr:uid="{00000000-0006-0000-0D00-000043000000}">
      <text>
        <r>
          <rPr>
            <sz val="10"/>
            <rFont val="Arial"/>
            <family val="2"/>
            <charset val="162"/>
          </rPr>
          <t>Önceki taslak: Cüce
Yeni ana ırk: Cüce
Güçlü — görsel
Görsel: Cüce görünümlü</t>
        </r>
      </text>
    </comment>
    <comment ref="L26" authorId="0" shapeId="0" xr:uid="{00000000-0006-0000-0D00-000044000000}">
      <text>
        <r>
          <rPr>
            <sz val="10"/>
            <rFont val="Arial"/>
            <family val="2"/>
            <charset val="162"/>
          </rPr>
          <t>Bu sekmedeki önceki hikâye (girdi dosyasından korunmuştur):
Kutsal Sifaci'dan kalan yarım antlaşma onun bedeninde kapandı.</t>
        </r>
      </text>
    </comment>
    <comment ref="F27" authorId="0" shapeId="0" xr:uid="{00000000-0006-0000-0D00-000045000000}">
      <text>
        <r>
          <rPr>
            <sz val="10"/>
            <rFont val="Arial"/>
            <family val="2"/>
            <charset val="162"/>
          </rPr>
          <t>Önceki taslak: Cüce
Yeni ana ırk: Cüce
Güçlü — görsel
Görsel: Cüce görünümlü</t>
        </r>
      </text>
    </comment>
    <comment ref="H27" authorId="0" shapeId="0" xr:uid="{00000000-0006-0000-0D00-000046000000}">
      <text>
        <r>
          <rPr>
            <sz val="10"/>
            <rFont val="Arial"/>
            <family val="2"/>
            <charset val="162"/>
          </rPr>
          <t>Önceki element: Metal
Yeni element: Zihin
Sınıflar arası dağılım için karakter adı, hikâyesi ve mevcut yetenek temaları birlikte değerlendirildi.</t>
        </r>
      </text>
    </comment>
    <comment ref="L27" authorId="0" shapeId="0" xr:uid="{00000000-0006-0000-0D00-000047000000}">
      <text>
        <r>
          <rPr>
            <sz val="10"/>
            <rFont val="Arial"/>
            <family val="2"/>
            <charset val="162"/>
          </rPr>
          <t>Bu sekmedeki önceki hikâye (girdi dosyasından korunmuştur):
Siperin ardına saklanmadı; siper onun iradesinden doğdu.</t>
        </r>
      </text>
    </comment>
    <comment ref="F28" authorId="0" shapeId="0" xr:uid="{00000000-0006-0000-0D00-000048000000}">
      <text>
        <r>
          <rPr>
            <sz val="10"/>
            <rFont val="Arial"/>
            <family val="2"/>
            <charset val="162"/>
          </rPr>
          <t>Önceki taslak: Cüce
Yeni ana ırk: Cüce
Güçlü — görsel
Görsel: Cüce görünümlü</t>
        </r>
      </text>
    </comment>
    <comment ref="L28" authorId="0" shapeId="0" xr:uid="{00000000-0006-0000-0D00-000049000000}">
      <text>
        <r>
          <rPr>
            <sz val="10"/>
            <rFont val="Arial"/>
            <family val="2"/>
            <charset val="162"/>
          </rPr>
          <t>Bu sekmedeki önceki hikâye (girdi dosyasından korunmuştur):
Fırtına Divanı altında her çatlağı yeni bir yemin yaptı.</t>
        </r>
      </text>
    </comment>
    <comment ref="F29" authorId="0" shapeId="0" xr:uid="{00000000-0006-0000-0D00-00004A000000}">
      <text>
        <r>
          <rPr>
            <sz val="10"/>
            <rFont val="Arial"/>
            <family val="2"/>
            <charset val="162"/>
          </rPr>
          <t>Önceki taslak: İnsan
Yeni ana ırk: Astral
Dengeleme — kontrol önerilir
Görsel: İnsan görünümlü | Dağılım revizyonu: İnsan → Astral.</t>
        </r>
      </text>
    </comment>
    <comment ref="H29" authorId="0" shapeId="0" xr:uid="{00000000-0006-0000-0D00-00004B000000}">
      <text>
        <r>
          <rPr>
            <sz val="10"/>
            <rFont val="Arial"/>
            <family val="2"/>
            <charset val="162"/>
          </rPr>
          <t>Önceki element: Metal
Yeni element: Işık
Sınıflar arası dağılım için karakter adı, hikâyesi ve mevcut yetenek temaları birlikte değerlendirildi.</t>
        </r>
      </text>
    </comment>
    <comment ref="L29" authorId="0" shapeId="0" xr:uid="{00000000-0006-0000-0D00-00004C000000}">
      <text>
        <r>
          <rPr>
            <sz val="10"/>
            <rFont val="Arial"/>
            <family val="2"/>
            <charset val="162"/>
          </rPr>
          <t>Bu sekmedeki önceki hikâye (girdi dosyasından korunmuştur):
Yıkım yaklaşınca kalkanını değil, hükmünü öne sürdü.</t>
        </r>
      </text>
    </comment>
    <comment ref="F30" authorId="0" shapeId="0" xr:uid="{00000000-0006-0000-0D00-00004D000000}">
      <text>
        <r>
          <rPr>
            <sz val="10"/>
            <rFont val="Arial"/>
            <family val="2"/>
            <charset val="162"/>
          </rPr>
          <t>Önceki taslak: Ejdersoy
Yeni ana ırk: Ejdersoy
Güçlü — görsel
Görsel: Ejder/kanatlı sürüngen-insansı</t>
        </r>
      </text>
    </comment>
    <comment ref="H30" authorId="0" shapeId="0" xr:uid="{00000000-0006-0000-0D00-00004E000000}">
      <text>
        <r>
          <rPr>
            <sz val="10"/>
            <rFont val="Arial"/>
            <family val="2"/>
            <charset val="162"/>
          </rPr>
          <t>Önceki element: Metal
Yeni element: Zehir
Ejder pullu savunmaya, sınıftan bağımsız zehir güç kaynağı atandı.</t>
        </r>
      </text>
    </comment>
    <comment ref="L30" authorId="0" shapeId="0" xr:uid="{00000000-0006-0000-0D00-00004F000000}">
      <text>
        <r>
          <rPr>
            <sz val="10"/>
            <rFont val="Arial"/>
            <family val="2"/>
            <charset val="162"/>
          </rPr>
          <t>Bu sekmedeki önceki hikâye (girdi dosyasından korunmuştur):
Siperin ardına saklanmadı; siper onun iradesinden doğdu.</t>
        </r>
      </text>
    </comment>
    <comment ref="F31" authorId="0" shapeId="0" xr:uid="{00000000-0006-0000-0D00-000050000000}">
      <text>
        <r>
          <rPr>
            <sz val="10"/>
            <rFont val="Arial"/>
            <family val="2"/>
            <charset val="162"/>
          </rPr>
          <t>Önceki taslak: İnsan
Yeni ana ırk: İnsan
Güçlü — isim/hikâye
Görsel: İnsan görünümlü</t>
        </r>
      </text>
    </comment>
    <comment ref="L31" authorId="0" shapeId="0" xr:uid="{00000000-0006-0000-0D00-000051000000}">
      <text>
        <r>
          <rPr>
            <sz val="10"/>
            <rFont val="Arial"/>
            <family val="2"/>
            <charset val="162"/>
          </rPr>
          <t>Bu sekmedeki önceki hikâye (girdi dosyasından korunmuştur):
Çelik Yemin altında her çatlağı yeni bir yemin yaptı.</t>
        </r>
      </text>
    </comment>
    <comment ref="F32" authorId="0" shapeId="0" xr:uid="{00000000-0006-0000-0D00-000052000000}">
      <text>
        <r>
          <rPr>
            <sz val="10"/>
            <rFont val="Arial"/>
            <family val="2"/>
            <charset val="162"/>
          </rPr>
          <t>Önceki taslak: İnsan
Yeni ana ırk: Cüce
Dengeleme — kontrol önerilir
Güvenli görsel eşleşmesi yok; isim ve hikâye kullanıldı. | Dağılım revizyonu: İnsan → Cüce.</t>
        </r>
      </text>
    </comment>
    <comment ref="H32" authorId="0" shapeId="0" xr:uid="{00000000-0006-0000-0D00-000053000000}">
      <text>
        <r>
          <rPr>
            <sz val="10"/>
            <rFont val="Arial"/>
            <family val="2"/>
            <charset val="162"/>
          </rPr>
          <t>Önceki element: Metal
Yeni element: Zaman
Sınıflar arası dağılım için karakter adı, hikâyesi ve mevcut yetenek temaları birlikte değerlendirildi.</t>
        </r>
      </text>
    </comment>
    <comment ref="L32" authorId="0" shapeId="0" xr:uid="{00000000-0006-0000-0D00-000054000000}">
      <text>
        <r>
          <rPr>
            <sz val="10"/>
            <rFont val="Arial"/>
            <family val="2"/>
            <charset val="162"/>
          </rPr>
          <t>Bu sekmedeki önceki hikâye (girdi dosyasından korunmuştur):
Çelik Yemin kırılınca cephe onun adıyla yeniden hizalandı.</t>
        </r>
      </text>
    </comment>
    <comment ref="F33" authorId="0" shapeId="0" xr:uid="{00000000-0006-0000-0D00-000055000000}">
      <text>
        <r>
          <rPr>
            <sz val="10"/>
            <rFont val="Arial"/>
            <family val="2"/>
            <charset val="162"/>
          </rPr>
          <t>Önceki taslak: Ölümsüz
Yeni ana ırk: Ölümsüz
Kesin — kullanıcı onayı/kuralı
Görsel: İnsan görünümlü</t>
        </r>
      </text>
    </comment>
    <comment ref="L33" authorId="0" shapeId="0" xr:uid="{00000000-0006-0000-0D00-000056000000}">
      <text>
        <r>
          <rPr>
            <sz val="10"/>
            <rFont val="Arial"/>
            <family val="2"/>
            <charset val="162"/>
          </rPr>
          <t>Bu sekmedeki önceki hikâye (girdi dosyasından korunmuştur):
Yıkım yaklaşınca kalkanını değil, hükmünü öne sürdü.</t>
        </r>
      </text>
    </comment>
    <comment ref="F34" authorId="0" shapeId="0" xr:uid="{00000000-0006-0000-0D00-000057000000}">
      <text>
        <r>
          <rPr>
            <sz val="10"/>
            <rFont val="Arial"/>
            <family val="2"/>
            <charset val="162"/>
          </rPr>
          <t>Önceki taslak: Mutant
Yeni ana ırk: Elf
Orta
Görsel: İnsan görünümlü | Dağılım revizyonu: Mutant → Elf.</t>
        </r>
      </text>
    </comment>
    <comment ref="H34" authorId="0" shapeId="0" xr:uid="{00000000-0006-0000-0D00-000058000000}">
      <text>
        <r>
          <rPr>
            <sz val="10"/>
            <rFont val="Arial"/>
            <family val="2"/>
            <charset val="162"/>
          </rPr>
          <t>Önceki element: Metal
Yeni element: Doğa
Sınıflar arası dağılım için karakter adı, hikâyesi ve mevcut yetenek temaları birlikte değerlendirildi.</t>
        </r>
      </text>
    </comment>
    <comment ref="L34" authorId="0" shapeId="0" xr:uid="{00000000-0006-0000-0D00-000059000000}">
      <text>
        <r>
          <rPr>
            <sz val="10"/>
            <rFont val="Arial"/>
            <family val="2"/>
            <charset val="162"/>
          </rPr>
          <t>Bu sekmedeki önceki hikâye (girdi dosyasından korunmuştur):
Derin Çelik Yemin çökerken geri adımı suç, direnişi yasa ilan etti.</t>
        </r>
      </text>
    </comment>
    <comment ref="F35" authorId="0" shapeId="0" xr:uid="{00000000-0006-0000-0D00-00005A000000}">
      <text>
        <r>
          <rPr>
            <sz val="10"/>
            <rFont val="Arial"/>
            <family val="2"/>
            <charset val="162"/>
          </rPr>
          <t>Önceki taslak: Böceksırt
Yeni ana ırk: Böceksırt
Kesin — kullanıcı onayı/kuralı
Görsel: Böcek/araknid varlık; Tam zırhlı, türü belirsiz</t>
        </r>
      </text>
    </comment>
    <comment ref="H35" authorId="0" shapeId="0" xr:uid="{00000000-0006-0000-0D00-00005B000000}">
      <text>
        <r>
          <rPr>
            <sz val="10"/>
            <rFont val="Arial"/>
            <family val="2"/>
            <charset val="162"/>
          </rPr>
          <t>Önceki element: Metal
Yeni element: Kaos
Sınıflar arası dağılım için karakter adı, hikâyesi ve mevcut yetenek temaları birlikte değerlendirildi.</t>
        </r>
      </text>
    </comment>
    <comment ref="L35" authorId="0" shapeId="0" xr:uid="{00000000-0006-0000-0D00-00005C000000}">
      <text>
        <r>
          <rPr>
            <sz val="10"/>
            <rFont val="Arial"/>
            <family val="2"/>
            <charset val="162"/>
          </rPr>
          <t>Bu sekmedeki önceki hikâye (girdi dosyasından korunmuştur):
Derin Çelik Yemin altında her çatlağı yeni bir yemin yaptı.</t>
        </r>
      </text>
    </comment>
    <comment ref="F36" authorId="0" shapeId="0" xr:uid="{00000000-0006-0000-0D00-00005D000000}">
      <text>
        <r>
          <rPr>
            <sz val="10"/>
            <rFont val="Arial"/>
            <family val="2"/>
            <charset val="162"/>
          </rPr>
          <t>Önceki taslak: Astral
Yeni ana ırk: Astral
Güçlü — isim/hikâye
Görsel: Enerji/soyut varlık</t>
        </r>
      </text>
    </comment>
    <comment ref="H36" authorId="0" shapeId="0" xr:uid="{00000000-0006-0000-0D00-00005E000000}">
      <text>
        <r>
          <rPr>
            <sz val="10"/>
            <rFont val="Arial"/>
            <family val="2"/>
            <charset val="162"/>
          </rPr>
          <t>Önceki element: Metal
Yeni element: Arkan
Sınıflar arası dağılım için karakter adı, hikâyesi ve mevcut yetenek temaları birlikte değerlendirildi.</t>
        </r>
      </text>
    </comment>
    <comment ref="L36" authorId="0" shapeId="0" xr:uid="{00000000-0006-0000-0D00-00005F000000}">
      <text>
        <r>
          <rPr>
            <sz val="10"/>
            <rFont val="Arial"/>
            <family val="2"/>
            <charset val="162"/>
          </rPr>
          <t>Bu sekmedeki önceki hikâye (girdi dosyasından korunmuştur):
Derin Çelik Yemin altında her çatlağı yeni bir yemin yaptı.</t>
        </r>
      </text>
    </comment>
    <comment ref="F37" authorId="0" shapeId="0" xr:uid="{00000000-0006-0000-0D00-000060000000}">
      <text>
        <r>
          <rPr>
            <sz val="10"/>
            <rFont val="Arial"/>
            <family val="2"/>
            <charset val="162"/>
          </rPr>
          <t>Önceki taslak: Mutant
Yeni ana ırk: Dev
Kesin — kullanıcı onayı/kuralı
Görsel: Mutant/golem-insansı | Dağılım revizyonu: Mutant → Dev.</t>
        </r>
      </text>
    </comment>
    <comment ref="L37" authorId="0" shapeId="0" xr:uid="{00000000-0006-0000-0D00-000061000000}">
      <text>
        <r>
          <rPr>
            <sz val="10"/>
            <rFont val="Arial"/>
            <family val="2"/>
            <charset val="162"/>
          </rPr>
          <t>Bu sekmedeki önceki hikâye (girdi dosyasından korunmuştur):
Derin Çelik Yemin kırılınca cephe onun adıyla yeniden hizalandı.</t>
        </r>
      </text>
    </comment>
    <comment ref="F38" authorId="0" shapeId="0" xr:uid="{00000000-0006-0000-0D00-000062000000}">
      <text>
        <r>
          <rPr>
            <sz val="10"/>
            <rFont val="Arial"/>
            <family val="2"/>
            <charset val="162"/>
          </rPr>
          <t>Önceki taslak: Ejdersoy
Yeni ana ırk: Ejdersoy
Güçlü — görsel
Görsel: Ejderha</t>
        </r>
      </text>
    </comment>
    <comment ref="H38" authorId="0" shapeId="0" xr:uid="{00000000-0006-0000-0D00-000063000000}">
      <text>
        <r>
          <rPr>
            <sz val="10"/>
            <rFont val="Arial"/>
            <family val="2"/>
            <charset val="162"/>
          </rPr>
          <t>Önceki element: Toprak
Yeni element: Arkan
Sınıflar arası dağılım için karakter adı, hikâyesi ve mevcut yetenek temaları birlikte değerlendirildi.</t>
        </r>
      </text>
    </comment>
    <comment ref="L38" authorId="0" shapeId="0" xr:uid="{00000000-0006-0000-0D00-000064000000}">
      <text>
        <r>
          <rPr>
            <sz val="10"/>
            <rFont val="Arial"/>
            <family val="2"/>
            <charset val="162"/>
          </rPr>
          <t>Bu sekmedeki önceki hikâye (girdi dosyasından korunmuştur):
Doganin Rehberi'ın geri çekildiği çizgide durdu; yenilgiyi kapıya çevirdi.</t>
        </r>
      </text>
    </comment>
    <comment ref="F39" authorId="0" shapeId="0" xr:uid="{00000000-0006-0000-0D00-000065000000}">
      <text>
        <r>
          <rPr>
            <sz val="10"/>
            <rFont val="Arial"/>
            <family val="2"/>
            <charset val="162"/>
          </rPr>
          <t>Önceki taslak: İnsan
Yeni ana ırk: İnsan
Güçlü — isim/hikâye
Görsel: İnsan görünümlü</t>
        </r>
      </text>
    </comment>
    <comment ref="L39" authorId="0" shapeId="0" xr:uid="{00000000-0006-0000-0D00-000066000000}">
      <text>
        <r>
          <rPr>
            <sz val="10"/>
            <rFont val="Arial"/>
            <family val="2"/>
            <charset val="162"/>
          </rPr>
          <t>Bu sekmedeki önceki hikâye (girdi dosyasından korunmuştur):
Zamanin Sifacisi'ın geri çekildiği çizgide durdu; yenilgiyi kapıya çevirdi.</t>
        </r>
      </text>
    </comment>
    <comment ref="F40" authorId="0" shapeId="0" xr:uid="{00000000-0006-0000-0D00-000067000000}">
      <text>
        <r>
          <rPr>
            <sz val="10"/>
            <rFont val="Arial"/>
            <family val="2"/>
            <charset val="162"/>
          </rPr>
          <t>Önceki taslak: İnsan
Yeni ana ırk: İnsan
Güçlü — isim/hikâye
Görsel: İnsan görünümlü</t>
        </r>
      </text>
    </comment>
    <comment ref="H40" authorId="0" shapeId="0" xr:uid="{00000000-0006-0000-0D00-000068000000}">
      <text>
        <r>
          <rPr>
            <sz val="10"/>
            <rFont val="Arial"/>
            <family val="2"/>
            <charset val="162"/>
          </rPr>
          <t>Önceki element: Toprak
Yeni element: Işık
İntikam yerine halkını ve düşmanlarını koruyan prenses.</t>
        </r>
      </text>
    </comment>
    <comment ref="L40" authorId="0" shapeId="0" xr:uid="{00000000-0006-0000-0D00-000069000000}">
      <text>
        <r>
          <rPr>
            <sz val="10"/>
            <rFont val="Arial"/>
            <family val="2"/>
            <charset val="162"/>
          </rPr>
          <t>Bu sekmedeki önceki hikâye (girdi dosyasından korunmuştur):
Siperin ardına saklanmadı; siper onun iradesinden doğdu.</t>
        </r>
      </text>
    </comment>
    <comment ref="F41" authorId="0" shapeId="0" xr:uid="{00000000-0006-0000-0D00-00006A000000}">
      <text>
        <r>
          <rPr>
            <sz val="10"/>
            <rFont val="Arial"/>
            <family val="2"/>
            <charset val="162"/>
          </rPr>
          <t>Önceki taslak: İnsan
Yeni ana ırk: İnsan
Güçlü — isim/hikâye
Görsel: İnsan görünümlü</t>
        </r>
      </text>
    </comment>
    <comment ref="L41" authorId="0" shapeId="0" xr:uid="{00000000-0006-0000-0D00-00006B000000}">
      <text>
        <r>
          <rPr>
            <sz val="10"/>
            <rFont val="Arial"/>
            <family val="2"/>
            <charset val="162"/>
          </rPr>
          <t>Bu sekmedeki önceki hikâye (girdi dosyasından korunmuştur):
Sonsuz Umut'dan kalan yarım antlaşma onun bedeninde kapandı.</t>
        </r>
      </text>
    </comment>
    <comment ref="F42" authorId="0" shapeId="0" xr:uid="{00000000-0006-0000-0D00-00006C000000}">
      <text>
        <r>
          <rPr>
            <sz val="10"/>
            <rFont val="Arial"/>
            <family val="2"/>
            <charset val="162"/>
          </rPr>
          <t>Önceki taslak: İnsan
Yeni ana ırk: İnsan
Güçlü — isim/hikâye
Görsel: İnsan görünümlü</t>
        </r>
      </text>
    </comment>
    <comment ref="L42" authorId="0" shapeId="0" xr:uid="{00000000-0006-0000-0D00-00006D000000}">
      <text>
        <r>
          <rPr>
            <sz val="10"/>
            <rFont val="Arial"/>
            <family val="2"/>
            <charset val="162"/>
          </rPr>
          <t>Bu sekmedeki önceki hikâye (girdi dosyasından korunmuştur):
Taş ve metal konuştu; hükmü bedenine aldı.</t>
        </r>
      </text>
    </comment>
    <comment ref="F43" authorId="0" shapeId="0" xr:uid="{00000000-0006-0000-0D00-00006E000000}">
      <text>
        <r>
          <rPr>
            <sz val="10"/>
            <rFont val="Arial"/>
            <family val="2"/>
            <charset val="162"/>
          </rPr>
          <t>Önceki taslak: Ejdersoy
Yeni ana ırk: Ejdersoy
Güçlü — görsel
Görsel: Ejder/kanatlı sürüngen-insansı</t>
        </r>
      </text>
    </comment>
    <comment ref="H43" authorId="0" shapeId="0" xr:uid="{00000000-0006-0000-0D00-00006F000000}">
      <text>
        <r>
          <rPr>
            <sz val="10"/>
            <rFont val="Arial"/>
            <family val="2"/>
            <charset val="162"/>
          </rPr>
          <t>Önceki element: Gölge
Yeni element: Arkan
Kara çelik savunmanın güç kaynağı Arkan olarak yeniden belirlendi.</t>
        </r>
      </text>
    </comment>
    <comment ref="L43" authorId="0" shapeId="0" xr:uid="{00000000-0006-0000-0D00-000070000000}">
      <text>
        <r>
          <rPr>
            <sz val="10"/>
            <rFont val="Arial"/>
            <family val="2"/>
            <charset val="162"/>
          </rPr>
          <t>Bu sekmedeki önceki hikâye (girdi dosyasından korunmuştur):
Kalkanı duvar değil, eski borcun kapanmayan mührüydü.</t>
        </r>
      </text>
    </comment>
    <comment ref="F44" authorId="0" shapeId="0" xr:uid="{00000000-0006-0000-0D00-000071000000}">
      <text>
        <r>
          <rPr>
            <sz val="10"/>
            <rFont val="Arial"/>
            <family val="2"/>
            <charset val="162"/>
          </rPr>
          <t>Önceki taslak: Ejdersoy
Yeni ana ırk: Ejdersoy
Güçlü — görsel
Görsel: Ejderha</t>
        </r>
      </text>
    </comment>
    <comment ref="H44" authorId="0" shapeId="0" xr:uid="{00000000-0006-0000-0D00-000072000000}">
      <text>
        <r>
          <rPr>
            <sz val="10"/>
            <rFont val="Arial"/>
            <family val="2"/>
            <charset val="162"/>
          </rPr>
          <t>Önceki element: Metal
Yeni element: Zaman
Sınıflar arası dağılım için karakter adı, hikâyesi ve mevcut yetenek temaları birlikte değerlendirildi.</t>
        </r>
      </text>
    </comment>
    <comment ref="L44" authorId="0" shapeId="0" xr:uid="{00000000-0006-0000-0D00-000073000000}">
      <text>
        <r>
          <rPr>
            <sz val="10"/>
            <rFont val="Arial"/>
            <family val="2"/>
            <charset val="162"/>
          </rPr>
          <t>Bu sekmedeki önceki hikâye (girdi dosyasından korunmuştur):
Kadim Ruh Koruyucusu'ın geri çekildiği çizgide durdu; yenilgiyi kapıya çevirdi.</t>
        </r>
      </text>
    </comment>
    <comment ref="F45" authorId="0" shapeId="0" xr:uid="{00000000-0006-0000-0D00-000074000000}">
      <text>
        <r>
          <rPr>
            <sz val="10"/>
            <rFont val="Arial"/>
            <family val="2"/>
            <charset val="162"/>
          </rPr>
          <t>Önceki taslak: Cüce
Yeni ana ırk: İnsan
Güçlü — isim/hikâye
Görsel: İnsan görünümlü; Kapüşonlu/belirsiz insansı | Dağılım revizyonu: Cüce → İnsan.</t>
        </r>
      </text>
    </comment>
    <comment ref="L45" authorId="0" shapeId="0" xr:uid="{00000000-0006-0000-0D00-000075000000}">
      <text>
        <r>
          <rPr>
            <sz val="10"/>
            <rFont val="Arial"/>
            <family val="2"/>
            <charset val="162"/>
          </rPr>
          <t>Bu sekmedeki önceki hikâye (girdi dosyasından korunmuştur):
Kalkanı duvar değil, eski borcun kapanmayan mührüydü.</t>
        </r>
      </text>
    </comment>
    <comment ref="F46" authorId="0" shapeId="0" xr:uid="{00000000-0006-0000-0D00-000076000000}">
      <text>
        <r>
          <rPr>
            <sz val="10"/>
            <rFont val="Arial"/>
            <family val="2"/>
            <charset val="162"/>
          </rPr>
          <t>Önceki taslak: İnsan
Yeni ana ırk: Elf
Orta
Görsel: İnsan görünümlü | Dağılım revizyonu: İnsan → Elf.</t>
        </r>
      </text>
    </comment>
    <comment ref="L46" authorId="0" shapeId="0" xr:uid="{00000000-0006-0000-0D00-000077000000}">
      <text>
        <r>
          <rPr>
            <sz val="10"/>
            <rFont val="Arial"/>
            <family val="2"/>
            <charset val="162"/>
          </rPr>
          <t>Bu sekmedeki önceki hikâye (girdi dosyasından korunmuştur):
Siperin ardına saklanmadı; siper onun iradesinden doğdu.</t>
        </r>
      </text>
    </comment>
    <comment ref="F47" authorId="0" shapeId="0" xr:uid="{00000000-0006-0000-0D00-000078000000}">
      <text>
        <r>
          <rPr>
            <sz val="10"/>
            <rFont val="Arial"/>
            <family val="2"/>
            <charset val="162"/>
          </rPr>
          <t>Önceki taslak: Ölümsüz
Yeni ana ırk: Ölümsüz
Kesin — kullanıcı onayı/kuralı
Görsel: Mutant/golem-insansı</t>
        </r>
      </text>
    </comment>
    <comment ref="H47" authorId="0" shapeId="0" xr:uid="{00000000-0006-0000-0D00-000079000000}">
      <text>
        <r>
          <rPr>
            <sz val="10"/>
            <rFont val="Arial"/>
            <family val="2"/>
            <charset val="162"/>
          </rPr>
          <t>Önceki element: Kaos
Yeni element: Yaşam
Sınıflar arası dağılım için karakter adı, hikâyesi ve mevcut yetenek temaları birlikte değerlendirildi.</t>
        </r>
      </text>
    </comment>
    <comment ref="L47" authorId="0" shapeId="0" xr:uid="{00000000-0006-0000-0D00-00007A000000}">
      <text>
        <r>
          <rPr>
            <sz val="10"/>
            <rFont val="Arial"/>
            <family val="2"/>
            <charset val="162"/>
          </rPr>
          <t>Bu sekmedeki önceki hikâye (girdi dosyasından korunmuştur):
Yıkım yaklaşınca kalkanını değil, hükmünü öne sürdü.</t>
        </r>
      </text>
    </comment>
    <comment ref="F48" authorId="0" shapeId="0" xr:uid="{00000000-0006-0000-0D00-00007B000000}">
      <text>
        <r>
          <rPr>
            <sz val="10"/>
            <rFont val="Arial"/>
            <family val="2"/>
            <charset val="162"/>
          </rPr>
          <t>Önceki taslak: Ejdersoy
Yeni ana ırk: Melek
Güçlü — görsel
Görsel: Melek/kanatlı insansı | Dağılım revizyonu: Ejdersoy → Melek.</t>
        </r>
      </text>
    </comment>
    <comment ref="L48" authorId="0" shapeId="0" xr:uid="{00000000-0006-0000-0D00-00007C000000}">
      <text>
        <r>
          <rPr>
            <sz val="10"/>
            <rFont val="Arial"/>
            <family val="2"/>
            <charset val="162"/>
          </rPr>
          <t>Bu sekmedeki önceki hikâye (girdi dosyasından korunmuştur):
Taş ve metal konuştu; hükmü bedenine aldı.</t>
        </r>
      </text>
    </comment>
    <comment ref="F49" authorId="0" shapeId="0" xr:uid="{00000000-0006-0000-0D00-00007D000000}">
      <text>
        <r>
          <rPr>
            <sz val="10"/>
            <rFont val="Arial"/>
            <family val="2"/>
            <charset val="162"/>
          </rPr>
          <t>Önceki taslak: Ejdersoy
Yeni ana ırk: Elf
Güçlü — görsel
Görsel: Elf görünümlü | Dağılım revizyonu: Ejdersoy → Elf.</t>
        </r>
      </text>
    </comment>
    <comment ref="H49" authorId="0" shapeId="0" xr:uid="{00000000-0006-0000-0D00-00007E000000}">
      <text>
        <r>
          <rPr>
            <sz val="10"/>
            <rFont val="Arial"/>
            <family val="2"/>
            <charset val="162"/>
          </rPr>
          <t>Önceki element: Metal
Yeni element: Arkan
Sınıflar arası dağılım için karakter adı, hikâyesi ve mevcut yetenek temaları birlikte değerlendirildi.</t>
        </r>
      </text>
    </comment>
    <comment ref="L49" authorId="0" shapeId="0" xr:uid="{00000000-0006-0000-0D00-00007F000000}">
      <text>
        <r>
          <rPr>
            <sz val="10"/>
            <rFont val="Arial"/>
            <family val="2"/>
            <charset val="162"/>
          </rPr>
          <t>Bu sekmedeki önceki hikâye (girdi dosyasından korunmuştur):
Tanrisal Sifaci'dan kalan yarım antlaşma onun bedeninde kapandı.</t>
        </r>
      </text>
    </comment>
    <comment ref="F50" authorId="0" shapeId="0" xr:uid="{00000000-0006-0000-0D00-000080000000}">
      <text>
        <r>
          <rPr>
            <sz val="10"/>
            <rFont val="Arial"/>
            <family val="2"/>
            <charset val="162"/>
          </rPr>
          <t>Önceki taslak: İnsan
Yeni ana ırk: Dev
Kesin — kullanıcı onayı/kuralı
Titan adı, zırh hacmi ve gövde ölçeği Dev ırkını destekliyor. | Görsel: Tam zırhlı dev/titan görünümlü | Dağılım revizyonu: İnsan → Dev.</t>
        </r>
      </text>
    </comment>
    <comment ref="L50" authorId="0" shapeId="0" xr:uid="{00000000-0006-0000-0D00-000081000000}">
      <text>
        <r>
          <rPr>
            <sz val="10"/>
            <rFont val="Arial"/>
            <family val="2"/>
            <charset val="162"/>
          </rPr>
          <t>Bu sekmedeki önceki hikâye (girdi dosyasından korunmuştur):
Kadim Çelik Yemin çökerken geri adımı suç, direnişi yasa ilan etti.</t>
        </r>
      </text>
    </comment>
    <comment ref="F51" authorId="0" shapeId="0" xr:uid="{00000000-0006-0000-0D00-000082000000}">
      <text>
        <r>
          <rPr>
            <sz val="10"/>
            <rFont val="Arial"/>
            <family val="2"/>
            <charset val="162"/>
          </rPr>
          <t>Önceki taslak: Ejdersoy
Yeni ana ırk: Sürüngensoy
Kesin — kullanıcı onayı/kuralı
Görsel: Ejderha | Dağılım revizyonu: Ejdersoy → Sürüngensoy.</t>
        </r>
      </text>
    </comment>
    <comment ref="L51" authorId="0" shapeId="0" xr:uid="{00000000-0006-0000-0D00-000083000000}">
      <text>
        <r>
          <rPr>
            <sz val="10"/>
            <rFont val="Arial"/>
            <family val="2"/>
            <charset val="162"/>
          </rPr>
          <t>Bu sekmedeki önceki hikâye (girdi dosyasından korunmuştur):
Zırhı darbe toplamadı; düşen isimlerin hesabını tuttu.</t>
        </r>
      </text>
    </comment>
    <comment ref="F52" authorId="0" shapeId="0" xr:uid="{00000000-0006-0000-0D00-000084000000}">
      <text>
        <r>
          <rPr>
            <sz val="10"/>
            <rFont val="Arial"/>
            <family val="2"/>
            <charset val="162"/>
          </rPr>
          <t>Önceki taslak: Cüce
Yeni ana ırk: Cüce
Güçlü — görsel
Görsel: Cüce görünümlü</t>
        </r>
      </text>
    </comment>
    <comment ref="L52" authorId="0" shapeId="0" xr:uid="{00000000-0006-0000-0D00-000085000000}">
      <text>
        <r>
          <rPr>
            <sz val="10"/>
            <rFont val="Arial"/>
            <family val="2"/>
            <charset val="162"/>
          </rPr>
          <t>Bu sekmedeki önceki hikâye (girdi dosyasından korunmuştur):
Yıkım yaklaşınca kalkanını değil, hükmünü öne sürdü.</t>
        </r>
      </text>
    </comment>
    <comment ref="F53" authorId="0" shapeId="0" xr:uid="{00000000-0006-0000-0D00-000086000000}">
      <text>
        <r>
          <rPr>
            <sz val="10"/>
            <rFont val="Arial"/>
            <family val="2"/>
            <charset val="162"/>
          </rPr>
          <t>Önceki taslak: Gölge
Yeni ana ırk: Gölge
Güçlü — isim/hikâye
Görsel: Kapüşonlu/belirsiz insansı</t>
        </r>
      </text>
    </comment>
    <comment ref="L53" authorId="0" shapeId="0" xr:uid="{00000000-0006-0000-0D00-000087000000}">
      <text>
        <r>
          <rPr>
            <sz val="10"/>
            <rFont val="Arial"/>
            <family val="2"/>
            <charset val="162"/>
          </rPr>
          <t>Bu sekmedeki önceki hikâye (girdi dosyasından korunmuştur):
Siperin ardına saklanmadı; siper onun iradesinden doğdu.</t>
        </r>
      </text>
    </comment>
    <comment ref="F54" authorId="0" shapeId="0" xr:uid="{00000000-0006-0000-0D00-000088000000}">
      <text>
        <r>
          <rPr>
            <sz val="10"/>
            <rFont val="Arial"/>
            <family val="2"/>
            <charset val="162"/>
          </rPr>
          <t>Önceki taslak: Cüce
Yeni ana ırk: Cüce
Güçlü — görsel
Görsel: Cüce görünümlü</t>
        </r>
      </text>
    </comment>
    <comment ref="L54" authorId="0" shapeId="0" xr:uid="{00000000-0006-0000-0D00-000089000000}">
      <text>
        <r>
          <rPr>
            <sz val="10"/>
            <rFont val="Arial"/>
            <family val="2"/>
            <charset val="162"/>
          </rPr>
          <t>Bu sekmedeki önceki hikâye (girdi dosyasından korunmuştur):
Kadim Fırtına Divanı altında her çatlağı yeni bir yemin yaptı.</t>
        </r>
      </text>
    </comment>
    <comment ref="F55" authorId="0" shapeId="0" xr:uid="{00000000-0006-0000-0D00-00008A000000}">
      <text>
        <r>
          <rPr>
            <sz val="10"/>
            <rFont val="Arial"/>
            <family val="2"/>
            <charset val="162"/>
          </rPr>
          <t>Önceki taslak: İnsan
Yeni ana ırk: İnsan
Güçlü — isim/hikâye
Görsel: İnsan görünümlü</t>
        </r>
      </text>
    </comment>
    <comment ref="H55" authorId="0" shapeId="0" xr:uid="{00000000-0006-0000-0D00-00008B000000}">
      <text>
        <r>
          <rPr>
            <sz val="10"/>
            <rFont val="Arial"/>
            <family val="2"/>
            <charset val="162"/>
          </rPr>
          <t>Önceki element: Fırtına
Yeni element: Enerji
Yıldırımları içine alan muhafız.</t>
        </r>
      </text>
    </comment>
    <comment ref="L55" authorId="0" shapeId="0" xr:uid="{00000000-0006-0000-0D00-00008C000000}">
      <text>
        <r>
          <rPr>
            <sz val="10"/>
            <rFont val="Arial"/>
            <family val="2"/>
            <charset val="162"/>
          </rPr>
          <t>Bu sekmedeki önceki hikâye (girdi dosyasından korunmuştur):
Zırhı darbe toplamadı; düşen isimlerin hesabını tuttu.</t>
        </r>
      </text>
    </comment>
    <comment ref="F56" authorId="0" shapeId="0" xr:uid="{00000000-0006-0000-0D00-00008D000000}">
      <text>
        <r>
          <rPr>
            <sz val="10"/>
            <rFont val="Arial"/>
            <family val="2"/>
            <charset val="162"/>
          </rPr>
          <t>Önceki taslak: İnsan
Yeni ana ırk: İnsan
Güçlü — isim/hikâye
Görsel: İnsan görünümlü</t>
        </r>
      </text>
    </comment>
    <comment ref="L56" authorId="0" shapeId="0" xr:uid="{00000000-0006-0000-0D00-00008E000000}">
      <text>
        <r>
          <rPr>
            <sz val="10"/>
            <rFont val="Arial"/>
            <family val="2"/>
            <charset val="162"/>
          </rPr>
          <t>Bu sekmedeki önceki hikâye (girdi dosyasından korunmuştur):
Sonsuz Yasamin Bekcisi'dan kalan yarım antlaşma onun bedeninde kapandı.</t>
        </r>
      </text>
    </comment>
    <comment ref="F57" authorId="0" shapeId="0" xr:uid="{00000000-0006-0000-0D00-00008F000000}">
      <text>
        <r>
          <rPr>
            <sz val="10"/>
            <rFont val="Arial"/>
            <family val="2"/>
            <charset val="162"/>
          </rPr>
          <t>Önceki taslak: İnsan
Yeni ana ırk: İnsan
Güçlü — isim/hikâye
Görsel: İnsan görünümlü</t>
        </r>
      </text>
    </comment>
    <comment ref="H57" authorId="0" shapeId="0" xr:uid="{00000000-0006-0000-0D00-000090000000}">
      <text>
        <r>
          <rPr>
            <sz val="10"/>
            <rFont val="Arial"/>
            <family val="2"/>
            <charset val="162"/>
          </rPr>
          <t>Önceki element: Toprak
Yeni element: Zaman
Yıllara rağmen bitmeyen nöbet.</t>
        </r>
      </text>
    </comment>
    <comment ref="L57" authorId="0" shapeId="0" xr:uid="{00000000-0006-0000-0D00-000091000000}">
      <text>
        <r>
          <rPr>
            <sz val="10"/>
            <rFont val="Arial"/>
            <family val="2"/>
            <charset val="162"/>
          </rPr>
          <t>Bu sekmedeki önceki hikâye (girdi dosyasından korunmuştur):
Kadim Taş Ahit altında her çatlağı yeni bir yemin yaptı.</t>
        </r>
      </text>
    </comment>
    <comment ref="F58" authorId="0" shapeId="0" xr:uid="{00000000-0006-0000-0D00-000092000000}">
      <text>
        <r>
          <rPr>
            <sz val="10"/>
            <rFont val="Arial"/>
            <family val="2"/>
            <charset val="162"/>
          </rPr>
          <t>Önceki taslak: İnsan
Yeni ana ırk: İnsan
Güçlü — isim/hikâye
Görsel: İnsan görünümlü</t>
        </r>
      </text>
    </comment>
    <comment ref="H58" authorId="0" shapeId="0" xr:uid="{00000000-0006-0000-0D00-000093000000}">
      <text>
        <r>
          <rPr>
            <sz val="10"/>
            <rFont val="Arial"/>
            <family val="2"/>
            <charset val="162"/>
          </rPr>
          <t>Önceki element: Toprak
Yeni element: Ruh
Pullarda taşınan soy hafızası ve ataların sesleri.</t>
        </r>
      </text>
    </comment>
    <comment ref="L58" authorId="0" shapeId="0" xr:uid="{00000000-0006-0000-0D00-000094000000}">
      <text>
        <r>
          <rPr>
            <sz val="10"/>
            <rFont val="Arial"/>
            <family val="2"/>
            <charset val="162"/>
          </rPr>
          <t>Bu sekmedeki önceki hikâye (girdi dosyasından korunmuştur):
Kalkanı duvar değil, eski borcun kapanmayan mührüydü.</t>
        </r>
      </text>
    </comment>
    <comment ref="F59" authorId="0" shapeId="0" xr:uid="{00000000-0006-0000-0D00-000095000000}">
      <text>
        <r>
          <rPr>
            <sz val="10"/>
            <rFont val="Arial"/>
            <family val="2"/>
            <charset val="162"/>
          </rPr>
          <t>Önceki taslak: Ölümsüz
Yeni ana ırk: Ölümsüz
Kesin — kullanıcı onayı/kuralı
Güvenli görsel eşleşmesi yok; isim ve hikâye kullanıldı.</t>
        </r>
      </text>
    </comment>
    <comment ref="H59" authorId="0" shapeId="0" xr:uid="{00000000-0006-0000-0D00-000096000000}">
      <text>
        <r>
          <rPr>
            <sz val="10"/>
            <rFont val="Arial"/>
            <family val="2"/>
            <charset val="162"/>
          </rPr>
          <t>Önceki element: Kaos
Yeni element: Savaş
Sınıflar arası dağılım için karakter adı, hikâyesi ve mevcut yetenek temaları birlikte değerlendirildi.</t>
        </r>
      </text>
    </comment>
    <comment ref="L59" authorId="0" shapeId="0" xr:uid="{00000000-0006-0000-0D00-000097000000}">
      <text>
        <r>
          <rPr>
            <sz val="10"/>
            <rFont val="Arial"/>
            <family val="2"/>
            <charset val="162"/>
          </rPr>
          <t>Bu sekmedeki önceki hikâye (girdi dosyasından korunmuştur):
Efsanevi Kaos Tacı kırılınca cephe onun adıyla yeniden hizalandı.</t>
        </r>
      </text>
    </comment>
    <comment ref="F60" authorId="0" shapeId="0" xr:uid="{00000000-0006-0000-0D00-000098000000}">
      <text>
        <r>
          <rPr>
            <sz val="10"/>
            <rFont val="Arial"/>
            <family val="2"/>
            <charset val="162"/>
          </rPr>
          <t>Önceki taslak: Ejdersoy
Yeni ana ırk: Ejdersoy
Güçlü — görsel
Görsel: Ejderha</t>
        </r>
      </text>
    </comment>
    <comment ref="L60" authorId="0" shapeId="0" xr:uid="{00000000-0006-0000-0D00-000099000000}">
      <text>
        <r>
          <rPr>
            <sz val="10"/>
            <rFont val="Arial"/>
            <family val="2"/>
            <charset val="162"/>
          </rPr>
          <t>Bu sekmedeki önceki hikâye (girdi dosyasından korunmuştur):
Yasam Efendisi'dan kalan yarım antlaşma onun bedeninde kapandı.</t>
        </r>
      </text>
    </comment>
    <comment ref="F61" authorId="0" shapeId="0" xr:uid="{00000000-0006-0000-0D00-00009A000000}">
      <text>
        <r>
          <rPr>
            <sz val="10"/>
            <rFont val="Arial"/>
            <family val="2"/>
            <charset val="162"/>
          </rPr>
          <t>Önceki taslak: Mutant
Yeni ana ırk: Dev
Kesin — kullanıcı onayı/kuralı
Görsel: Mutant/golem-insansı | Dağılım revizyonu: Mutant → Dev.</t>
        </r>
      </text>
    </comment>
    <comment ref="L61" authorId="0" shapeId="0" xr:uid="{00000000-0006-0000-0D00-00009B000000}">
      <text>
        <r>
          <rPr>
            <sz val="10"/>
            <rFont val="Arial"/>
            <family val="2"/>
            <charset val="162"/>
          </rPr>
          <t>Bu sekmedeki önceki hikâye (girdi dosyasından korunmuştur):
Kalkanı duvar değil, eski borcun kapanmayan mührüydü.</t>
        </r>
      </text>
    </comment>
    <comment ref="F62" authorId="0" shapeId="0" xr:uid="{00000000-0006-0000-0D00-00009C000000}">
      <text>
        <r>
          <rPr>
            <sz val="10"/>
            <rFont val="Arial"/>
            <family val="2"/>
            <charset val="162"/>
          </rPr>
          <t>Önceki taslak: Ejdersoy
Yeni ana ırk: Sürüngensoy
Kesin — kullanıcı onayı/kuralı
Görsel: Ejderha | Dağılım revizyonu: Ejdersoy → Sürüngensoy.</t>
        </r>
      </text>
    </comment>
    <comment ref="L62" authorId="0" shapeId="0" xr:uid="{00000000-0006-0000-0D00-00009D000000}">
      <text>
        <r>
          <rPr>
            <sz val="10"/>
            <rFont val="Arial"/>
            <family val="2"/>
            <charset val="162"/>
          </rPr>
          <t>Bu sekmedeki önceki hikâye (girdi dosyasından korunmuştur):
Tanrısal Çelik Yemin kırılınca cephe onun adıyla yeniden hizalandı.</t>
        </r>
      </text>
    </comment>
    <comment ref="F63" authorId="0" shapeId="0" xr:uid="{00000000-0006-0000-0D00-00009E000000}">
      <text>
        <r>
          <rPr>
            <sz val="10"/>
            <rFont val="Arial"/>
            <family val="2"/>
            <charset val="162"/>
          </rPr>
          <t>Önceki taslak: İnsan
Yeni ana ırk: İnsan
Güçlü — isim/hikâye
Görsel: İnsan görünümlü</t>
        </r>
      </text>
    </comment>
    <comment ref="L63" authorId="0" shapeId="0" xr:uid="{00000000-0006-0000-0D00-00009F000000}">
      <text>
        <r>
          <rPr>
            <sz val="10"/>
            <rFont val="Arial"/>
            <family val="2"/>
            <charset val="162"/>
          </rPr>
          <t>Bu sekmedeki önceki hikâye (girdi dosyasından korunmuştur):
Tanrısal Yıldız Geçidi altında her çatlağı yeni bir yemin yaptı.</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Notion AI</author>
  </authors>
  <commentList>
    <comment ref="A1" authorId="0" shapeId="0" xr:uid="{00000000-0006-0000-0E00-000001000000}">
      <text>
        <r>
          <rPr>
            <sz val="10"/>
            <rFont val="Arial"/>
            <family val="2"/>
            <charset val="162"/>
          </rPr>
          <t>AYNA SAYFA: Güncellemeleri önce Tum_Karakterler_311 sayfasında yapın, sonra aynı ID satırına senkronlayın.</t>
        </r>
      </text>
    </comment>
    <comment ref="H1" authorId="0" shapeId="0" xr:uid="{00000000-0006-0000-0E00-000002000000}">
      <text>
        <r>
          <rPr>
            <sz val="10"/>
            <rFont val="Arial"/>
            <family val="2"/>
            <charset val="162"/>
          </rPr>
          <t>Element, sınıftan bağımsız bir güç kaynağı olarak dağıtıldı. Her sınıfta 19 elementin tamamı temsil edilir. Hikâyeler ve yetenek metinleri korunmuştur.</t>
        </r>
      </text>
    </comment>
    <comment ref="M1" authorId="0" shapeId="0" xr:uid="{00000000-0006-0000-0E00-000003000000}">
      <text>
        <r>
          <rPr>
            <sz val="10"/>
            <rFont val="Arial"/>
            <family val="2"/>
            <charset val="162"/>
          </rPr>
          <t>Boşluklar ve noktalama işaretleri dâhil karakter sayısıdır. Hikâye değiştirildiğinde otomatik hesaplanır.</t>
        </r>
      </text>
    </comment>
    <comment ref="N1" authorId="0" shapeId="0" xr:uid="{00000000-0006-0000-0E00-000004000000}">
      <text>
        <r>
          <rPr>
            <sz val="10"/>
            <rFont val="Arial"/>
            <family val="2"/>
            <charset val="162"/>
          </rPr>
          <t>Boşluklar ve noktalama dâhil en fazla 130 karakter. Metin değiştirildiğinde kontrol otomatik yenilenir.</t>
        </r>
      </text>
    </comment>
    <comment ref="F2" authorId="0" shapeId="0" xr:uid="{00000000-0006-0000-0E00-000005000000}">
      <text>
        <r>
          <rPr>
            <sz val="10"/>
            <rFont val="Arial"/>
            <family val="2"/>
            <charset val="162"/>
          </rPr>
          <t>Önceki taslak: İnsan
Yeni ana ırk: İnsan
Güçlü — isim/hikâye
Görsel: İnsan görünümlü</t>
        </r>
      </text>
    </comment>
    <comment ref="L2" authorId="0" shapeId="0" xr:uid="{00000000-0006-0000-0E00-000006000000}">
      <text>
        <r>
          <rPr>
            <sz val="10"/>
            <rFont val="Arial"/>
            <family val="2"/>
            <charset val="162"/>
          </rPr>
          <t>Bu sekmedeki önceki hikâye (girdi dosyasından korunmuştur):
Karanlıkla pazarlık etmedi; ışığın sakladığı hükmü okudu.</t>
        </r>
      </text>
    </comment>
    <comment ref="F3" authorId="0" shapeId="0" xr:uid="{00000000-0006-0000-0E00-000007000000}">
      <text>
        <r>
          <rPr>
            <sz val="10"/>
            <rFont val="Arial"/>
            <family val="2"/>
            <charset val="162"/>
          </rPr>
          <t>Önceki taslak: İnsan
Yeni ana ırk: İnsan
Güçlü — isim/hikâye
Görsel: İnsan görünümlü</t>
        </r>
      </text>
    </comment>
    <comment ref="L3" authorId="0" shapeId="0" xr:uid="{00000000-0006-0000-0E00-000008000000}">
      <text>
        <r>
          <rPr>
            <sz val="10"/>
            <rFont val="Arial"/>
            <family val="2"/>
            <charset val="162"/>
          </rPr>
          <t>Bu sekmedeki önceki hikâye (girdi dosyasından korunmuştur):
Ruh Bekcisi'dan kalan iz, onun büyüsünde yasaya dönüştü.</t>
        </r>
      </text>
    </comment>
    <comment ref="F4" authorId="0" shapeId="0" xr:uid="{00000000-0006-0000-0E00-000009000000}">
      <text>
        <r>
          <rPr>
            <sz val="10"/>
            <rFont val="Arial"/>
            <family val="2"/>
            <charset val="162"/>
          </rPr>
          <t>Önceki taslak: İnsan
Yeni ana ırk: İnsan
Güçlü — isim/hikâye
Görsel: İnsan görünümlü</t>
        </r>
      </text>
    </comment>
    <comment ref="L4" authorId="0" shapeId="0" xr:uid="{00000000-0006-0000-0E00-00000A000000}">
      <text>
        <r>
          <rPr>
            <sz val="10"/>
            <rFont val="Arial"/>
            <family val="2"/>
            <charset val="162"/>
          </rPr>
          <t>Bu sekmedeki önceki hikâye (girdi dosyasından korunmuştur):
Kaderi değiştirmedi; değişimin kime ait olduğunu kayda geçirdi.</t>
        </r>
      </text>
    </comment>
    <comment ref="F5" authorId="0" shapeId="0" xr:uid="{00000000-0006-0000-0E00-00000B000000}">
      <text>
        <r>
          <rPr>
            <sz val="10"/>
            <rFont val="Arial"/>
            <family val="2"/>
            <charset val="162"/>
          </rPr>
          <t>Önceki taslak: Gölge
Yeni ana ırk: Gölge
Güçlü — isim/hikâye
Görsel: İnsan görünümlü</t>
        </r>
      </text>
    </comment>
    <comment ref="L5" authorId="0" shapeId="0" xr:uid="{00000000-0006-0000-0E00-00000C000000}">
      <text>
        <r>
          <rPr>
            <sz val="10"/>
            <rFont val="Arial"/>
            <family val="2"/>
            <charset val="162"/>
          </rPr>
          <t>Bu sekmedeki önceki hikâye (girdi dosyasından korunmuştur):
Karanlıkla pazarlık etmedi; ışığın sakladığı hükmü okudu.</t>
        </r>
      </text>
    </comment>
    <comment ref="F6" authorId="0" shapeId="0" xr:uid="{00000000-0006-0000-0E00-00000D000000}">
      <text>
        <r>
          <rPr>
            <sz val="10"/>
            <rFont val="Arial"/>
            <family val="2"/>
            <charset val="162"/>
          </rPr>
          <t>Önceki taslak: İnsan
Yeni ana ırk: İnsan
Güçlü — isim/hikâye
Görsel: İnsan görünümlü</t>
        </r>
      </text>
    </comment>
    <comment ref="H6" authorId="0" shapeId="0" xr:uid="{00000000-0006-0000-0E00-00000E000000}">
      <text>
        <r>
          <rPr>
            <sz val="10"/>
            <rFont val="Arial"/>
            <family val="2"/>
            <charset val="162"/>
          </rPr>
          <t>Önceki element: Arkan
Yeni element: Toprak
Sınıflar arası dağılım için karakter adı, hikâyesi ve mevcut yetenek temaları birlikte değerlendirildi.</t>
        </r>
      </text>
    </comment>
    <comment ref="L6" authorId="0" shapeId="0" xr:uid="{00000000-0006-0000-0E00-00000F000000}">
      <text>
        <r>
          <rPr>
            <sz val="10"/>
            <rFont val="Arial"/>
            <family val="2"/>
            <charset val="162"/>
          </rPr>
          <t>Ana listedeki özgün örnek (kısaltılmadan önce):
Toprağın hafızasını okuyarak eski kıtaların gücünü çağırır. Her büyüsü, yerin derinliklerinden gelen bir yankıdır.
Bu sekmedeki önceki hikâye (girdi dosyasından korunmuştur):
Rünler sustu; gerçek güç değil, saklanan borç konuştu.</t>
        </r>
      </text>
    </comment>
    <comment ref="F7" authorId="0" shapeId="0" xr:uid="{00000000-0006-0000-0E00-000010000000}">
      <text>
        <r>
          <rPr>
            <sz val="10"/>
            <rFont val="Arial"/>
            <family val="2"/>
            <charset val="162"/>
          </rPr>
          <t>Önceki taslak: İnsan
Yeni ana ırk: İnsan
Güçlü — isim/hikâye
Görsel: İnsan görünümlü</t>
        </r>
      </text>
    </comment>
    <comment ref="L7" authorId="0" shapeId="0" xr:uid="{00000000-0006-0000-0E00-000011000000}">
      <text>
        <r>
          <rPr>
            <sz val="10"/>
            <rFont val="Arial"/>
            <family val="2"/>
            <charset val="162"/>
          </rPr>
          <t>Bu sekmedeki önceki hikâye (girdi dosyasından korunmuştur):
Fırtına Divanı sayfasını yakmadı; kenarına yeni evren kuralı ekledi.</t>
        </r>
      </text>
    </comment>
    <comment ref="F8" authorId="0" shapeId="0" xr:uid="{00000000-0006-0000-0E00-000012000000}">
      <text>
        <r>
          <rPr>
            <sz val="10"/>
            <rFont val="Arial"/>
            <family val="2"/>
            <charset val="162"/>
          </rPr>
          <t>Önceki taslak: İnsan
Yeni ana ırk: İnsan
Güçlü — isim/hikâye
Görsel: İnsan görünümlü</t>
        </r>
      </text>
    </comment>
    <comment ref="L8" authorId="0" shapeId="0" xr:uid="{00000000-0006-0000-0E00-000013000000}">
      <text>
        <r>
          <rPr>
            <sz val="10"/>
            <rFont val="Arial"/>
            <family val="2"/>
            <charset val="162"/>
          </rPr>
          <t>Bu sekmedeki önceki hikâye (girdi dosyasından korunmuştur):
Karanlıkla pazarlık etmedi; ışığın sakladığı hükmü okudu.</t>
        </r>
      </text>
    </comment>
    <comment ref="F9" authorId="0" shapeId="0" xr:uid="{00000000-0006-0000-0E00-000014000000}">
      <text>
        <r>
          <rPr>
            <sz val="10"/>
            <rFont val="Arial"/>
            <family val="2"/>
            <charset val="162"/>
          </rPr>
          <t>Önceki taslak: İnsan
Yeni ana ırk: İnsan
Güçlü — isim/hikâye
Görsel: İnsan görünümlü</t>
        </r>
      </text>
    </comment>
    <comment ref="L9" authorId="0" shapeId="0" xr:uid="{00000000-0006-0000-0E00-000015000000}">
      <text>
        <r>
          <rPr>
            <sz val="10"/>
            <rFont val="Arial"/>
            <family val="2"/>
            <charset val="162"/>
          </rPr>
          <t>Ana listedeki özgün örnek (kısaltılmadan önce):
Çocukken bulduğu gizemli bir kitap onu Arkan’ın unutulmuş sırlarına sürükledi. Son sayfayı okuduğu gece yaşanan patlama içinde uyanan gücün başlangıcı oldu. “Bilgiye ulaşan, onun bedelini de öder.”
Bu sekmedeki önceki hikâye (girdi dosyasından korunmuştur):
Büyüyü emir değil kanıt yaptı; o hüküm ikinci kez silinemedi.</t>
        </r>
      </text>
    </comment>
    <comment ref="F10" authorId="0" shapeId="0" xr:uid="{00000000-0006-0000-0E00-000016000000}">
      <text>
        <r>
          <rPr>
            <sz val="10"/>
            <rFont val="Arial"/>
            <family val="2"/>
            <charset val="162"/>
          </rPr>
          <t>Önceki taslak: İnsan
Yeni ana ırk: Mutant
Dengeleme — kontrol önerilir
Güvenli görsel eşleşmesi yok; isim ve hikâye kullanıldı. | Dağılım revizyonu: İnsan → Mutant.</t>
        </r>
      </text>
    </comment>
    <comment ref="H10" authorId="0" shapeId="0" xr:uid="{00000000-0006-0000-0E00-000017000000}">
      <text>
        <r>
          <rPr>
            <sz val="10"/>
            <rFont val="Arial"/>
            <family val="2"/>
            <charset val="162"/>
          </rPr>
          <t>Önceki element: Arkan
Yeni element: Denge
Ateşle buzu barıştıran elemental uyum.</t>
        </r>
      </text>
    </comment>
    <comment ref="L10" authorId="0" shapeId="0" xr:uid="{00000000-0006-0000-0E00-000018000000}">
      <text>
        <r>
          <rPr>
            <sz val="10"/>
            <rFont val="Arial"/>
            <family val="2"/>
            <charset val="162"/>
          </rPr>
          <t>Bu sekmedeki önceki hikâye (girdi dosyasından korunmuştur):
Kaderi değiştirmedi; değişimin kime ait olduğunu kayda geçirdi.</t>
        </r>
      </text>
    </comment>
    <comment ref="F11" authorId="0" shapeId="0" xr:uid="{00000000-0006-0000-0E00-000019000000}">
      <text>
        <r>
          <rPr>
            <sz val="10"/>
            <rFont val="Arial"/>
            <family val="2"/>
            <charset val="162"/>
          </rPr>
          <t>Önceki taslak: İnsan
Yeni ana ırk: İnsan
Güçlü — isim/hikâye
Görsel: İnsan görünümlü</t>
        </r>
      </text>
    </comment>
    <comment ref="H11" authorId="0" shapeId="0" xr:uid="{00000000-0006-0000-0E00-00001A000000}">
      <text>
        <r>
          <rPr>
            <sz val="10"/>
            <rFont val="Arial"/>
            <family val="2"/>
            <charset val="162"/>
          </rPr>
          <t>Önceki element: Arkan
Yeni element: Doğa
Sınıflar arası dağılım için karakter adı, hikâyesi ve mevcut yetenek temaları birlikte değerlendirildi.</t>
        </r>
      </text>
    </comment>
    <comment ref="L11" authorId="0" shapeId="0" xr:uid="{00000000-0006-0000-0E00-00001B000000}">
      <text>
        <r>
          <rPr>
            <sz val="10"/>
            <rFont val="Arial"/>
            <family val="2"/>
            <charset val="162"/>
          </rPr>
          <t>Bu sekmedeki önceki hikâye (girdi dosyasından korunmuştur):
Arkan Defteri yırtıldı; parçaları geleceğin tek cümlesine dikti.</t>
        </r>
      </text>
    </comment>
    <comment ref="F12" authorId="0" shapeId="0" xr:uid="{00000000-0006-0000-0E00-00001C000000}">
      <text>
        <r>
          <rPr>
            <sz val="10"/>
            <rFont val="Arial"/>
            <family val="2"/>
            <charset val="162"/>
          </rPr>
          <t>Önceki taslak: Astral
Yeni ana ırk: Astral
Güçlü — isim/hikâye
Görsel: İnsan görünümlü</t>
        </r>
      </text>
    </comment>
    <comment ref="L12" authorId="0" shapeId="0" xr:uid="{00000000-0006-0000-0E00-00001D000000}">
      <text>
        <r>
          <rPr>
            <sz val="10"/>
            <rFont val="Arial"/>
            <family val="2"/>
            <charset val="162"/>
          </rPr>
          <t>Ana listedeki özgün örnek (kısaltılmadan önce):
Yıldız Geçidi’nin sırlarını öğrenmiş, gökyüzündeki yıldızların ardında yaklaşan büyük felaketin izlerini net bir şekilde görür.
Bu sekmedeki önceki hikâye (girdi dosyasından korunmuştur):
Yıldız Geçidi sayfasını yakmadı; kenarına yeni evren kuralı ekledi.</t>
        </r>
      </text>
    </comment>
    <comment ref="F13" authorId="0" shapeId="0" xr:uid="{00000000-0006-0000-0E00-00001E000000}">
      <text>
        <r>
          <rPr>
            <sz val="10"/>
            <rFont val="Arial"/>
            <family val="2"/>
            <charset val="162"/>
          </rPr>
          <t>Önceki taslak: Gölge
Yeni ana ırk: Gölge
Güçlü — isim/hikâye
Görsel: İnsan görünümlü</t>
        </r>
      </text>
    </comment>
    <comment ref="L13" authorId="0" shapeId="0" xr:uid="{00000000-0006-0000-0E00-00001F000000}">
      <text>
        <r>
          <rPr>
            <sz val="10"/>
            <rFont val="Arial"/>
            <family val="2"/>
            <charset val="162"/>
          </rPr>
          <t>Bu sekmedeki önceki hikâye (girdi dosyasından korunmuştur):
Gölge Fermanı sayfasını yakmadı; kenarına yeni evren kuralı ekledi.</t>
        </r>
      </text>
    </comment>
    <comment ref="F14" authorId="0" shapeId="0" xr:uid="{00000000-0006-0000-0E00-000020000000}">
      <text>
        <r>
          <rPr>
            <sz val="10"/>
            <rFont val="Arial"/>
            <family val="2"/>
            <charset val="162"/>
          </rPr>
          <t>Önceki taslak: Gölge
Yeni ana ırk: Gölge
Güçlü — görsel
Görsel: Gölge/ruh-insansı</t>
        </r>
      </text>
    </comment>
    <comment ref="L14" authorId="0" shapeId="0" xr:uid="{00000000-0006-0000-0E00-000021000000}">
      <text>
        <r>
          <rPr>
            <sz val="10"/>
            <rFont val="Arial"/>
            <family val="2"/>
            <charset val="162"/>
          </rPr>
          <t>Bu sekmedeki önceki hikâye (girdi dosyasından korunmuştur):
Büyüyü emir değil kanıt yaptı; o hüküm ikinci kez silinemedi.</t>
        </r>
      </text>
    </comment>
    <comment ref="F15" authorId="0" shapeId="0" xr:uid="{00000000-0006-0000-0E00-000022000000}">
      <text>
        <r>
          <rPr>
            <sz val="10"/>
            <rFont val="Arial"/>
            <family val="2"/>
            <charset val="162"/>
          </rPr>
          <t>Önceki taslak: Astral
Yeni ana ırk: Astral
Güçlü — isim/hikâye
Görsel: İnsan görünümlü</t>
        </r>
      </text>
    </comment>
    <comment ref="L15" authorId="0" shapeId="0" xr:uid="{00000000-0006-0000-0E00-000023000000}">
      <text>
        <r>
          <rPr>
            <sz val="10"/>
            <rFont val="Arial"/>
            <family val="2"/>
            <charset val="162"/>
          </rPr>
          <t>Ana listedeki özgün örnek (kısaltılmadan önce):
Yıldız Geçidi’nin altında doğan Astral Hükümdar, gökyüzünün hareketlerini herkesten önce görmeyi öğrenir, yıldızlardan gelen gücü kontrol etmeyi başardığında karşısındaki hiçbir savaşçı onun hamlelerini gizleyemez.
Bu sekmedeki önceki hikâye (girdi dosyasından korunmuştur):
Büyüyü emir değil kanıt yaptı; o hüküm ikinci kez silinemedi.</t>
        </r>
      </text>
    </comment>
    <comment ref="F16" authorId="0" shapeId="0" xr:uid="{00000000-0006-0000-0E00-000024000000}">
      <text>
        <r>
          <rPr>
            <sz val="10"/>
            <rFont val="Arial"/>
            <family val="2"/>
            <charset val="162"/>
          </rPr>
          <t>Önceki taslak: Gölge
Yeni ana ırk: Gölge
Güçlü — görsel
Görsel: Gölge/ruh-insansı</t>
        </r>
      </text>
    </comment>
    <comment ref="H16" authorId="0" shapeId="0" xr:uid="{00000000-0006-0000-0E00-000025000000}">
      <text>
        <r>
          <rPr>
            <sz val="10"/>
            <rFont val="Arial"/>
            <family val="2"/>
            <charset val="162"/>
          </rPr>
          <t>Önceki element: Gölge
Yeni element: Ruh
Sınıflar arası dağılım için karakter adı, hikâyesi ve mevcut yetenek temaları birlikte değerlendirildi.</t>
        </r>
      </text>
    </comment>
    <comment ref="L16" authorId="0" shapeId="0" xr:uid="{00000000-0006-0000-0E00-000026000000}">
      <text>
        <r>
          <rPr>
            <sz val="10"/>
            <rFont val="Arial"/>
            <family val="2"/>
            <charset val="162"/>
          </rPr>
          <t>Bu sekmedeki önceki hikâye (girdi dosyasından korunmuştur):
Efsanevi Sifaci'ın bıraktığı yarığı kapatmadı, kaderin rotasına bağladı.</t>
        </r>
      </text>
    </comment>
    <comment ref="F17" authorId="0" shapeId="0" xr:uid="{00000000-0006-0000-0E00-000027000000}">
      <text>
        <r>
          <rPr>
            <sz val="10"/>
            <rFont val="Arial"/>
            <family val="2"/>
            <charset val="162"/>
          </rPr>
          <t>Önceki taslak: İnsan
Yeni ana ırk: İnsan
Güçlü — isim/hikâye
Görsel: İnsan görünümlü</t>
        </r>
      </text>
    </comment>
    <comment ref="L17" authorId="0" shapeId="0" xr:uid="{00000000-0006-0000-0E00-000028000000}">
      <text>
        <r>
          <rPr>
            <sz val="10"/>
            <rFont val="Arial"/>
            <family val="2"/>
            <charset val="162"/>
          </rPr>
          <t>Bu sekmedeki önceki hikâye (girdi dosyasından korunmuştur):
Büyüyü emir değil kanıt yaptı; o hüküm ikinci kez silinemedi.</t>
        </r>
      </text>
    </comment>
    <comment ref="F18" authorId="0" shapeId="0" xr:uid="{00000000-0006-0000-0E00-000029000000}">
      <text>
        <r>
          <rPr>
            <sz val="10"/>
            <rFont val="Arial"/>
            <family val="2"/>
            <charset val="162"/>
          </rPr>
          <t>Önceki taslak: İnsan
Yeni ana ırk: İnsan
Güçlü — isim/hikâye
Görsel: İnsan görünümlü</t>
        </r>
      </text>
    </comment>
    <comment ref="H18" authorId="0" shapeId="0" xr:uid="{00000000-0006-0000-0E00-00002A000000}">
      <text>
        <r>
          <rPr>
            <sz val="10"/>
            <rFont val="Arial"/>
            <family val="2"/>
            <charset val="162"/>
          </rPr>
          <t>Önceki element: Arkan
Yeni element: Metal
Zırh Kralı ile kurduğu büyülü taht.</t>
        </r>
      </text>
    </comment>
    <comment ref="L18" authorId="0" shapeId="0" xr:uid="{00000000-0006-0000-0E00-00002B000000}">
      <text>
        <r>
          <rPr>
            <sz val="10"/>
            <rFont val="Arial"/>
            <family val="2"/>
            <charset val="162"/>
          </rPr>
          <t>Bu sekmedeki önceki hikâye (girdi dosyasından korunmuştur):
Arkan Defteri yırtıldı; parçaları geleceğin tek cümlesine dikti.</t>
        </r>
      </text>
    </comment>
    <comment ref="F19" authorId="0" shapeId="0" xr:uid="{00000000-0006-0000-0E00-00002C000000}">
      <text>
        <r>
          <rPr>
            <sz val="10"/>
            <rFont val="Arial"/>
            <family val="2"/>
            <charset val="162"/>
          </rPr>
          <t>Önceki taslak: İnsan
Yeni ana ırk: İnsan
Güçlü — isim/hikâye
Görsel: İnsan görünümlü</t>
        </r>
      </text>
    </comment>
    <comment ref="L19" authorId="0" shapeId="0" xr:uid="{00000000-0006-0000-0E00-00002D000000}">
      <text>
        <r>
          <rPr>
            <sz val="10"/>
            <rFont val="Arial"/>
            <family val="2"/>
            <charset val="162"/>
          </rPr>
          <t>Bu sekmedeki önceki hikâye (girdi dosyasından korunmuştur):
Karanlıkla pazarlık etmedi; ışığın sakladığı hükmü okudu.</t>
        </r>
      </text>
    </comment>
    <comment ref="F20" authorId="0" shapeId="0" xr:uid="{00000000-0006-0000-0E00-00002E000000}">
      <text>
        <r>
          <rPr>
            <sz val="10"/>
            <rFont val="Arial"/>
            <family val="2"/>
            <charset val="162"/>
          </rPr>
          <t>Önceki taslak: Tanrısal
Yeni ana ırk: Tanrısal
Güçlü — isim/hikâye
Görsel: İnsan görünümlü</t>
        </r>
      </text>
    </comment>
    <comment ref="H20" authorId="0" shapeId="0" xr:uid="{00000000-0006-0000-0E00-00002F000000}">
      <text>
        <r>
          <rPr>
            <sz val="10"/>
            <rFont val="Arial"/>
            <family val="2"/>
            <charset val="162"/>
          </rPr>
          <t>Önceki element: Astral
Yeni element: Yaşam
Sınıflar arası dağılım için karakter adı, hikâyesi ve mevcut yetenek temaları birlikte değerlendirildi.</t>
        </r>
      </text>
    </comment>
    <comment ref="L20" authorId="0" shapeId="0" xr:uid="{00000000-0006-0000-0E00-000030000000}">
      <text>
        <r>
          <rPr>
            <sz val="10"/>
            <rFont val="Arial"/>
            <family val="2"/>
            <charset val="162"/>
          </rPr>
          <t>Bu sekmedeki önceki hikâye (girdi dosyasından korunmuştur):
Sözleri büyü değildi; büyünün bile boyun eğdiği kayıttı.</t>
        </r>
      </text>
    </comment>
    <comment ref="F21" authorId="0" shapeId="0" xr:uid="{00000000-0006-0000-0E00-000031000000}">
      <text>
        <r>
          <rPr>
            <sz val="10"/>
            <rFont val="Arial"/>
            <family val="2"/>
            <charset val="162"/>
          </rPr>
          <t>Önceki taslak: Gölge
Yeni ana ırk: Gölge
Güçlü — görsel
Görsel: Gölge/ruh-insansı</t>
        </r>
      </text>
    </comment>
    <comment ref="L21" authorId="0" shapeId="0" xr:uid="{00000000-0006-0000-0E00-000032000000}">
      <text>
        <r>
          <rPr>
            <sz val="10"/>
            <rFont val="Arial"/>
            <family val="2"/>
            <charset val="162"/>
          </rPr>
          <t>Bu sekmedeki önceki hikâye (girdi dosyasından korunmuştur):
Hayat Fisildayicisi'dan kalan iz, onun büyüsünde yasaya dönüştü.</t>
        </r>
      </text>
    </comment>
    <comment ref="F22" authorId="0" shapeId="0" xr:uid="{00000000-0006-0000-0E00-000033000000}">
      <text>
        <r>
          <rPr>
            <sz val="10"/>
            <rFont val="Arial"/>
            <family val="2"/>
            <charset val="162"/>
          </rPr>
          <t>Önceki taslak: İnsan
Yeni ana ırk: İnsan
Güçlü — isim/hikâye
Görsel: İnsan görünümlü</t>
        </r>
      </text>
    </comment>
    <comment ref="H22" authorId="0" shapeId="0" xr:uid="{00000000-0006-0000-0E00-000034000000}">
      <text>
        <r>
          <rPr>
            <sz val="10"/>
            <rFont val="Arial"/>
            <family val="2"/>
            <charset val="162"/>
          </rPr>
          <t>Önceki element: Arkan
Yeni element: Kaos
Sınıflar arası dağılım için karakter adı, hikâyesi ve mevcut yetenek temaları birlikte değerlendirildi.</t>
        </r>
      </text>
    </comment>
    <comment ref="L22" authorId="0" shapeId="0" xr:uid="{00000000-0006-0000-0E00-000035000000}">
      <text>
        <r>
          <rPr>
            <sz val="10"/>
            <rFont val="Arial"/>
            <family val="2"/>
            <charset val="162"/>
          </rPr>
          <t>Bu sekmedeki önceki hikâye (girdi dosyasından korunmuştur):
Arkan Defteri yırtıldı; parçaları geleceğin tek cümlesine dikti.</t>
        </r>
      </text>
    </comment>
    <comment ref="F23" authorId="0" shapeId="0" xr:uid="{00000000-0006-0000-0E00-000036000000}">
      <text>
        <r>
          <rPr>
            <sz val="10"/>
            <rFont val="Arial"/>
            <family val="2"/>
            <charset val="162"/>
          </rPr>
          <t>Önceki taslak: İnsan
Yeni ana ırk: İnsan
Güçlü — isim/hikâye
Görsel: İnsan görünümlü</t>
        </r>
      </text>
    </comment>
    <comment ref="H23" authorId="0" shapeId="0" xr:uid="{00000000-0006-0000-0E00-000037000000}">
      <text>
        <r>
          <rPr>
            <sz val="10"/>
            <rFont val="Arial"/>
            <family val="2"/>
            <charset val="162"/>
          </rPr>
          <t>Önceki element: Arkan
Yeni element: Denge
Dört elementi bedeninde barıştırması.</t>
        </r>
      </text>
    </comment>
    <comment ref="L23" authorId="0" shapeId="0" xr:uid="{00000000-0006-0000-0E00-000038000000}">
      <text>
        <r>
          <rPr>
            <sz val="10"/>
            <rFont val="Arial"/>
            <family val="2"/>
            <charset val="162"/>
          </rPr>
          <t>Bu sekmedeki önceki hikâye (girdi dosyasından korunmuştur):
Arkan Defteri kapanmadı; onun eliyle yeni bir yasa doğurdu.</t>
        </r>
      </text>
    </comment>
    <comment ref="F24" authorId="0" shapeId="0" xr:uid="{00000000-0006-0000-0E00-000039000000}">
      <text>
        <r>
          <rPr>
            <sz val="10"/>
            <rFont val="Arial"/>
            <family val="2"/>
            <charset val="162"/>
          </rPr>
          <t>Önceki taslak: İnsan
Yeni ana ırk: İnsan
Güçlü — isim/hikâye
Görsel: İnsan görünümlü</t>
        </r>
      </text>
    </comment>
    <comment ref="L24" authorId="0" shapeId="0" xr:uid="{00000000-0006-0000-0E00-00003A000000}">
      <text>
        <r>
          <rPr>
            <sz val="10"/>
            <rFont val="Arial"/>
            <family val="2"/>
            <charset val="162"/>
          </rPr>
          <t>Bu sekmedeki önceki hikâye (girdi dosyasından korunmuştur):
Hayat Armonisti'ın bıraktığı yarığı kapatmadı, kaderin rotasına bağladı.</t>
        </r>
      </text>
    </comment>
    <comment ref="F25" authorId="0" shapeId="0" xr:uid="{00000000-0006-0000-0E00-00003B000000}">
      <text>
        <r>
          <rPr>
            <sz val="10"/>
            <rFont val="Arial"/>
            <family val="2"/>
            <charset val="162"/>
          </rPr>
          <t>Önceki taslak: İnsan
Yeni ana ırk: Astral
Dengeleme — kontrol önerilir
Görsel: İnsan görünümlü | Dağılım revizyonu: İnsan → Astral.</t>
        </r>
      </text>
    </comment>
    <comment ref="H25" authorId="0" shapeId="0" xr:uid="{00000000-0006-0000-0E00-00003C000000}">
      <text>
        <r>
          <rPr>
            <sz val="10"/>
            <rFont val="Arial"/>
            <family val="2"/>
            <charset val="162"/>
          </rPr>
          <t>Önceki element: Astral
Yeni element: Fırtına
Sınıflar arası dağılım için karakter adı, hikâyesi ve mevcut yetenek temaları birlikte değerlendirildi.</t>
        </r>
      </text>
    </comment>
    <comment ref="L25" authorId="0" shapeId="0" xr:uid="{00000000-0006-0000-0E00-00003D000000}">
      <text>
        <r>
          <rPr>
            <sz val="10"/>
            <rFont val="Arial"/>
            <family val="2"/>
            <charset val="162"/>
          </rPr>
          <t>Bu sekmedeki önceki hikâye (girdi dosyasından korunmuştur):
Sözleri büyü değildi; büyünün bile boyun eğdiği kayıttı.</t>
        </r>
      </text>
    </comment>
    <comment ref="F26" authorId="0" shapeId="0" xr:uid="{00000000-0006-0000-0E00-00003E000000}">
      <text>
        <r>
          <rPr>
            <sz val="10"/>
            <rFont val="Arial"/>
            <family val="2"/>
            <charset val="162"/>
          </rPr>
          <t>Önceki taslak: İnsan
Yeni ana ırk: İnsan
Güçlü — isim/hikâye
Görsel: İnsan görünümlü</t>
        </r>
      </text>
    </comment>
    <comment ref="H26" authorId="0" shapeId="0" xr:uid="{00000000-0006-0000-0E00-00003F000000}">
      <text>
        <r>
          <rPr>
            <sz val="10"/>
            <rFont val="Arial"/>
            <family val="2"/>
            <charset val="162"/>
          </rPr>
          <t>Önceki element: Arkan
Yeni element: Zihin
Sınıflar arası dağılım için karakter adı, hikâyesi ve mevcut yetenek temaları birlikte değerlendirildi.</t>
        </r>
      </text>
    </comment>
    <comment ref="L26" authorId="0" shapeId="0" xr:uid="{00000000-0006-0000-0E00-000040000000}">
      <text>
        <r>
          <rPr>
            <sz val="10"/>
            <rFont val="Arial"/>
            <family val="2"/>
            <charset val="162"/>
          </rPr>
          <t>Bu sekmedeki önceki hikâye (girdi dosyasından korunmuştur):
Büyüyü emir değil kanıt yaptı; o hüküm ikinci kez silinemedi.</t>
        </r>
      </text>
    </comment>
    <comment ref="F27" authorId="0" shapeId="0" xr:uid="{00000000-0006-0000-0E00-000041000000}">
      <text>
        <r>
          <rPr>
            <sz val="10"/>
            <rFont val="Arial"/>
            <family val="2"/>
            <charset val="162"/>
          </rPr>
          <t>Önceki taslak: İnsan
Yeni ana ırk: İnsan
Güçlü — isim/hikâye
Görsel: İnsan görünümlü</t>
        </r>
      </text>
    </comment>
    <comment ref="H27" authorId="0" shapeId="0" xr:uid="{00000000-0006-0000-0E00-000042000000}">
      <text>
        <r>
          <rPr>
            <sz val="10"/>
            <rFont val="Arial"/>
            <family val="2"/>
            <charset val="162"/>
          </rPr>
          <t>Önceki element: Arkan
Yeni element: Enerji
Sınıflar arası dağılım için karakter adı, hikâyesi ve mevcut yetenek temaları birlikte değerlendirildi.</t>
        </r>
      </text>
    </comment>
    <comment ref="L27" authorId="0" shapeId="0" xr:uid="{00000000-0006-0000-0E00-000043000000}">
      <text>
        <r>
          <rPr>
            <sz val="10"/>
            <rFont val="Arial"/>
            <family val="2"/>
            <charset val="162"/>
          </rPr>
          <t>Bu sekmedeki önceki hikâye (girdi dosyasından korunmuştur):
Evrenin Korumacisi'ın bıraktığı yarığı kapatmadı, kaderin rotasına bağladı.</t>
        </r>
      </text>
    </comment>
    <comment ref="F28" authorId="0" shapeId="0" xr:uid="{00000000-0006-0000-0E00-000044000000}">
      <text>
        <r>
          <rPr>
            <sz val="10"/>
            <rFont val="Arial"/>
            <family val="2"/>
            <charset val="162"/>
          </rPr>
          <t>Önceki taslak: İnsan
Yeni ana ırk: İnsan
Güçlü — isim/hikâye
Görsel: İnsan görünümlü</t>
        </r>
      </text>
    </comment>
    <comment ref="H28" authorId="0" shapeId="0" xr:uid="{00000000-0006-0000-0E00-000045000000}">
      <text>
        <r>
          <rPr>
            <sz val="10"/>
            <rFont val="Arial"/>
            <family val="2"/>
            <charset val="162"/>
          </rPr>
          <t>Önceki element: Arkan
Yeni element: Zihin
Zihinleri kırma gücü ve merhameti yeniden öğrenmesi.</t>
        </r>
      </text>
    </comment>
    <comment ref="L28" authorId="0" shapeId="0" xr:uid="{00000000-0006-0000-0E00-000046000000}">
      <text>
        <r>
          <rPr>
            <sz val="10"/>
            <rFont val="Arial"/>
            <family val="2"/>
            <charset val="162"/>
          </rPr>
          <t>Bu sekmedeki önceki hikâye (girdi dosyasından korunmuştur):
Büyüyü emir değil kanıt yaptı; o hüküm ikinci kez silinemedi.</t>
        </r>
      </text>
    </comment>
    <comment ref="F29" authorId="0" shapeId="0" xr:uid="{00000000-0006-0000-0E00-000047000000}">
      <text>
        <r>
          <rPr>
            <sz val="10"/>
            <rFont val="Arial"/>
            <family val="2"/>
            <charset val="162"/>
          </rPr>
          <t>Önceki taslak: İnsan
Yeni ana ırk: İnsan
Güçlü — isim/hikâye
Görsel: İnsan görünümlü</t>
        </r>
      </text>
    </comment>
    <comment ref="H29" authorId="0" shapeId="0" xr:uid="{00000000-0006-0000-0E00-000048000000}">
      <text>
        <r>
          <rPr>
            <sz val="10"/>
            <rFont val="Arial"/>
            <family val="2"/>
            <charset val="162"/>
          </rPr>
          <t>Önceki element: Arkan
Yeni element: Zaman
Geleceği görüp uyarılarıyla değiştirmesi.</t>
        </r>
      </text>
    </comment>
    <comment ref="L29" authorId="0" shapeId="0" xr:uid="{00000000-0006-0000-0E00-000049000000}">
      <text>
        <r>
          <rPr>
            <sz val="10"/>
            <rFont val="Arial"/>
            <family val="2"/>
            <charset val="162"/>
          </rPr>
          <t>Bu sekmedeki önceki hikâye (girdi dosyasından korunmuştur):
Karanlıkla pazarlık etmedi; ışığın sakladığı hükmü okudu.</t>
        </r>
      </text>
    </comment>
    <comment ref="F30" authorId="0" shapeId="0" xr:uid="{00000000-0006-0000-0E00-00004A000000}">
      <text>
        <r>
          <rPr>
            <sz val="10"/>
            <rFont val="Arial"/>
            <family val="2"/>
            <charset val="162"/>
          </rPr>
          <t>Önceki taslak: İnsan
Yeni ana ırk: İnsan
Güçlü — isim/hikâye
Görsel: İnsan görünümlü</t>
        </r>
      </text>
    </comment>
    <comment ref="L30" authorId="0" shapeId="0" xr:uid="{00000000-0006-0000-0E00-00004B000000}">
      <text>
        <r>
          <rPr>
            <sz val="10"/>
            <rFont val="Arial"/>
            <family val="2"/>
            <charset val="162"/>
          </rPr>
          <t>Bu sekmedeki önceki hikâye (girdi dosyasından korunmuştur):
Arkan Defteri kapanmadı; onun eliyle yeni bir yasa doğurdu.</t>
        </r>
      </text>
    </comment>
    <comment ref="F31" authorId="0" shapeId="0" xr:uid="{00000000-0006-0000-0E00-00004C000000}">
      <text>
        <r>
          <rPr>
            <sz val="10"/>
            <rFont val="Arial"/>
            <family val="2"/>
            <charset val="162"/>
          </rPr>
          <t>Önceki taslak: Astral
Yeni ana ırk: Astral
Kesin — kullanıcı onayı/kuralı
Kullanıcı doğrulaması: insan görünümü yok, Astral. | Görsel: Astral görünümlü</t>
        </r>
      </text>
    </comment>
    <comment ref="L31" authorId="0" shapeId="0" xr:uid="{00000000-0006-0000-0E00-00004D000000}">
      <text>
        <r>
          <rPr>
            <sz val="10"/>
            <rFont val="Arial"/>
            <family val="2"/>
            <charset val="162"/>
          </rPr>
          <t>Bu sekmedeki önceki hikâye (girdi dosyasından korunmuştur):
Doga Ustasi'ın bıraktığı yarığı kapatmadı, kaderin rotasına bağladı.</t>
        </r>
      </text>
    </comment>
    <comment ref="F32" authorId="0" shapeId="0" xr:uid="{00000000-0006-0000-0E00-00004E000000}">
      <text>
        <r>
          <rPr>
            <sz val="10"/>
            <rFont val="Arial"/>
            <family val="2"/>
            <charset val="162"/>
          </rPr>
          <t>Önceki taslak: Astral
Yeni ana ırk: Astral
Güçlü — isim/hikâye
Görsel: İnsan görünümlü</t>
        </r>
      </text>
    </comment>
    <comment ref="L32" authorId="0" shapeId="0" xr:uid="{00000000-0006-0000-0E00-00004F000000}">
      <text>
        <r>
          <rPr>
            <sz val="10"/>
            <rFont val="Arial"/>
            <family val="2"/>
            <charset val="162"/>
          </rPr>
          <t>Ana listedeki özgün örnek (kısaltılmadan önce):
Kullandığı her büyüden sonra sarsılmaz bir kalkan örer, düşman saldırıları ona isabet ettikçe gücüne güç katar ve savunmasını daha da sağlamlaştırır.
Bu sekmedeki önceki hikâye (girdi dosyasından korunmuştur):
Dengenin Koruyucusu'dan kalan iz, onun büyüsünde yasaya dönüştü.</t>
        </r>
      </text>
    </comment>
    <comment ref="F33" authorId="0" shapeId="0" xr:uid="{00000000-0006-0000-0E00-000050000000}">
      <text>
        <r>
          <rPr>
            <sz val="10"/>
            <rFont val="Arial"/>
            <family val="2"/>
            <charset val="162"/>
          </rPr>
          <t>Önceki taslak: Gölge
Yeni ana ırk: Gölge
Güçlü — görsel
Görsel: Gölge/ruh yaratığı</t>
        </r>
      </text>
    </comment>
    <comment ref="H33" authorId="0" shapeId="0" xr:uid="{00000000-0006-0000-0E00-000051000000}">
      <text>
        <r>
          <rPr>
            <sz val="10"/>
            <rFont val="Arial"/>
            <family val="2"/>
            <charset val="162"/>
          </rPr>
          <t>Önceki element: Gölge
Yeni element: Ruh
Çağırdığı ruhlar ve hayaletlerle iletişim.</t>
        </r>
      </text>
    </comment>
    <comment ref="L33" authorId="0" shapeId="0" xr:uid="{00000000-0006-0000-0E00-000052000000}">
      <text>
        <r>
          <rPr>
            <sz val="10"/>
            <rFont val="Arial"/>
            <family val="2"/>
            <charset val="162"/>
          </rPr>
          <t>Bu sekmedeki önceki hikâye (girdi dosyasından korunmuştur):
Karanlıkla pazarlık etmedi; ışığın sakladığı hükmü okudu.</t>
        </r>
      </text>
    </comment>
    <comment ref="F34" authorId="0" shapeId="0" xr:uid="{00000000-0006-0000-0E00-000053000000}">
      <text>
        <r>
          <rPr>
            <sz val="10"/>
            <rFont val="Arial"/>
            <family val="2"/>
            <charset val="162"/>
          </rPr>
          <t>Önceki taslak: Gölge
Yeni ana ırk: Gölge
Kesin — kullanıcı onayı/kuralı
Görsel: İnsan görünümlü</t>
        </r>
      </text>
    </comment>
    <comment ref="L34" authorId="0" shapeId="0" xr:uid="{00000000-0006-0000-0E00-000054000000}">
      <text>
        <r>
          <rPr>
            <sz val="10"/>
            <rFont val="Arial"/>
            <family val="2"/>
            <charset val="162"/>
          </rPr>
          <t>Bu sekmedeki önceki hikâye (girdi dosyasından korunmuştur):
Doga Sifacisi'dan kalan iz, onun büyüsünde yasaya dönüştü.</t>
        </r>
      </text>
    </comment>
    <comment ref="F35" authorId="0" shapeId="0" xr:uid="{00000000-0006-0000-0E00-000055000000}">
      <text>
        <r>
          <rPr>
            <sz val="10"/>
            <rFont val="Arial"/>
            <family val="2"/>
            <charset val="162"/>
          </rPr>
          <t>Önceki taslak: İnsan
Yeni ana ırk: İnsan
Güçlü — isim/hikâye
Görsel: İnsan görünümlü</t>
        </r>
      </text>
    </comment>
    <comment ref="L35" authorId="0" shapeId="0" xr:uid="{00000000-0006-0000-0E00-000056000000}">
      <text>
        <r>
          <rPr>
            <sz val="10"/>
            <rFont val="Arial"/>
            <family val="2"/>
            <charset val="162"/>
          </rPr>
          <t>Bu sekmedeki önceki hikâye (girdi dosyasından korunmuştur):
Karanlıkla pazarlık etmedi; ışığın sakladığı hükmü okudu.</t>
        </r>
      </text>
    </comment>
    <comment ref="F36" authorId="0" shapeId="0" xr:uid="{00000000-0006-0000-0E00-000057000000}">
      <text>
        <r>
          <rPr>
            <sz val="10"/>
            <rFont val="Arial"/>
            <family val="2"/>
            <charset val="162"/>
          </rPr>
          <t>Önceki taslak: İnsan
Yeni ana ırk: İnsan
Güçlü — isim/hikâye
Görsel: İnsan görünümlü</t>
        </r>
      </text>
    </comment>
    <comment ref="L36" authorId="0" shapeId="0" xr:uid="{00000000-0006-0000-0E00-000058000000}">
      <text>
        <r>
          <rPr>
            <sz val="10"/>
            <rFont val="Arial"/>
            <family val="2"/>
            <charset val="162"/>
          </rPr>
          <t>Bu sekmedeki önceki hikâye (girdi dosyasından korunmuştur):
Rünler sustu; gerçek güç değil, saklanan borç konuştu.</t>
        </r>
      </text>
    </comment>
    <comment ref="F37" authorId="0" shapeId="0" xr:uid="{00000000-0006-0000-0E00-000059000000}">
      <text>
        <r>
          <rPr>
            <sz val="10"/>
            <rFont val="Arial"/>
            <family val="2"/>
            <charset val="162"/>
          </rPr>
          <t>Önceki taslak: İnsan
Yeni ana ırk: İnsan
Güçlü — isim/hikâye
Görsel: İnsan görünümlü</t>
        </r>
      </text>
    </comment>
    <comment ref="H37" authorId="0" shapeId="0" xr:uid="{00000000-0006-0000-0E00-00005A000000}">
      <text>
        <r>
          <rPr>
            <sz val="10"/>
            <rFont val="Arial"/>
            <family val="2"/>
            <charset val="162"/>
          </rPr>
          <t>Önceki element: Arkan
Yeni element: Kaos
Sınıflar arası dağılım için karakter adı, hikâyesi ve mevcut yetenek temaları birlikte değerlendirildi.</t>
        </r>
      </text>
    </comment>
    <comment ref="L37" authorId="0" shapeId="0" xr:uid="{00000000-0006-0000-0E00-00005B000000}">
      <text>
        <r>
          <rPr>
            <sz val="10"/>
            <rFont val="Arial"/>
            <family val="2"/>
            <charset val="162"/>
          </rPr>
          <t>Bu sekmedeki önceki hikâye (girdi dosyasından korunmuştur):
Büyüyü emir değil kanıt yaptı; o hüküm ikinci kez silinemedi.</t>
        </r>
      </text>
    </comment>
    <comment ref="F38" authorId="0" shapeId="0" xr:uid="{00000000-0006-0000-0E00-00005C000000}">
      <text>
        <r>
          <rPr>
            <sz val="10"/>
            <rFont val="Arial"/>
            <family val="2"/>
            <charset val="162"/>
          </rPr>
          <t>Önceki taslak: Mutant
Yeni ana ırk: Böceksırt
Kesin — kullanıcı onayı/kuralı
Görsel: Böcek/araknid varlık | Dağılım revizyonu: Mutant → Böceksırt.</t>
        </r>
      </text>
    </comment>
    <comment ref="L38" authorId="0" shapeId="0" xr:uid="{00000000-0006-0000-0E00-00005D000000}">
      <text>
        <r>
          <rPr>
            <sz val="10"/>
            <rFont val="Arial"/>
            <family val="2"/>
            <charset val="162"/>
          </rPr>
          <t>Bu sekmedeki önceki hikâye (girdi dosyasından korunmuştur):
Büyüyü emir değil kanıt yaptı; o hüküm ikinci kez silinemedi.</t>
        </r>
      </text>
    </comment>
    <comment ref="F39" authorId="0" shapeId="0" xr:uid="{00000000-0006-0000-0E00-00005E000000}">
      <text>
        <r>
          <rPr>
            <sz val="10"/>
            <rFont val="Arial"/>
            <family val="2"/>
            <charset val="162"/>
          </rPr>
          <t>Önceki taslak: Gölge
Yeni ana ırk: Gölge
Güçlü — isim/hikâye
Görsel: Enerji/soyut varlık</t>
        </r>
      </text>
    </comment>
    <comment ref="L39" authorId="0" shapeId="0" xr:uid="{00000000-0006-0000-0E00-00005F000000}">
      <text>
        <r>
          <rPr>
            <sz val="10"/>
            <rFont val="Arial"/>
            <family val="2"/>
            <charset val="162"/>
          </rPr>
          <t>Bu sekmedeki önceki hikâye (girdi dosyasından korunmuştur):
Zamanin Sifacisi'dan kalan iz, onun büyüsünde yasaya dönüştü.</t>
        </r>
      </text>
    </comment>
    <comment ref="F40" authorId="0" shapeId="0" xr:uid="{00000000-0006-0000-0E00-000060000000}">
      <text>
        <r>
          <rPr>
            <sz val="10"/>
            <rFont val="Arial"/>
            <family val="2"/>
            <charset val="162"/>
          </rPr>
          <t>Önceki taslak: Mutant
Yeni ana ırk: Böceksırt
Kesin — kullanıcı onayı/kuralı
Görsel: Böcek/araknid varlık | Dağılım revizyonu: Mutant → Böceksırt.</t>
        </r>
      </text>
    </comment>
    <comment ref="L40" authorId="0" shapeId="0" xr:uid="{00000000-0006-0000-0E00-000061000000}">
      <text>
        <r>
          <rPr>
            <sz val="10"/>
            <rFont val="Arial"/>
            <family val="2"/>
            <charset val="162"/>
          </rPr>
          <t>Bu sekmedeki önceki hikâye (girdi dosyasından korunmuştur):
Karanlıkla pazarlık etmedi; ışığın sakladığı hükmü okudu.</t>
        </r>
      </text>
    </comment>
    <comment ref="F41" authorId="0" shapeId="0" xr:uid="{00000000-0006-0000-0E00-000062000000}">
      <text>
        <r>
          <rPr>
            <sz val="10"/>
            <rFont val="Arial"/>
            <family val="2"/>
            <charset val="162"/>
          </rPr>
          <t>Önceki taslak: Astral
Yeni ana ırk: Astral
Güçlü — isim/hikâye
Görsel: Enerji/soyut varlık</t>
        </r>
      </text>
    </comment>
    <comment ref="H41" authorId="0" shapeId="0" xr:uid="{00000000-0006-0000-0E00-000063000000}">
      <text>
        <r>
          <rPr>
            <sz val="10"/>
            <rFont val="Arial"/>
            <family val="2"/>
            <charset val="162"/>
          </rPr>
          <t>Önceki element: Astral
Yeni element: Işık
Sınıflar arası dağılım için karakter adı, hikâyesi ve mevcut yetenek temaları birlikte değerlendirildi.</t>
        </r>
      </text>
    </comment>
    <comment ref="L41" authorId="0" shapeId="0" xr:uid="{00000000-0006-0000-0E00-000064000000}">
      <text>
        <r>
          <rPr>
            <sz val="10"/>
            <rFont val="Arial"/>
            <family val="2"/>
            <charset val="162"/>
          </rPr>
          <t>Bu sekmedeki önceki hikâye (girdi dosyasından korunmuştur):
Rünler sustu; gerçek güç değil, saklanan borç konuştu.</t>
        </r>
      </text>
    </comment>
    <comment ref="F42" authorId="0" shapeId="0" xr:uid="{00000000-0006-0000-0E00-000065000000}">
      <text>
        <r>
          <rPr>
            <sz val="10"/>
            <rFont val="Arial"/>
            <family val="2"/>
            <charset val="162"/>
          </rPr>
          <t>Önceki taslak: Mutant
Yeni ana ırk: Sürüngensoy
Kesin — kullanıcı onayı/kuralı
Görsel: Hayvan/kanatlı hayvan-insansı | Dağılım revizyonu: Mutant → Sürüngensoy.</t>
        </r>
      </text>
    </comment>
    <comment ref="H42" authorId="0" shapeId="0" xr:uid="{00000000-0006-0000-0E00-000066000000}">
      <text>
        <r>
          <rPr>
            <sz val="10"/>
            <rFont val="Arial"/>
            <family val="2"/>
            <charset val="162"/>
          </rPr>
          <t>Önceki element: Arkan
Yeni element: Savaş
Sınıflar arası dağılım için karakter adı, hikâyesi ve mevcut yetenek temaları birlikte değerlendirildi.</t>
        </r>
      </text>
    </comment>
    <comment ref="L42" authorId="0" shapeId="0" xr:uid="{00000000-0006-0000-0E00-000067000000}">
      <text>
        <r>
          <rPr>
            <sz val="10"/>
            <rFont val="Arial"/>
            <family val="2"/>
            <charset val="162"/>
          </rPr>
          <t>Bu sekmedeki önceki hikâye (girdi dosyasından korunmuştur):
Büyüyü emir değil kanıt yaptı; o hüküm ikinci kez silinemedi.</t>
        </r>
      </text>
    </comment>
    <comment ref="F43" authorId="0" shapeId="0" xr:uid="{00000000-0006-0000-0E00-000068000000}">
      <text>
        <r>
          <rPr>
            <sz val="10"/>
            <rFont val="Arial"/>
            <family val="2"/>
            <charset val="162"/>
          </rPr>
          <t>Önceki taslak: Astral
Yeni ana ırk: Tanrısal
Güçlü — isim/hikâye
Görsel: Melek/kanatlı insansı | Dağılım revizyonu: Astral → Tanrısal.</t>
        </r>
      </text>
    </comment>
    <comment ref="L43" authorId="0" shapeId="0" xr:uid="{00000000-0006-0000-0E00-000069000000}">
      <text>
        <r>
          <rPr>
            <sz val="10"/>
            <rFont val="Arial"/>
            <family val="2"/>
            <charset val="162"/>
          </rPr>
          <t>Bu sekmedeki önceki hikâye (girdi dosyasından korunmuştur):
Rünler sustu; gerçek güç değil, saklanan borç konuştu.</t>
        </r>
      </text>
    </comment>
    <comment ref="F44" authorId="0" shapeId="0" xr:uid="{00000000-0006-0000-0E00-00006A000000}">
      <text>
        <r>
          <rPr>
            <sz val="10"/>
            <rFont val="Arial"/>
            <family val="2"/>
            <charset val="162"/>
          </rPr>
          <t>Önceki taslak: Astral
Yeni ana ırk: Astral
Orta
Görsel: Melek/kanatlı insansı</t>
        </r>
      </text>
    </comment>
    <comment ref="H44" authorId="0" shapeId="0" xr:uid="{00000000-0006-0000-0E00-00006B000000}">
      <text>
        <r>
          <rPr>
            <sz val="10"/>
            <rFont val="Arial"/>
            <family val="2"/>
            <charset val="162"/>
          </rPr>
          <t>Önceki element: Astral
Yeni element: Fırtına
Sınıflar arası dağılım için karakter adı, hikâyesi ve mevcut yetenek temaları birlikte değerlendirildi.</t>
        </r>
      </text>
    </comment>
    <comment ref="L44" authorId="0" shapeId="0" xr:uid="{00000000-0006-0000-0E00-00006C000000}">
      <text>
        <r>
          <rPr>
            <sz val="10"/>
            <rFont val="Arial"/>
            <family val="2"/>
            <charset val="162"/>
          </rPr>
          <t>Bu sekmedeki önceki hikâye (girdi dosyasından korunmuştur):
Derin Yıldız Geçidi kapanmadı; onun eliyle yeni bir yasa doğurdu.</t>
        </r>
      </text>
    </comment>
    <comment ref="F45" authorId="0" shapeId="0" xr:uid="{00000000-0006-0000-0E00-00006D000000}">
      <text>
        <r>
          <rPr>
            <sz val="10"/>
            <rFont val="Arial"/>
            <family val="2"/>
            <charset val="162"/>
          </rPr>
          <t>Önceki taslak: Astral
Yeni ana ırk: Astral
Güçlü — görsel
Görsel: Kozmik Aether yaratığı</t>
        </r>
      </text>
    </comment>
    <comment ref="H45" authorId="0" shapeId="0" xr:uid="{00000000-0006-0000-0E00-00006E000000}">
      <text>
        <r>
          <rPr>
            <sz val="10"/>
            <rFont val="Arial"/>
            <family val="2"/>
            <charset val="162"/>
          </rPr>
          <t>Önceki element: Astral
Yeni element: Enerji
Bedenini koruyan Aether gücü.</t>
        </r>
      </text>
    </comment>
    <comment ref="L45" authorId="0" shapeId="0" xr:uid="{00000000-0006-0000-0E00-00006F000000}">
      <text>
        <r>
          <rPr>
            <sz val="10"/>
            <rFont val="Arial"/>
            <family val="2"/>
            <charset val="162"/>
          </rPr>
          <t>Bu sekmedeki önceki hikâye (girdi dosyasından korunmuştur):
Derin Yıldız Geçidi yırtıldı; parçaları geleceğin tek cümlesine dikti.</t>
        </r>
      </text>
    </comment>
    <comment ref="F46" authorId="0" shapeId="0" xr:uid="{00000000-0006-0000-0E00-000070000000}">
      <text>
        <r>
          <rPr>
            <sz val="10"/>
            <rFont val="Arial"/>
            <family val="2"/>
            <charset val="162"/>
          </rPr>
          <t>Önceki taslak: Gölge
Yeni ana ırk: Gölge
Güçlü — isim/hikâye
Görsel: Enerji/soyut varlık</t>
        </r>
      </text>
    </comment>
    <comment ref="L46" authorId="0" shapeId="0" xr:uid="{00000000-0006-0000-0E00-000071000000}">
      <text>
        <r>
          <rPr>
            <sz val="10"/>
            <rFont val="Arial"/>
            <family val="2"/>
            <charset val="162"/>
          </rPr>
          <t>Bu sekmedeki önceki hikâye (girdi dosyasından korunmuştur):
Mistik Yoldas'dan kalan iz, onun büyüsünde yasaya dönüştü.</t>
        </r>
      </text>
    </comment>
    <comment ref="F47" authorId="0" shapeId="0" xr:uid="{00000000-0006-0000-0E00-000072000000}">
      <text>
        <r>
          <rPr>
            <sz val="10"/>
            <rFont val="Arial"/>
            <family val="2"/>
            <charset val="162"/>
          </rPr>
          <t>Önceki taslak: Astral
Yeni ana ırk: Astral
Güçlü — isim/hikâye
Görsel: Ateş/element varlığı</t>
        </r>
      </text>
    </comment>
    <comment ref="L47" authorId="0" shapeId="0" xr:uid="{00000000-0006-0000-0E00-000073000000}">
      <text>
        <r>
          <rPr>
            <sz val="10"/>
            <rFont val="Arial"/>
            <family val="2"/>
            <charset val="162"/>
          </rPr>
          <t>Bu sekmedeki önceki hikâye (girdi dosyasından korunmuştur):
Derin Arkan Defteri sayfasını yakmadı; kenarına yeni evren kuralı ekledi.</t>
        </r>
      </text>
    </comment>
    <comment ref="F48" authorId="0" shapeId="0" xr:uid="{00000000-0006-0000-0E00-000074000000}">
      <text>
        <r>
          <rPr>
            <sz val="10"/>
            <rFont val="Arial"/>
            <family val="2"/>
            <charset val="162"/>
          </rPr>
          <t>Önceki taslak: Mutant
Yeni ana ırk: Mutant
Güçlü — görsel
Görsel: Mutant/golem-insansı</t>
        </r>
      </text>
    </comment>
    <comment ref="H48" authorId="0" shapeId="0" xr:uid="{00000000-0006-0000-0E00-000075000000}">
      <text>
        <r>
          <rPr>
            <sz val="10"/>
            <rFont val="Arial"/>
            <family val="2"/>
            <charset val="162"/>
          </rPr>
          <t>Önceki element: Arkan
Yeni element: Savaş
Sınıflar arası dağılım için karakter adı, hikâyesi ve mevcut yetenek temaları birlikte değerlendirildi.</t>
        </r>
      </text>
    </comment>
    <comment ref="L48" authorId="0" shapeId="0" xr:uid="{00000000-0006-0000-0E00-000076000000}">
      <text>
        <r>
          <rPr>
            <sz val="10"/>
            <rFont val="Arial"/>
            <family val="2"/>
            <charset val="162"/>
          </rPr>
          <t>Bu sekmedeki önceki hikâye (girdi dosyasından korunmuştur):
Derin Arkan Defteri sayfasını yakmadı; kenarına yeni evren kuralı ekledi.</t>
        </r>
      </text>
    </comment>
    <comment ref="F49" authorId="0" shapeId="0" xr:uid="{00000000-0006-0000-0E00-000077000000}">
      <text>
        <r>
          <rPr>
            <sz val="10"/>
            <rFont val="Arial"/>
            <family val="2"/>
            <charset val="162"/>
          </rPr>
          <t>Önceki taslak: Astral
Yeni ana ırk: Astral
Güçlü — isim/hikâye
Görsel: Enerji/soyut varlık</t>
        </r>
      </text>
    </comment>
    <comment ref="L49" authorId="0" shapeId="0" xr:uid="{00000000-0006-0000-0E00-000078000000}">
      <text>
        <r>
          <rPr>
            <sz val="10"/>
            <rFont val="Arial"/>
            <family val="2"/>
            <charset val="162"/>
          </rPr>
          <t>Bu sekmedeki önceki hikâye (girdi dosyasından korunmuştur):
Büyüyü emir değil kanıt yaptı; o hüküm ikinci kez silinemedi.</t>
        </r>
      </text>
    </comment>
    <comment ref="F50" authorId="0" shapeId="0" xr:uid="{00000000-0006-0000-0E00-000079000000}">
      <text>
        <r>
          <rPr>
            <sz val="10"/>
            <rFont val="Arial"/>
            <family val="2"/>
            <charset val="162"/>
          </rPr>
          <t>Önceki taslak: İnsan
Yeni ana ırk: İnsan
Güçlü — isim/hikâye
Görsel: İnsan görünümlü</t>
        </r>
      </text>
    </comment>
    <comment ref="L50" authorId="0" shapeId="0" xr:uid="{00000000-0006-0000-0E00-00007A000000}">
      <text>
        <r>
          <rPr>
            <sz val="10"/>
            <rFont val="Arial"/>
            <family val="2"/>
            <charset val="162"/>
          </rPr>
          <t>Bu sekmedeki önceki hikâye (girdi dosyasından korunmuştur):
Karanlıkla pazarlık etmedi; ışığın sakladığı hükmü okudu.</t>
        </r>
      </text>
    </comment>
    <comment ref="F51" authorId="0" shapeId="0" xr:uid="{00000000-0006-0000-0E00-00007B000000}">
      <text>
        <r>
          <rPr>
            <sz val="10"/>
            <rFont val="Arial"/>
            <family val="2"/>
            <charset val="162"/>
          </rPr>
          <t>Önceki taslak: İnsan
Yeni ana ırk: İnsan
Güçlü — isim/hikâye
Görsel: İnsan görünümlü</t>
        </r>
      </text>
    </comment>
    <comment ref="H51" authorId="0" shapeId="0" xr:uid="{00000000-0006-0000-0E00-00007C000000}">
      <text>
        <r>
          <rPr>
            <sz val="10"/>
            <rFont val="Arial"/>
            <family val="2"/>
            <charset val="162"/>
          </rPr>
          <t>Önceki element: Zaman
Yeni element: Astral
Başka dünyaya açılan boyut kapısı.</t>
        </r>
      </text>
    </comment>
    <comment ref="L51" authorId="0" shapeId="0" xr:uid="{00000000-0006-0000-0E00-00007D000000}">
      <text>
        <r>
          <rPr>
            <sz val="10"/>
            <rFont val="Arial"/>
            <family val="2"/>
            <charset val="162"/>
          </rPr>
          <t>Bu sekmedeki önceki hikâye (girdi dosyasından korunmuştur):
Sözleri büyü değildi; büyünün bile boyun eğdiği kayıttı.</t>
        </r>
      </text>
    </comment>
    <comment ref="F52" authorId="0" shapeId="0" xr:uid="{00000000-0006-0000-0E00-00007E000000}">
      <text>
        <r>
          <rPr>
            <sz val="10"/>
            <rFont val="Arial"/>
            <family val="2"/>
            <charset val="162"/>
          </rPr>
          <t>Önceki taslak: Sürüngensoy
Yeni ana ırk: Sürüngensoy
Kesin — kullanıcı onayı/kuralı
Görsel: Yılan/sürüngen-insansı</t>
        </r>
      </text>
    </comment>
    <comment ref="L52" authorId="0" shapeId="0" xr:uid="{00000000-0006-0000-0E00-00007F000000}">
      <text>
        <r>
          <rPr>
            <sz val="10"/>
            <rFont val="Arial"/>
            <family val="2"/>
            <charset val="162"/>
          </rPr>
          <t>Bu sekmedeki önceki hikâye (girdi dosyasından korunmuştur):
Rünler sustu; gerçek güç değil, saklanan borç konuştu.</t>
        </r>
      </text>
    </comment>
    <comment ref="F53" authorId="0" shapeId="0" xr:uid="{00000000-0006-0000-0E00-000080000000}">
      <text>
        <r>
          <rPr>
            <sz val="10"/>
            <rFont val="Arial"/>
            <family val="2"/>
            <charset val="162"/>
          </rPr>
          <t>Önceki taslak: Mutant
Yeni ana ırk: Böceksırt
Kesin — kullanıcı onayı/kuralı
Görsel: Böcek/araknid varlık | Dağılım revizyonu: Mutant → Böceksırt.</t>
        </r>
      </text>
    </comment>
    <comment ref="L53" authorId="0" shapeId="0" xr:uid="{00000000-0006-0000-0E00-000081000000}">
      <text>
        <r>
          <rPr>
            <sz val="10"/>
            <rFont val="Arial"/>
            <family val="2"/>
            <charset val="162"/>
          </rPr>
          <t>Bu sekmedeki önceki hikâye (girdi dosyasından korunmuştur):
Kadim Fırtına Divanı yırtıldı; parçaları geleceğin tek cümlesine dikti.</t>
        </r>
      </text>
    </comment>
    <comment ref="F54" authorId="0" shapeId="0" xr:uid="{00000000-0006-0000-0E00-000082000000}">
      <text>
        <r>
          <rPr>
            <sz val="10"/>
            <rFont val="Arial"/>
            <family val="2"/>
            <charset val="162"/>
          </rPr>
          <t>Önceki taslak: İnsan
Yeni ana ırk: İnsan
Güçlü — isim/hikâye
Görsel: İnsan görünümlü</t>
        </r>
      </text>
    </comment>
    <comment ref="L54" authorId="0" shapeId="0" xr:uid="{00000000-0006-0000-0E00-000083000000}">
      <text>
        <r>
          <rPr>
            <sz val="10"/>
            <rFont val="Arial"/>
            <family val="2"/>
            <charset val="162"/>
          </rPr>
          <t>Bu sekmedeki önceki hikâye (girdi dosyasından korunmuştur):
Kadim Zaman Düğümü kapanmadı; onun eliyle yeni bir yasa doğurdu.</t>
        </r>
      </text>
    </comment>
    <comment ref="F55" authorId="0" shapeId="0" xr:uid="{00000000-0006-0000-0E00-000084000000}">
      <text>
        <r>
          <rPr>
            <sz val="10"/>
            <rFont val="Arial"/>
            <family val="2"/>
            <charset val="162"/>
          </rPr>
          <t>Önceki taslak: İnsan
Yeni ana ırk: İnsan
Güçlü — isim/hikâye
Görsel: İnsan görünümlü</t>
        </r>
      </text>
    </comment>
    <comment ref="L55" authorId="0" shapeId="0" xr:uid="{00000000-0006-0000-0E00-000085000000}">
      <text>
        <r>
          <rPr>
            <sz val="10"/>
            <rFont val="Arial"/>
            <family val="2"/>
            <charset val="162"/>
          </rPr>
          <t>Bu sekmedeki önceki hikâye (girdi dosyasından korunmuştur):
Efsanevi Iyilestirici'ın bıraktığı yarığı kapatmadı, kaderin rotasına bağladı.</t>
        </r>
      </text>
    </comment>
    <comment ref="F56" authorId="0" shapeId="0" xr:uid="{00000000-0006-0000-0E00-000086000000}">
      <text>
        <r>
          <rPr>
            <sz val="10"/>
            <rFont val="Arial"/>
            <family val="2"/>
            <charset val="162"/>
          </rPr>
          <t>Önceki taslak: Mutant
Yeni ana ırk: Mutant
Güçlü — isim/hikâye
Görsel: Ateş/element varlığı</t>
        </r>
      </text>
    </comment>
    <comment ref="L56" authorId="0" shapeId="0" xr:uid="{00000000-0006-0000-0E00-000087000000}">
      <text>
        <r>
          <rPr>
            <sz val="10"/>
            <rFont val="Arial"/>
            <family val="2"/>
            <charset val="162"/>
          </rPr>
          <t>Bu sekmedeki önceki hikâye (girdi dosyasından korunmuştur):
Büyüyü emir değil kanıt yaptı; o hüküm ikinci kez silinemedi.</t>
        </r>
      </text>
    </comment>
    <comment ref="F57" authorId="0" shapeId="0" xr:uid="{00000000-0006-0000-0E00-000088000000}">
      <text>
        <r>
          <rPr>
            <sz val="10"/>
            <rFont val="Arial"/>
            <family val="2"/>
            <charset val="162"/>
          </rPr>
          <t>Önceki taslak: Sürüngensoy
Yeni ana ırk: Sürüngensoy
Kesin — kullanıcı onayı/kuralı
Görsel: Ejder/kanatlı sürüngen-insansı</t>
        </r>
      </text>
    </comment>
    <comment ref="H57" authorId="0" shapeId="0" xr:uid="{00000000-0006-0000-0E00-000089000000}">
      <text>
        <r>
          <rPr>
            <sz val="10"/>
            <rFont val="Arial"/>
            <family val="2"/>
            <charset val="162"/>
          </rPr>
          <t>Önceki element: Arkan
Yeni element: Işık
Sınıflar arası dağılım için karakter adı, hikâyesi ve mevcut yetenek temaları birlikte değerlendirildi.</t>
        </r>
      </text>
    </comment>
    <comment ref="L57" authorId="0" shapeId="0" xr:uid="{00000000-0006-0000-0E00-00008A000000}">
      <text>
        <r>
          <rPr>
            <sz val="10"/>
            <rFont val="Arial"/>
            <family val="2"/>
            <charset val="162"/>
          </rPr>
          <t>Bu sekmedeki önceki hikâye (girdi dosyasından korunmuştur):
Kadim Arkan Defteri yırtıldı; parçaları geleceğin tek cümlesine dikti.</t>
        </r>
      </text>
    </comment>
    <comment ref="F58" authorId="0" shapeId="0" xr:uid="{00000000-0006-0000-0E00-00008B000000}">
      <text>
        <r>
          <rPr>
            <sz val="10"/>
            <rFont val="Arial"/>
            <family val="2"/>
            <charset val="162"/>
          </rPr>
          <t>Önceki taslak: Elf
Yeni ana ırk: Elf
Güçlü — görsel
Görsel: Elf görünümlü; İnsan görünümlü</t>
        </r>
      </text>
    </comment>
    <comment ref="H58" authorId="0" shapeId="0" xr:uid="{00000000-0006-0000-0E00-00008C000000}">
      <text>
        <r>
          <rPr>
            <sz val="10"/>
            <rFont val="Arial"/>
            <family val="2"/>
            <charset val="162"/>
          </rPr>
          <t>Önceki element: Arkan
Yeni element: Yaşam
Dünyanın ilk yarasını kapatabilecek büyü.</t>
        </r>
      </text>
    </comment>
    <comment ref="L58" authorId="0" shapeId="0" xr:uid="{00000000-0006-0000-0E00-00008D000000}">
      <text>
        <r>
          <rPr>
            <sz val="10"/>
            <rFont val="Arial"/>
            <family val="2"/>
            <charset val="162"/>
          </rPr>
          <t>Bu sekmedeki önceki hikâye (girdi dosyasından korunmuştur):
Kadim Sifaci'ın bıraktığı yarığı kapatmadı, kaderin rotasına bağladı.</t>
        </r>
      </text>
    </comment>
    <comment ref="F59" authorId="0" shapeId="0" xr:uid="{00000000-0006-0000-0E00-00008E000000}">
      <text>
        <r>
          <rPr>
            <sz val="10"/>
            <rFont val="Arial"/>
            <family val="2"/>
            <charset val="162"/>
          </rPr>
          <t>Önceki taslak: İnsan
Yeni ana ırk: İnsan
Güçlü — isim/hikâye
Görsel: İnsan görünümlü</t>
        </r>
      </text>
    </comment>
    <comment ref="L59" authorId="0" shapeId="0" xr:uid="{00000000-0006-0000-0E00-00008F000000}">
      <text>
        <r>
          <rPr>
            <sz val="10"/>
            <rFont val="Arial"/>
            <family val="2"/>
            <charset val="162"/>
          </rPr>
          <t>Bu sekmedeki önceki hikâye (girdi dosyasından korunmuştur):
Büyüyü emir değil kanıt yaptı; o hüküm ikinci kez silinemedi.</t>
        </r>
      </text>
    </comment>
    <comment ref="F60" authorId="0" shapeId="0" xr:uid="{00000000-0006-0000-0E00-000090000000}">
      <text>
        <r>
          <rPr>
            <sz val="10"/>
            <rFont val="Arial"/>
            <family val="2"/>
            <charset val="162"/>
          </rPr>
          <t>Önceki taslak: Astral
Yeni ana ırk: Astral
Kesin — kullanıcı onayı/kuralı
Kullanıcı doğrulaması: görsel Astral. | Görsel: Astral görünümlü</t>
        </r>
      </text>
    </comment>
    <comment ref="L60" authorId="0" shapeId="0" xr:uid="{00000000-0006-0000-0E00-000091000000}">
      <text>
        <r>
          <rPr>
            <sz val="10"/>
            <rFont val="Arial"/>
            <family val="2"/>
            <charset val="162"/>
          </rPr>
          <t>Bu sekmedeki önceki hikâye (girdi dosyasından korunmuştur):
Efsanevi Yıldız Geçidi kapanmadı; onun eliyle yeni bir yasa doğurdu.</t>
        </r>
      </text>
    </comment>
    <comment ref="F61" authorId="0" shapeId="0" xr:uid="{00000000-0006-0000-0E00-000092000000}">
      <text>
        <r>
          <rPr>
            <sz val="10"/>
            <rFont val="Arial"/>
            <family val="2"/>
            <charset val="162"/>
          </rPr>
          <t>Önceki taslak: İnsan
Yeni ana ırk: İnsan
Güçlü — isim/hikâye
Görsel: İnsan görünümlü</t>
        </r>
      </text>
    </comment>
    <comment ref="L61" authorId="0" shapeId="0" xr:uid="{00000000-0006-0000-0E00-000093000000}">
      <text>
        <r>
          <rPr>
            <sz val="10"/>
            <rFont val="Arial"/>
            <family val="2"/>
            <charset val="162"/>
          </rPr>
          <t>Bu sekmedeki önceki hikâye (girdi dosyasından korunmuştur):
Kaderi değiştirmedi; değişimin kime ait olduğunu kayda geçirdi.</t>
        </r>
      </text>
    </comment>
    <comment ref="F62" authorId="0" shapeId="0" xr:uid="{00000000-0006-0000-0E00-000094000000}">
      <text>
        <r>
          <rPr>
            <sz val="10"/>
            <rFont val="Arial"/>
            <family val="2"/>
            <charset val="162"/>
          </rPr>
          <t>Önceki taslak: Tanrısal
Yeni ana ırk: Tanrısal
Güçlü — isim/hikâye
Görsel: Melek/kanatlı insansı</t>
        </r>
      </text>
    </comment>
    <comment ref="L62" authorId="0" shapeId="0" xr:uid="{00000000-0006-0000-0E00-000095000000}">
      <text>
        <r>
          <rPr>
            <sz val="10"/>
            <rFont val="Arial"/>
            <family val="2"/>
            <charset val="162"/>
          </rPr>
          <t>Bu sekmedeki önceki hikâye (girdi dosyasından korunmuştur):
Tanrısal Arkan Defteri sayfasını yakmadı; kenarına yeni evren kuralı ekledi.</t>
        </r>
      </text>
    </comment>
    <comment ref="F63" authorId="0" shapeId="0" xr:uid="{00000000-0006-0000-0E00-000096000000}">
      <text>
        <r>
          <rPr>
            <sz val="10"/>
            <rFont val="Arial"/>
            <family val="2"/>
            <charset val="162"/>
          </rPr>
          <t>Önceki taslak: İnsan
Yeni ana ırk: Astral
Dengeleme — kontrol önerilir
Güvenli görsel eşleşmesi yok; isim ve hikâye kullanıldı. | Dağılım revizyonu: İnsan → Astral.</t>
        </r>
      </text>
    </comment>
    <comment ref="L63" authorId="0" shapeId="0" xr:uid="{00000000-0006-0000-0E00-000097000000}">
      <text>
        <r>
          <rPr>
            <sz val="10"/>
            <rFont val="Arial"/>
            <family val="2"/>
            <charset val="162"/>
          </rPr>
          <t>Bu sekmedeki önceki hikâye (girdi dosyasından korunmuştur):
Rünler sustu; gerçek güç değil, saklanan borç konuştu.</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Notion AI</author>
  </authors>
  <commentList>
    <comment ref="A1" authorId="0" shapeId="0" xr:uid="{00000000-0006-0000-0F00-000001000000}">
      <text>
        <r>
          <rPr>
            <sz val="10"/>
            <rFont val="Arial"/>
            <family val="2"/>
            <charset val="162"/>
          </rPr>
          <t>AYNA SAYFA: Güncellemeleri önce Tum_Karakterler_311 sayfasında yapın, sonra aynı ID satırına senkronlayın.</t>
        </r>
      </text>
    </comment>
    <comment ref="H1" authorId="0" shapeId="0" xr:uid="{00000000-0006-0000-0F00-000002000000}">
      <text>
        <r>
          <rPr>
            <sz val="10"/>
            <rFont val="Arial"/>
            <family val="2"/>
            <charset val="162"/>
          </rPr>
          <t>Element, sınıftan bağımsız bir güç kaynağı olarak dağıtıldı. Her sınıfta 19 elementin tamamı temsil edilir. Hikâyeler ve yetenek metinleri korunmuştur.</t>
        </r>
      </text>
    </comment>
    <comment ref="M1" authorId="0" shapeId="0" xr:uid="{00000000-0006-0000-0F00-000003000000}">
      <text>
        <r>
          <rPr>
            <sz val="10"/>
            <rFont val="Arial"/>
            <family val="2"/>
            <charset val="162"/>
          </rPr>
          <t>Boşluklar ve noktalama işaretleri dâhil karakter sayısıdır. Hikâye değiştirildiğinde otomatik hesaplanır.</t>
        </r>
      </text>
    </comment>
    <comment ref="N1" authorId="0" shapeId="0" xr:uid="{00000000-0006-0000-0F00-000004000000}">
      <text>
        <r>
          <rPr>
            <sz val="10"/>
            <rFont val="Arial"/>
            <family val="2"/>
            <charset val="162"/>
          </rPr>
          <t>Boşluklar ve noktalama dâhil en fazla 130 karakter. Metin değiştirildiğinde kontrol otomatik yenilenir.</t>
        </r>
      </text>
    </comment>
    <comment ref="F2" authorId="0" shapeId="0" xr:uid="{00000000-0006-0000-0F00-000005000000}">
      <text>
        <r>
          <rPr>
            <sz val="10"/>
            <rFont val="Arial"/>
            <family val="2"/>
            <charset val="162"/>
          </rPr>
          <t>Önceki taslak: Savaşçı İnsan
Yeni ana ırk: İnsan
Güçlü — isim/hikâye
Görsel: İnsan görünümlü</t>
        </r>
      </text>
    </comment>
    <comment ref="L2" authorId="0" shapeId="0" xr:uid="{00000000-0006-0000-0F00-000006000000}">
      <text>
        <r>
          <rPr>
            <sz val="10"/>
            <rFont val="Arial"/>
            <family val="2"/>
            <charset val="162"/>
          </rPr>
          <t>Bu sekmedeki önceki hikâye (girdi dosyasından korunmuştur):
Bir orduyu değil, yalanla kurulmuş zafer fikrini parçaladı.</t>
        </r>
      </text>
    </comment>
    <comment ref="F3" authorId="0" shapeId="0" xr:uid="{00000000-0006-0000-0F00-000007000000}">
      <text>
        <r>
          <rPr>
            <sz val="10"/>
            <rFont val="Arial"/>
            <family val="2"/>
            <charset val="162"/>
          </rPr>
          <t>Önceki taslak: Alevsoy
Yeni ana ırk: İnsan
Güçlü — isim/hikâye
Görsel: İnsan görünümlü</t>
        </r>
      </text>
    </comment>
    <comment ref="L3" authorId="0" shapeId="0" xr:uid="{00000000-0006-0000-0F00-000008000000}">
      <text>
        <r>
          <rPr>
            <sz val="10"/>
            <rFont val="Arial"/>
            <family val="2"/>
            <charset val="162"/>
          </rPr>
          <t>Bu sekmedeki önceki hikâye (girdi dosyasından korunmuştur):
Kızıl Antlaşma bitmedi; kılıcı kapanmamış sayfayı yeniden açtı.</t>
        </r>
      </text>
    </comment>
    <comment ref="F4" authorId="0" shapeId="0" xr:uid="{00000000-0006-0000-0F00-000009000000}">
      <text>
        <r>
          <rPr>
            <sz val="10"/>
            <rFont val="Arial"/>
            <family val="2"/>
            <charset val="162"/>
          </rPr>
          <t>Önceki taslak: İnsan
Yeni ana ırk: İnsan
Güçlü — isim/hikâye
Görsel: İnsan görünümlü</t>
        </r>
      </text>
    </comment>
    <comment ref="L4" authorId="0" shapeId="0" xr:uid="{00000000-0006-0000-0F00-00000A000000}">
      <text>
        <r>
          <rPr>
            <sz val="10"/>
            <rFont val="Arial"/>
            <family val="2"/>
            <charset val="162"/>
          </rPr>
          <t>Bu sekmedeki önceki hikâye (girdi dosyasından korunmuştur):
Kan Meydanı açıldığında ilk hamleyi değil, son bedeli seçti.</t>
        </r>
      </text>
    </comment>
    <comment ref="F5" authorId="0" shapeId="0" xr:uid="{00000000-0006-0000-0F00-00000B000000}">
      <text>
        <r>
          <rPr>
            <sz val="10"/>
            <rFont val="Arial"/>
            <family val="2"/>
            <charset val="162"/>
          </rPr>
          <t>Önceki taslak: İnsan
Yeni ana ırk: Canavar
Güçlü — görsel
Görsel: Kurt-insansı</t>
        </r>
      </text>
    </comment>
    <comment ref="H5" authorId="0" shapeId="0" xr:uid="{00000000-0006-0000-0F00-00000C000000}">
      <text>
        <r>
          <rPr>
            <sz val="10"/>
            <rFont val="Arial"/>
            <family val="2"/>
            <charset val="162"/>
          </rPr>
          <t>Önceki element: Savaş
Yeni element: Zaman
Sınıflar arası dağılım için karakter adı, hikâyesi ve mevcut yetenek temaları birlikte değerlendirildi.</t>
        </r>
      </text>
    </comment>
    <comment ref="L5" authorId="0" shapeId="0" xr:uid="{00000000-0006-0000-0F00-00000D000000}">
      <text>
        <r>
          <rPr>
            <sz val="10"/>
            <rFont val="Arial"/>
            <family val="2"/>
            <charset val="162"/>
          </rPr>
          <t>Bu sekmedeki önceki hikâye (girdi dosyasından korunmuştur):
Düşmanı yenmedi; eski antlaşmanın tanığını ortaya çıkardı.</t>
        </r>
      </text>
    </comment>
    <comment ref="F6" authorId="0" shapeId="0" xr:uid="{00000000-0006-0000-0F00-00000E000000}">
      <text>
        <r>
          <rPr>
            <sz val="10"/>
            <rFont val="Arial"/>
            <family val="2"/>
            <charset val="162"/>
          </rPr>
          <t>Önceki taslak: İnsan
Yeni ana ırk: İnsan
Güçlü — isim/hikâye
Görsel: İnsan görünümlü</t>
        </r>
      </text>
    </comment>
    <comment ref="L6" authorId="0" shapeId="0" xr:uid="{00000000-0006-0000-0F00-00000F000000}">
      <text>
        <r>
          <rPr>
            <sz val="10"/>
            <rFont val="Arial"/>
            <family val="2"/>
            <charset val="162"/>
          </rPr>
          <t>Bu sekmedeki önceki hikâye (girdi dosyasından korunmuştur):
Düşmanı yenmedi; eski antlaşmanın tanığını ortaya çıkardı.</t>
        </r>
      </text>
    </comment>
    <comment ref="F7" authorId="0" shapeId="0" xr:uid="{00000000-0006-0000-0F00-000010000000}">
      <text>
        <r>
          <rPr>
            <sz val="10"/>
            <rFont val="Arial"/>
            <family val="2"/>
            <charset val="162"/>
          </rPr>
          <t>Önceki taslak: Yıldızsoylu
Yeni ana ırk: İnsan
Güçlü — isim/hikâye
Görsel: İnsan görünümlü</t>
        </r>
      </text>
    </comment>
    <comment ref="L7" authorId="0" shapeId="0" xr:uid="{00000000-0006-0000-0F00-000011000000}">
      <text>
        <r>
          <rPr>
            <sz val="10"/>
            <rFont val="Arial"/>
            <family val="2"/>
            <charset val="162"/>
          </rPr>
          <t>Bu sekmedeki önceki hikâye (girdi dosyasından korunmuştur):
Hayat Akisi'ın sessizliğini kılıca çevirdi; meydan yeminle ölçüldü.</t>
        </r>
      </text>
    </comment>
    <comment ref="F8" authorId="0" shapeId="0" xr:uid="{00000000-0006-0000-0F00-000012000000}">
      <text>
        <r>
          <rPr>
            <sz val="10"/>
            <rFont val="Arial"/>
            <family val="2"/>
            <charset val="162"/>
          </rPr>
          <t>Önceki taslak: Işıkdoğan
Yeni ana ırk: İnsan
Güçlü — isim/hikâye
Görsel: İnsan görünümlü</t>
        </r>
      </text>
    </comment>
    <comment ref="L8" authorId="0" shapeId="0" xr:uid="{00000000-0006-0000-0F00-000013000000}">
      <text>
        <r>
          <rPr>
            <sz val="10"/>
            <rFont val="Arial"/>
            <family val="2"/>
            <charset val="162"/>
          </rPr>
          <t>Bu sekmedeki önceki hikâye (girdi dosyasından korunmuştur):
Gizlenen borç onun darbesiyle görünür oldu.</t>
        </r>
      </text>
    </comment>
    <comment ref="F9" authorId="0" shapeId="0" xr:uid="{00000000-0006-0000-0F00-000014000000}">
      <text>
        <r>
          <rPr>
            <sz val="10"/>
            <rFont val="Arial"/>
            <family val="2"/>
            <charset val="162"/>
          </rPr>
          <t>Önceki taslak: İnsan
Yeni ana ırk: İnsan
Güçlü — isim/hikâye
Görsel: İnsan görünümlü</t>
        </r>
      </text>
    </comment>
    <comment ref="L9" authorId="0" shapeId="0" xr:uid="{00000000-0006-0000-0F00-000015000000}">
      <text>
        <r>
          <rPr>
            <sz val="10"/>
            <rFont val="Arial"/>
            <family val="2"/>
            <charset val="162"/>
          </rPr>
          <t>Bu sekmedeki önceki hikâye (girdi dosyasından korunmuştur):
Sonsuz Sifaci'ın sessizliğini kılıca çevirdi; meydan yeminle ölçüldü.</t>
        </r>
      </text>
    </comment>
    <comment ref="F10" authorId="0" shapeId="0" xr:uid="{00000000-0006-0000-0F00-000016000000}">
      <text>
        <r>
          <rPr>
            <sz val="10"/>
            <rFont val="Arial"/>
            <family val="2"/>
            <charset val="162"/>
          </rPr>
          <t>Önceki taslak: Kaossoy
Yeni ana ırk: İnsan
Güçlü — isim/hikâye
Görsel: İnsan görünümlü</t>
        </r>
      </text>
    </comment>
    <comment ref="L10" authorId="0" shapeId="0" xr:uid="{00000000-0006-0000-0F00-000017000000}">
      <text>
        <r>
          <rPr>
            <sz val="10"/>
            <rFont val="Arial"/>
            <family val="2"/>
            <charset val="162"/>
          </rPr>
          <t>Bu sekmedeki önceki hikâye (girdi dosyasından korunmuştur):
Isik Yoldasi'ın sessizliğini kılıca çevirdi; meydan yeminle ölçüldü.</t>
        </r>
      </text>
    </comment>
    <comment ref="F11" authorId="0" shapeId="0" xr:uid="{00000000-0006-0000-0F00-000018000000}">
      <text>
        <r>
          <rPr>
            <sz val="10"/>
            <rFont val="Arial"/>
            <family val="2"/>
            <charset val="162"/>
          </rPr>
          <t>Önceki taslak: Fırtınasoy
Yeni ana ırk: Elf
Orta
Görsel: İnsan görünümlü | Dağılım revizyonu: İnsan → Elf.</t>
        </r>
      </text>
    </comment>
    <comment ref="L11" authorId="0" shapeId="0" xr:uid="{00000000-0006-0000-0F00-000019000000}">
      <text>
        <r>
          <rPr>
            <sz val="10"/>
            <rFont val="Arial"/>
            <family val="2"/>
            <charset val="162"/>
          </rPr>
          <t>Bu sekmedeki önceki hikâye (girdi dosyasından korunmuştur):
Doga Efendisi'ın sessizliğini kılıca çevirdi; meydan yeminle ölçüldü.</t>
        </r>
      </text>
    </comment>
    <comment ref="F12" authorId="0" shapeId="0" xr:uid="{00000000-0006-0000-0F00-00001A000000}">
      <text>
        <r>
          <rPr>
            <sz val="10"/>
            <rFont val="Arial"/>
            <family val="2"/>
            <charset val="162"/>
          </rPr>
          <t>Önceki taslak: Yıldızsoylu
Yeni ana ırk: Elf
Kesin — kullanıcı onayı/kuralı
Görsel: Elf görünümlü</t>
        </r>
      </text>
    </comment>
    <comment ref="H12" authorId="0" shapeId="0" xr:uid="{00000000-0006-0000-0F00-00001B000000}">
      <text>
        <r>
          <rPr>
            <sz val="10"/>
            <rFont val="Arial"/>
            <family val="2"/>
            <charset val="162"/>
          </rPr>
          <t>Önceki element: Işık
Yeni element: Astral
Sınıflar arası dağılım için karakter adı, hikâyesi ve mevcut yetenek temaları birlikte değerlendirildi.</t>
        </r>
      </text>
    </comment>
    <comment ref="L12" authorId="0" shapeId="0" xr:uid="{00000000-0006-0000-0F00-00001C000000}">
      <text>
        <r>
          <rPr>
            <sz val="10"/>
            <rFont val="Arial"/>
            <family val="2"/>
            <charset val="162"/>
          </rPr>
          <t>Bu sekmedeki önceki hikâye (girdi dosyasından korunmuştur):
Zihinsel Sifaci'a açılan yolda geri dönüşsüz kararın önünde yürüdü.</t>
        </r>
      </text>
    </comment>
    <comment ref="F13" authorId="0" shapeId="0" xr:uid="{00000000-0006-0000-0F00-00001D000000}">
      <text>
        <r>
          <rPr>
            <sz val="10"/>
            <rFont val="Arial"/>
            <family val="2"/>
            <charset val="162"/>
          </rPr>
          <t>Önceki taslak: Tanrısal Ölümsüz
Yeni ana ırk: Ölümsüz
Kesin — kullanıcı onayı/kuralı
Görsel: İnsan görünümlü</t>
        </r>
      </text>
    </comment>
    <comment ref="H13" authorId="0" shapeId="0" xr:uid="{00000000-0006-0000-0F00-00001E000000}">
      <text>
        <r>
          <rPr>
            <sz val="10"/>
            <rFont val="Arial"/>
            <family val="2"/>
            <charset val="162"/>
          </rPr>
          <t>Önceki element: Kaos
Yeni element: Yaşam
Sınıflar arası dağılım için karakter adı, hikâyesi ve mevcut yetenek temaları birlikte değerlendirildi.</t>
        </r>
      </text>
    </comment>
    <comment ref="L13" authorId="0" shapeId="0" xr:uid="{00000000-0006-0000-0F00-00001F000000}">
      <text>
        <r>
          <rPr>
            <sz val="10"/>
            <rFont val="Arial"/>
            <family val="2"/>
            <charset val="162"/>
          </rPr>
          <t>Bu sekmedeki önceki hikâye (girdi dosyasından korunmuştur):
Kaos Tacı bitmedi; kılıcı kapanmamış sayfayı yeniden açtı.</t>
        </r>
      </text>
    </comment>
    <comment ref="F14" authorId="0" shapeId="0" xr:uid="{00000000-0006-0000-0F00-000020000000}">
      <text>
        <r>
          <rPr>
            <sz val="10"/>
            <rFont val="Arial"/>
            <family val="2"/>
            <charset val="162"/>
          </rPr>
          <t>Önceki taslak: Fırtınasoy
Yeni ana ırk: İnsan
Güçlü — isim/hikâye
Görsel: İnsan görünümlü</t>
        </r>
      </text>
    </comment>
    <comment ref="H14" authorId="0" shapeId="0" xr:uid="{00000000-0006-0000-0F00-000021000000}">
      <text>
        <r>
          <rPr>
            <sz val="10"/>
            <rFont val="Arial"/>
            <family val="2"/>
            <charset val="162"/>
          </rPr>
          <t>Önceki element: Fırtına
Yeni element: Enerji
Sınıflar arası dağılım için karakter adı, hikâyesi ve mevcut yetenek temaları birlikte değerlendirildi.</t>
        </r>
      </text>
    </comment>
    <comment ref="L14" authorId="0" shapeId="0" xr:uid="{00000000-0006-0000-0F00-000022000000}">
      <text>
        <r>
          <rPr>
            <sz val="10"/>
            <rFont val="Arial"/>
            <family val="2"/>
            <charset val="162"/>
          </rPr>
          <t>Bu sekmedeki önceki hikâye (girdi dosyasından korunmuştur):
Fırtına Divanı üstüne çökerken kılıcı hüküm değil, hesap defteri oldu.</t>
        </r>
      </text>
    </comment>
    <comment ref="F15" authorId="0" shapeId="0" xr:uid="{00000000-0006-0000-0F00-000023000000}">
      <text>
        <r>
          <rPr>
            <sz val="10"/>
            <rFont val="Arial"/>
            <family val="2"/>
            <charset val="162"/>
          </rPr>
          <t>Önceki taslak: Savaşçı İnsan
Yeni ana ırk: İnsan
Güçlü — isim/hikâye
Görsel: İnsan görünümlü</t>
        </r>
      </text>
    </comment>
    <comment ref="L15" authorId="0" shapeId="0" xr:uid="{00000000-0006-0000-0F00-000024000000}">
      <text>
        <r>
          <rPr>
            <sz val="10"/>
            <rFont val="Arial"/>
            <family val="2"/>
            <charset val="162"/>
          </rPr>
          <t>Bu sekmedeki önceki hikâye (girdi dosyasından korunmuştur):
Kanı zafer için değil, kırılan soy sözünü yazmak için döküldü.</t>
        </r>
      </text>
    </comment>
    <comment ref="F16" authorId="0" shapeId="0" xr:uid="{00000000-0006-0000-0F00-000025000000}">
      <text>
        <r>
          <rPr>
            <sz val="10"/>
            <rFont val="Arial"/>
            <family val="2"/>
            <charset val="162"/>
          </rPr>
          <t>Önceki taslak: İnsan
Yeni ana ırk: Böceksırt
Kesin — kullanıcı onayı/kuralı
Güvenli görsel eşleşmesi yok; isim ve hikâye kullanıldı. | Dağılım revizyonu: İnsan → Böceksırt.</t>
        </r>
      </text>
    </comment>
    <comment ref="H16" authorId="0" shapeId="0" xr:uid="{00000000-0006-0000-0F00-000026000000}">
      <text>
        <r>
          <rPr>
            <sz val="10"/>
            <rFont val="Arial"/>
            <family val="2"/>
            <charset val="162"/>
          </rPr>
          <t>Önceki element: Gölge
Yeni element: Zehir
Pençe kullanan savaşçıya, sınıftan bağımsız zehir güç kaynağı atandı.</t>
        </r>
      </text>
    </comment>
    <comment ref="L16" authorId="0" shapeId="0" xr:uid="{00000000-0006-0000-0F00-000027000000}">
      <text>
        <r>
          <rPr>
            <sz val="10"/>
            <rFont val="Arial"/>
            <family val="2"/>
            <charset val="162"/>
          </rPr>
          <t>Bu sekmedeki önceki hikâye (girdi dosyasından korunmuştur):
Gizlenen borç onun darbesiyle görünür oldu.</t>
        </r>
      </text>
    </comment>
    <comment ref="F17" authorId="0" shapeId="0" xr:uid="{00000000-0006-0000-0F00-000028000000}">
      <text>
        <r>
          <rPr>
            <sz val="10"/>
            <rFont val="Arial"/>
            <family val="2"/>
            <charset val="162"/>
          </rPr>
          <t>Önceki taslak: Savaşçı İnsan
Yeni ana ırk: İnsan
Güçlü — isim/hikâye
Görsel: İnsan görünümlü</t>
        </r>
      </text>
    </comment>
    <comment ref="H17" authorId="0" shapeId="0" xr:uid="{00000000-0006-0000-0F00-000029000000}">
      <text>
        <r>
          <rPr>
            <sz val="10"/>
            <rFont val="Arial"/>
            <family val="2"/>
            <charset val="162"/>
          </rPr>
          <t>Önceki element: Savaş
Yeni element: Zihin
Sınıflar arası dağılım için karakter adı, hikâyesi ve mevcut yetenek temaları birlikte değerlendirildi.</t>
        </r>
      </text>
    </comment>
    <comment ref="L17" authorId="0" shapeId="0" xr:uid="{00000000-0006-0000-0F00-00002A000000}">
      <text>
        <r>
          <rPr>
            <sz val="10"/>
            <rFont val="Arial"/>
            <family val="2"/>
            <charset val="162"/>
          </rPr>
          <t>Bu sekmedeki önceki hikâye (girdi dosyasından korunmuştur):
Hayat Rehberi'ın sessizliğini kılıca çevirdi; meydan yeminle ölçüldü.</t>
        </r>
      </text>
    </comment>
    <comment ref="F18" authorId="0" shapeId="0" xr:uid="{00000000-0006-0000-0F00-00002B000000}">
      <text>
        <r>
          <rPr>
            <sz val="10"/>
            <rFont val="Arial"/>
            <family val="2"/>
            <charset val="162"/>
          </rPr>
          <t>Önceki taslak: İnsan
Yeni ana ırk: Canavar
Güçlü — görsel
Görsel: Aslan-insansı</t>
        </r>
      </text>
    </comment>
    <comment ref="L18" authorId="0" shapeId="0" xr:uid="{00000000-0006-0000-0F00-00002C000000}">
      <text>
        <r>
          <rPr>
            <sz val="10"/>
            <rFont val="Arial"/>
            <family val="2"/>
            <charset val="162"/>
          </rPr>
          <t>Bu sekmedeki önceki hikâye (girdi dosyasından korunmuştur):
Düşmanı yenmedi; eski antlaşmanın tanığını ortaya çıkardı.</t>
        </r>
      </text>
    </comment>
    <comment ref="F19" authorId="0" shapeId="0" xr:uid="{00000000-0006-0000-0F00-00002D000000}">
      <text>
        <r>
          <rPr>
            <sz val="10"/>
            <rFont val="Arial"/>
            <family val="2"/>
            <charset val="162"/>
          </rPr>
          <t>Önceki taslak: Ejdersoy
Yeni ana ırk: Sürüngensoy
Kesin — kullanıcı onayı/kuralı
Görsel: Ejder/kanatlı sürüngen-insansı | Dağılım revizyonu: Ejdersoy → Sürüngensoy.</t>
        </r>
      </text>
    </comment>
    <comment ref="H19" authorId="0" shapeId="0" xr:uid="{00000000-0006-0000-0F00-00002E000000}">
      <text>
        <r>
          <rPr>
            <sz val="10"/>
            <rFont val="Arial"/>
            <family val="2"/>
            <charset val="162"/>
          </rPr>
          <t>Önceki element: Savaş
Yeni element: Arkan
Sınıflar arası dağılım için karakter adı, hikâyesi ve mevcut yetenek temaları birlikte değerlendirildi.</t>
        </r>
      </text>
    </comment>
    <comment ref="L19" authorId="0" shapeId="0" xr:uid="{00000000-0006-0000-0F00-00002F000000}">
      <text>
        <r>
          <rPr>
            <sz val="10"/>
            <rFont val="Arial"/>
            <family val="2"/>
            <charset val="162"/>
          </rPr>
          <t>Bu sekmedeki önceki hikâye (girdi dosyasından korunmuştur):
Bir orduyu değil, yalanla kurulmuş zafer fikrini parçaladı.</t>
        </r>
      </text>
    </comment>
    <comment ref="F20" authorId="0" shapeId="0" xr:uid="{00000000-0006-0000-0F00-000030000000}">
      <text>
        <r>
          <rPr>
            <sz val="10"/>
            <rFont val="Arial"/>
            <family val="2"/>
            <charset val="162"/>
          </rPr>
          <t>Önceki taslak: Savaşçı İnsan
Yeni ana ırk: İnsan
Güçlü — isim/hikâye
Görsel: İnsan görünümlü</t>
        </r>
      </text>
    </comment>
    <comment ref="H20" authorId="0" shapeId="0" xr:uid="{00000000-0006-0000-0F00-000031000000}">
      <text>
        <r>
          <rPr>
            <sz val="10"/>
            <rFont val="Arial"/>
            <family val="2"/>
            <charset val="162"/>
          </rPr>
          <t>Önceki element: Savaş
Yeni element: Metal
Sınıflar arası dağılım için karakter adı, hikâyesi ve mevcut yetenek temaları birlikte değerlendirildi.</t>
        </r>
      </text>
    </comment>
    <comment ref="L20" authorId="0" shapeId="0" xr:uid="{00000000-0006-0000-0F00-000032000000}">
      <text>
        <r>
          <rPr>
            <sz val="10"/>
            <rFont val="Arial"/>
            <family val="2"/>
            <charset val="162"/>
          </rPr>
          <t>Bu sekmedeki önceki hikâye (girdi dosyasından korunmuştur):
Bir orduyu değil, yalanla kurulmuş zafer fikrini parçaladı.</t>
        </r>
      </text>
    </comment>
    <comment ref="F21" authorId="0" shapeId="0" xr:uid="{00000000-0006-0000-0F00-000033000000}">
      <text>
        <r>
          <rPr>
            <sz val="10"/>
            <rFont val="Arial"/>
            <family val="2"/>
            <charset val="162"/>
          </rPr>
          <t>Önceki taslak: Fırtınasoy
Yeni ana ırk: İnsan
Güçlü — isim/hikâye
Görsel: İnsan görünümlü</t>
        </r>
      </text>
    </comment>
    <comment ref="L21" authorId="0" shapeId="0" xr:uid="{00000000-0006-0000-0F00-000034000000}">
      <text>
        <r>
          <rPr>
            <sz val="10"/>
            <rFont val="Arial"/>
            <family val="2"/>
            <charset val="162"/>
          </rPr>
          <t>Bu sekmedeki önceki hikâye (girdi dosyasından korunmuştur):
Fırtına Divanı bitmedi; kılıcı kapanmamış sayfayı yeniden açtı.</t>
        </r>
      </text>
    </comment>
    <comment ref="F22" authorId="0" shapeId="0" xr:uid="{00000000-0006-0000-0F00-000035000000}">
      <text>
        <r>
          <rPr>
            <sz val="10"/>
            <rFont val="Arial"/>
            <family val="2"/>
            <charset val="162"/>
          </rPr>
          <t>Önceki taslak: Alevsoy
Yeni ana ırk: İnsan
Güçlü — isim/hikâye
Görsel: İnsan görünümlü</t>
        </r>
      </text>
    </comment>
    <comment ref="L22" authorId="0" shapeId="0" xr:uid="{00000000-0006-0000-0F00-000036000000}">
      <text>
        <r>
          <rPr>
            <sz val="10"/>
            <rFont val="Arial"/>
            <family val="2"/>
            <charset val="162"/>
          </rPr>
          <t>Bu sekmedeki önceki hikâye (girdi dosyasından korunmuştur):
Kanı zafer için değil, kırılan soy sözünü yazmak için döküldü.</t>
        </r>
      </text>
    </comment>
    <comment ref="F23" authorId="0" shapeId="0" xr:uid="{00000000-0006-0000-0F00-000037000000}">
      <text>
        <r>
          <rPr>
            <sz val="10"/>
            <rFont val="Arial"/>
            <family val="2"/>
            <charset val="162"/>
          </rPr>
          <t>Önceki taslak: İnsan
Yeni ana ırk: İnsan
Güçlü — isim/hikâye
Görsel: İnsan görünümlü</t>
        </r>
      </text>
    </comment>
    <comment ref="L23" authorId="0" shapeId="0" xr:uid="{00000000-0006-0000-0F00-000038000000}">
      <text>
        <r>
          <rPr>
            <sz val="10"/>
            <rFont val="Arial"/>
            <family val="2"/>
            <charset val="162"/>
          </rPr>
          <t>Bu sekmedeki önceki hikâye (girdi dosyasından korunmuştur):
Kan Meydanı üstüne çökerken kılıcı hüküm değil, hesap defteri oldu.</t>
        </r>
      </text>
    </comment>
    <comment ref="F24" authorId="0" shapeId="0" xr:uid="{00000000-0006-0000-0F00-000039000000}">
      <text>
        <r>
          <rPr>
            <sz val="10"/>
            <rFont val="Arial"/>
            <family val="2"/>
            <charset val="162"/>
          </rPr>
          <t>Önceki taslak: Savaşçı İnsan
Yeni ana ırk: Canavar
Güçlü — görsel
Görsel: Minotor</t>
        </r>
      </text>
    </comment>
    <comment ref="H24" authorId="0" shapeId="0" xr:uid="{00000000-0006-0000-0F00-00003A000000}">
      <text>
        <r>
          <rPr>
            <sz val="10"/>
            <rFont val="Arial"/>
            <family val="2"/>
            <charset val="162"/>
          </rPr>
          <t>Önceki element: Savaş
Yeni element: Denge
Sınıflar arası dağılım için karakter adı, hikâyesi ve mevcut yetenek temaları birlikte değerlendirildi.</t>
        </r>
      </text>
    </comment>
    <comment ref="L24" authorId="0" shapeId="0" xr:uid="{00000000-0006-0000-0F00-00003B000000}">
      <text>
        <r>
          <rPr>
            <sz val="10"/>
            <rFont val="Arial"/>
            <family val="2"/>
            <charset val="162"/>
          </rPr>
          <t>Bu sekmedeki önceki hikâye (girdi dosyasından korunmuştur):
Kanı zafer için değil, kırılan soy sözünü yazmak için döküldü.</t>
        </r>
      </text>
    </comment>
    <comment ref="F25" authorId="0" shapeId="0" xr:uid="{00000000-0006-0000-0F00-00003C000000}">
      <text>
        <r>
          <rPr>
            <sz val="10"/>
            <rFont val="Arial"/>
            <family val="2"/>
            <charset val="162"/>
          </rPr>
          <t>Önceki taslak: Işıkdoğan
Yeni ana ırk: Melek
Güçlü — görsel
Görsel: Melek/kanatlı insansı</t>
        </r>
      </text>
    </comment>
    <comment ref="L25" authorId="0" shapeId="0" xr:uid="{00000000-0006-0000-0F00-00003D000000}">
      <text>
        <r>
          <rPr>
            <sz val="10"/>
            <rFont val="Arial"/>
            <family val="2"/>
            <charset val="162"/>
          </rPr>
          <t>Bu sekmedeki önceki hikâye (girdi dosyasından korunmuştur):
Gizlenen borç onun darbesiyle görünür oldu.</t>
        </r>
      </text>
    </comment>
    <comment ref="F26" authorId="0" shapeId="0" xr:uid="{00000000-0006-0000-0F00-00003E000000}">
      <text>
        <r>
          <rPr>
            <sz val="10"/>
            <rFont val="Arial"/>
            <family val="2"/>
            <charset val="162"/>
          </rPr>
          <t>Önceki taslak: Ejdersoy
Yeni ana ırk: Ejdersoy
Güçlü — görsel
Görsel: Ejder/kanatlı sürüngen-insansı</t>
        </r>
      </text>
    </comment>
    <comment ref="H26" authorId="0" shapeId="0" xr:uid="{00000000-0006-0000-0F00-00003F000000}">
      <text>
        <r>
          <rPr>
            <sz val="10"/>
            <rFont val="Arial"/>
            <family val="2"/>
            <charset val="162"/>
          </rPr>
          <t>Önceki element: Savaş
Yeni element: Arkan
Sınıflar arası dağılım için karakter adı, hikâyesi ve mevcut yetenek temaları birlikte değerlendirildi.</t>
        </r>
      </text>
    </comment>
    <comment ref="L26" authorId="0" shapeId="0" xr:uid="{00000000-0006-0000-0F00-000040000000}">
      <text>
        <r>
          <rPr>
            <sz val="10"/>
            <rFont val="Arial"/>
            <family val="2"/>
            <charset val="162"/>
          </rPr>
          <t>Bu sekmedeki önceki hikâye (girdi dosyasından korunmuştur):
Kutsal Sifaci'a açılan yolda geri dönüşsüz kararın önünde yürüdü.</t>
        </r>
      </text>
    </comment>
    <comment ref="F27" authorId="0" shapeId="0" xr:uid="{00000000-0006-0000-0F00-000041000000}">
      <text>
        <r>
          <rPr>
            <sz val="10"/>
            <rFont val="Arial"/>
            <family val="2"/>
            <charset val="162"/>
          </rPr>
          <t>Önceki taslak: İnsan
Yeni ana ırk: İnsan
Güçlü — isim/hikâye
Görsel: İnsan görünümlü</t>
        </r>
      </text>
    </comment>
    <comment ref="L27" authorId="0" shapeId="0" xr:uid="{00000000-0006-0000-0F00-000042000000}">
      <text>
        <r>
          <rPr>
            <sz val="10"/>
            <rFont val="Arial"/>
            <family val="2"/>
            <charset val="162"/>
          </rPr>
          <t>Bu sekmedeki önceki hikâye (girdi dosyasından korunmuştur):
Meydan onu çağırmadı; o meydanın suskun hükmünü bozdu.</t>
        </r>
      </text>
    </comment>
    <comment ref="F28" authorId="0" shapeId="0" xr:uid="{00000000-0006-0000-0F00-000043000000}">
      <text>
        <r>
          <rPr>
            <sz val="10"/>
            <rFont val="Arial"/>
            <family val="2"/>
            <charset val="162"/>
          </rPr>
          <t>Önceki taslak: Savaşçı İnsan
Yeni ana ırk: İnsan
Güçlü — isim/hikâye
Görsel: İnsan görünümlü</t>
        </r>
      </text>
    </comment>
    <comment ref="L28" authorId="0" shapeId="0" xr:uid="{00000000-0006-0000-0F00-000044000000}">
      <text>
        <r>
          <rPr>
            <sz val="10"/>
            <rFont val="Arial"/>
            <family val="2"/>
            <charset val="162"/>
          </rPr>
          <t>Bu sekmedeki önceki hikâye (girdi dosyasından korunmuştur):
Meydan onu çağırmadı; o meydanın suskun hükmünü bozdu.</t>
        </r>
      </text>
    </comment>
    <comment ref="F29" authorId="0" shapeId="0" xr:uid="{00000000-0006-0000-0F00-000045000000}">
      <text>
        <r>
          <rPr>
            <sz val="10"/>
            <rFont val="Arial"/>
            <family val="2"/>
            <charset val="162"/>
          </rPr>
          <t>Önceki taslak: Fırtınasoy
Yeni ana ırk: İnsan
Güçlü — isim/hikâye
Görsel: İnsan görünümlü</t>
        </r>
      </text>
    </comment>
    <comment ref="L29" authorId="0" shapeId="0" xr:uid="{00000000-0006-0000-0F00-000046000000}">
      <text>
        <r>
          <rPr>
            <sz val="10"/>
            <rFont val="Arial"/>
            <family val="2"/>
            <charset val="162"/>
          </rPr>
          <t>Bu sekmedeki önceki hikâye (girdi dosyasından korunmuştur):
Felsefe Sifacisi'a açılan yolda geri dönüşsüz kararın önünde yürüdü.</t>
        </r>
      </text>
    </comment>
    <comment ref="F30" authorId="0" shapeId="0" xr:uid="{00000000-0006-0000-0F00-000047000000}">
      <text>
        <r>
          <rPr>
            <sz val="10"/>
            <rFont val="Arial"/>
            <family val="2"/>
            <charset val="162"/>
          </rPr>
          <t>Önceki taslak: Işıkdoğan
Yeni ana ırk: Canavar
Güçlü — görsel
Görsel: Hayvan/kanatlı hayvan-insansı</t>
        </r>
      </text>
    </comment>
    <comment ref="L30" authorId="0" shapeId="0" xr:uid="{00000000-0006-0000-0F00-000048000000}">
      <text>
        <r>
          <rPr>
            <sz val="10"/>
            <rFont val="Arial"/>
            <family val="2"/>
            <charset val="162"/>
          </rPr>
          <t>Bu sekmedeki önceki hikâye (girdi dosyasından korunmuştur):
Meydan onu çağırmadı; o meydanın suskun hükmünü bozdu.</t>
        </r>
      </text>
    </comment>
    <comment ref="F31" authorId="0" shapeId="0" xr:uid="{00000000-0006-0000-0F00-000049000000}">
      <text>
        <r>
          <rPr>
            <sz val="10"/>
            <rFont val="Arial"/>
            <family val="2"/>
            <charset val="162"/>
          </rPr>
          <t>Önceki taslak: İnsan
Yeni ana ırk: Elf
Güçlü — görsel
Görsel: Elf görünümlü</t>
        </r>
      </text>
    </comment>
    <comment ref="H31" authorId="0" shapeId="0" xr:uid="{00000000-0006-0000-0F00-00004A000000}">
      <text>
        <r>
          <rPr>
            <sz val="10"/>
            <rFont val="Arial"/>
            <family val="2"/>
            <charset val="162"/>
          </rPr>
          <t>Önceki element: Savaş
Yeni element: Doğa
Sınıflar arası dağılım için karakter adı, hikâyesi ve mevcut yetenek temaları birlikte değerlendirildi.</t>
        </r>
      </text>
    </comment>
    <comment ref="L31" authorId="0" shapeId="0" xr:uid="{00000000-0006-0000-0F00-00004B000000}">
      <text>
        <r>
          <rPr>
            <sz val="10"/>
            <rFont val="Arial"/>
            <family val="2"/>
            <charset val="162"/>
          </rPr>
          <t>Bu sekmedeki önceki hikâye (girdi dosyasından korunmuştur):
Doga Ustasi'ın sessizliğini kılıca çevirdi; meydan yeminle ölçüldü.</t>
        </r>
      </text>
    </comment>
    <comment ref="F32" authorId="0" shapeId="0" xr:uid="{00000000-0006-0000-0F00-00004C000000}">
      <text>
        <r>
          <rPr>
            <sz val="10"/>
            <rFont val="Arial"/>
            <family val="2"/>
            <charset val="162"/>
          </rPr>
          <t>Önceki taslak: Fırtınasoy
Yeni ana ırk: Astral
Dengeleme — kontrol önerilir
Görsel: İnsan görünümlü | Dağılım revizyonu: İnsan → Astral.</t>
        </r>
      </text>
    </comment>
    <comment ref="L32" authorId="0" shapeId="0" xr:uid="{00000000-0006-0000-0F00-00004D000000}">
      <text>
        <r>
          <rPr>
            <sz val="10"/>
            <rFont val="Arial"/>
            <family val="2"/>
            <charset val="162"/>
          </rPr>
          <t>Bu sekmedeki önceki hikâye (girdi dosyasından korunmuştur):
Meydan onu çağırmadı; o meydanın suskun hükmünü bozdu.</t>
        </r>
      </text>
    </comment>
    <comment ref="F33" authorId="0" shapeId="0" xr:uid="{00000000-0006-0000-0F00-00004E000000}">
      <text>
        <r>
          <rPr>
            <sz val="10"/>
            <rFont val="Arial"/>
            <family val="2"/>
            <charset val="162"/>
          </rPr>
          <t>Önceki taslak: Savaşçı İnsan
Yeni ana ırk: İnsan
Güçlü — isim/hikâye
Görsel: İnsan görünümlü</t>
        </r>
      </text>
    </comment>
    <comment ref="L33" authorId="0" shapeId="0" xr:uid="{00000000-0006-0000-0F00-00004F000000}">
      <text>
        <r>
          <rPr>
            <sz val="10"/>
            <rFont val="Arial"/>
            <family val="2"/>
            <charset val="162"/>
          </rPr>
          <t>Bu sekmedeki önceki hikâye (girdi dosyasından korunmuştur):
Kanı zafer için değil, kırılan soy sözünü yazmak için döküldü.</t>
        </r>
      </text>
    </comment>
    <comment ref="F34" authorId="0" shapeId="0" xr:uid="{00000000-0006-0000-0F00-000050000000}">
      <text>
        <r>
          <rPr>
            <sz val="10"/>
            <rFont val="Arial"/>
            <family val="2"/>
            <charset val="162"/>
          </rPr>
          <t>Önceki taslak: Alevsoy
Yeni ana ırk: Canavar
Orta
Güvenli görsel eşleşmesi yok; isim ve hikâye kullanıldı. | Dağılım revizyonu: İnsan → Canavar.</t>
        </r>
      </text>
    </comment>
    <comment ref="L34" authorId="0" shapeId="0" xr:uid="{00000000-0006-0000-0F00-000051000000}">
      <text>
        <r>
          <rPr>
            <sz val="10"/>
            <rFont val="Arial"/>
            <family val="2"/>
            <charset val="162"/>
          </rPr>
          <t>Bu sekmedeki önceki hikâye (girdi dosyasından korunmuştur):
Bir orduyu değil, yalanla kurulmuş zafer fikrini parçaladı.</t>
        </r>
      </text>
    </comment>
    <comment ref="F35" authorId="0" shapeId="0" xr:uid="{00000000-0006-0000-0F00-000052000000}">
      <text>
        <r>
          <rPr>
            <sz val="10"/>
            <rFont val="Arial"/>
            <family val="2"/>
            <charset val="162"/>
          </rPr>
          <t>Önceki taslak: Fırtınasoy
Yeni ana ırk: Canavar
Orta
Güvenli görsel eşleşmesi yok; isim ve hikâye kullanıldı. | Dağılım revizyonu: İnsan → Canavar.</t>
        </r>
      </text>
    </comment>
    <comment ref="L35" authorId="0" shapeId="0" xr:uid="{00000000-0006-0000-0F00-000053000000}">
      <text>
        <r>
          <rPr>
            <sz val="10"/>
            <rFont val="Arial"/>
            <family val="2"/>
            <charset val="162"/>
          </rPr>
          <t>Bu sekmedeki önceki hikâye (girdi dosyasından korunmuştur):
Bir orduyu değil, yalanla kurulmuş zafer fikrini parçaladı.</t>
        </r>
      </text>
    </comment>
    <comment ref="F36" authorId="0" shapeId="0" xr:uid="{00000000-0006-0000-0F00-000054000000}">
      <text>
        <r>
          <rPr>
            <sz val="10"/>
            <rFont val="Arial"/>
            <family val="2"/>
            <charset val="162"/>
          </rPr>
          <t>Önceki taslak: İnsan
Yeni ana ırk: Canavar
Orta
Güvenli görsel eşleşmesi yok; isim ve hikâye kullanıldı. | Dağılım revizyonu: İnsan → Canavar.</t>
        </r>
      </text>
    </comment>
    <comment ref="H36" authorId="0" shapeId="0" xr:uid="{00000000-0006-0000-0F00-000055000000}">
      <text>
        <r>
          <rPr>
            <sz val="10"/>
            <rFont val="Arial"/>
            <family val="2"/>
            <charset val="162"/>
          </rPr>
          <t>Önceki element: Metal
Yeni element: Denge
Ustalığı güç ile denetim arasında kurması.</t>
        </r>
      </text>
    </comment>
    <comment ref="L36" authorId="0" shapeId="0" xr:uid="{00000000-0006-0000-0F00-000056000000}">
      <text>
        <r>
          <rPr>
            <sz val="10"/>
            <rFont val="Arial"/>
            <family val="2"/>
            <charset val="162"/>
          </rPr>
          <t>Bu sekmedeki önceki hikâye (girdi dosyasından korunmuştur):
Kanı zafer için değil, kırılan soy sözünü yazmak için döküldü.</t>
        </r>
      </text>
    </comment>
    <comment ref="F37" authorId="0" shapeId="0" xr:uid="{00000000-0006-0000-0F00-000057000000}">
      <text>
        <r>
          <rPr>
            <sz val="10"/>
            <rFont val="Arial"/>
            <family val="2"/>
            <charset val="162"/>
          </rPr>
          <t>Önceki taslak: Fırtınasoy
Yeni ana ırk: Mutant
Dengeleme — kontrol önerilir
Güvenli görsel eşleşmesi yok; isim ve hikâye kullanıldı. | Dağılım revizyonu: İnsan → Mutant.</t>
        </r>
      </text>
    </comment>
    <comment ref="H37" authorId="0" shapeId="0" xr:uid="{00000000-0006-0000-0F00-000058000000}">
      <text>
        <r>
          <rPr>
            <sz val="10"/>
            <rFont val="Arial"/>
            <family val="2"/>
            <charset val="162"/>
          </rPr>
          <t>Önceki element: Fırtına
Yeni element: Enerji
Sınıflar arası dağılım için karakter adı, hikâyesi ve mevcut yetenek temaları birlikte değerlendirildi.</t>
        </r>
      </text>
    </comment>
    <comment ref="L37" authorId="0" shapeId="0" xr:uid="{00000000-0006-0000-0F00-000059000000}">
      <text>
        <r>
          <rPr>
            <sz val="10"/>
            <rFont val="Arial"/>
            <family val="2"/>
            <charset val="162"/>
          </rPr>
          <t>Bu sekmedeki önceki hikâye (girdi dosyasından korunmuştur):
Kanı zafer için değil, kırılan soy sözünü yazmak için döküldü.</t>
        </r>
      </text>
    </comment>
    <comment ref="F38" authorId="0" shapeId="0" xr:uid="{00000000-0006-0000-0F00-00005A000000}">
      <text>
        <r>
          <rPr>
            <sz val="10"/>
            <rFont val="Arial"/>
            <family val="2"/>
            <charset val="162"/>
          </rPr>
          <t>Önceki taslak: Savaşçı İnsan
Yeni ana ırk: Dev
Kesin — kullanıcı onayı/kuralı
Güvenli görsel eşleşmesi yok; isim ve hikâye kullanıldı. | Dağılım revizyonu: İnsan → Dev.</t>
        </r>
      </text>
    </comment>
    <comment ref="L38" authorId="0" shapeId="0" xr:uid="{00000000-0006-0000-0F00-00005B000000}">
      <text>
        <r>
          <rPr>
            <sz val="10"/>
            <rFont val="Arial"/>
            <family val="2"/>
            <charset val="162"/>
          </rPr>
          <t>Bu sekmedeki önceki hikâye (girdi dosyasından korunmuştur):
Doganin Rehberi'ın sessizliğini kılıca çevirdi; meydan yeminle ölçüldü.</t>
        </r>
      </text>
    </comment>
    <comment ref="F39" authorId="0" shapeId="0" xr:uid="{00000000-0006-0000-0F00-00005C000000}">
      <text>
        <r>
          <rPr>
            <sz val="10"/>
            <rFont val="Arial"/>
            <family val="2"/>
            <charset val="162"/>
          </rPr>
          <t>Önceki taslak: Yıldızsoylu
Yeni ana ırk: Böceksırt
Kesin — kullanıcı onayı/kuralı
Güvenli görsel eşleşmesi yok; isim ve hikâye kullanıldı. | Dağılım revizyonu: İnsan → Böceksırt.</t>
        </r>
      </text>
    </comment>
    <comment ref="L39" authorId="0" shapeId="0" xr:uid="{00000000-0006-0000-0F00-00005D000000}">
      <text>
        <r>
          <rPr>
            <sz val="10"/>
            <rFont val="Arial"/>
            <family val="2"/>
            <charset val="162"/>
          </rPr>
          <t>Bu sekmedeki önceki hikâye (girdi dosyasından korunmuştur):
Derin Kutsal Yemin üstüne çökerken kılıcı hüküm değil, hesap defteri oldu.</t>
        </r>
      </text>
    </comment>
    <comment ref="F40" authorId="0" shapeId="0" xr:uid="{00000000-0006-0000-0F00-00005E000000}">
      <text>
        <r>
          <rPr>
            <sz val="10"/>
            <rFont val="Arial"/>
            <family val="2"/>
            <charset val="162"/>
          </rPr>
          <t>Önceki taslak: Ruhdoğan
Yeni ana ırk: Ölümsüz
Güçlü — isim/hikâye
Güvenli görsel eşleşmesi yok; isim ve hikâye kullanıldı.</t>
        </r>
      </text>
    </comment>
    <comment ref="L40" authorId="0" shapeId="0" xr:uid="{00000000-0006-0000-0F00-00005F000000}">
      <text>
        <r>
          <rPr>
            <sz val="10"/>
            <rFont val="Arial"/>
            <family val="2"/>
            <charset val="162"/>
          </rPr>
          <t>Bu sekmedeki önceki hikâye (girdi dosyasından korunmuştur):
Derin Ruh Mahkemesi üstüne çökerken kılıcı hüküm değil, hesap defteri oldu.</t>
        </r>
      </text>
    </comment>
    <comment ref="F41" authorId="0" shapeId="0" xr:uid="{00000000-0006-0000-0F00-000060000000}">
      <text>
        <r>
          <rPr>
            <sz val="10"/>
            <rFont val="Arial"/>
            <family val="2"/>
            <charset val="162"/>
          </rPr>
          <t>Önceki taslak: Savaşçı İnsan
Yeni ana ırk: Mutant
Dengeleme — kontrol önerilir
Güvenli görsel eşleşmesi yok; isim ve hikâye kullanıldı. | Dağılım revizyonu: İnsan → Mutant.</t>
        </r>
      </text>
    </comment>
    <comment ref="H41" authorId="0" shapeId="0" xr:uid="{00000000-0006-0000-0F00-000061000000}">
      <text>
        <r>
          <rPr>
            <sz val="10"/>
            <rFont val="Arial"/>
            <family val="2"/>
            <charset val="162"/>
          </rPr>
          <t>Önceki element: Savaş
Yeni element: Toprak
Sınıflar arası dağılım için karakter adı, hikâyesi ve mevcut yetenek temaları birlikte değerlendirildi.</t>
        </r>
      </text>
    </comment>
    <comment ref="L41" authorId="0" shapeId="0" xr:uid="{00000000-0006-0000-0F00-000062000000}">
      <text>
        <r>
          <rPr>
            <sz val="10"/>
            <rFont val="Arial"/>
            <family val="2"/>
            <charset val="162"/>
          </rPr>
          <t>Bu sekmedeki önceki hikâye (girdi dosyasından korunmuştur):
Meydan onu çağırmadı; o meydanın suskun hükmünü bozdu.</t>
        </r>
      </text>
    </comment>
    <comment ref="F42" authorId="0" shapeId="0" xr:uid="{00000000-0006-0000-0F00-000063000000}">
      <text>
        <r>
          <rPr>
            <sz val="10"/>
            <rFont val="Arial"/>
            <family val="2"/>
            <charset val="162"/>
          </rPr>
          <t>Önceki taslak: Kaossoy
Yeni ana ırk: Mutant
Orta
Güvenli görsel eşleşmesi yok; isim ve hikâye kullanıldı. | Dağılım revizyonu: İnsan → Mutant.</t>
        </r>
      </text>
    </comment>
    <comment ref="L42" authorId="0" shapeId="0" xr:uid="{00000000-0006-0000-0F00-000064000000}">
      <text>
        <r>
          <rPr>
            <sz val="10"/>
            <rFont val="Arial"/>
            <family val="2"/>
            <charset val="162"/>
          </rPr>
          <t>Bu sekmedeki önceki hikâye (girdi dosyasından korunmuştur):
Isigin Murekkep'ın sessizliğini kılıca çevirdi; meydan yeminle ölçüldü.</t>
        </r>
      </text>
    </comment>
    <comment ref="F43" authorId="0" shapeId="0" xr:uid="{00000000-0006-0000-0F00-000065000000}">
      <text>
        <r>
          <rPr>
            <sz val="10"/>
            <rFont val="Arial"/>
            <family val="2"/>
            <charset val="162"/>
          </rPr>
          <t>Önceki taslak: Yıldızsoylu
Yeni ana ırk: Astral
Güçlü — isim/hikâye
Güvenli görsel eşleşmesi yok; isim ve hikâye kullanıldı.</t>
        </r>
      </text>
    </comment>
    <comment ref="L43" authorId="0" shapeId="0" xr:uid="{00000000-0006-0000-0F00-000066000000}">
      <text>
        <r>
          <rPr>
            <sz val="10"/>
            <rFont val="Arial"/>
            <family val="2"/>
            <charset val="162"/>
          </rPr>
          <t>Bu sekmedeki önceki hikâye (girdi dosyasından korunmuştur):
Derin Yıldız Geçidi açıldığında ilk hamleyi değil, son bedeli seçti.</t>
        </r>
      </text>
    </comment>
    <comment ref="F44" authorId="0" shapeId="0" xr:uid="{00000000-0006-0000-0F00-000067000000}">
      <text>
        <r>
          <rPr>
            <sz val="10"/>
            <rFont val="Arial"/>
            <family val="2"/>
            <charset val="162"/>
          </rPr>
          <t>Önceki taslak: Ejdersoy
Yeni ana ırk: Sürüngensoy
Kesin — kullanıcı onayı/kuralı
Güvenli görsel eşleşmesi yok; isim ve hikâye kullanıldı. | Dağılım revizyonu: Ejdersoy → Sürüngensoy.</t>
        </r>
      </text>
    </comment>
    <comment ref="H44" authorId="0" shapeId="0" xr:uid="{00000000-0006-0000-0F00-000068000000}">
      <text>
        <r>
          <rPr>
            <sz val="10"/>
            <rFont val="Arial"/>
            <family val="2"/>
            <charset val="162"/>
          </rPr>
          <t>Önceki element: Savaş
Yeni element: Arkan
Sınıflar arası dağılım için karakter adı, hikâyesi ve mevcut yetenek temaları birlikte değerlendirildi.</t>
        </r>
      </text>
    </comment>
    <comment ref="L44" authorId="0" shapeId="0" xr:uid="{00000000-0006-0000-0F00-000069000000}">
      <text>
        <r>
          <rPr>
            <sz val="10"/>
            <rFont val="Arial"/>
            <family val="2"/>
            <charset val="162"/>
          </rPr>
          <t>Bu sekmedeki önceki hikâye (girdi dosyasından korunmuştur):
Kadim Ruh Koruyucusu'a açılan yolda geri dönüşsüz kararın önünde yürüdü.</t>
        </r>
      </text>
    </comment>
    <comment ref="F45" authorId="0" shapeId="0" xr:uid="{00000000-0006-0000-0F00-00006A000000}">
      <text>
        <r>
          <rPr>
            <sz val="10"/>
            <rFont val="Arial"/>
            <family val="2"/>
            <charset val="162"/>
          </rPr>
          <t>Önceki taslak: Fırtınasoy
Yeni ana ırk: Canavar
Orta
Güvenli görsel eşleşmesi yok; isim ve hikâye kullanıldı. | Dağılım revizyonu: İnsan → Canavar.</t>
        </r>
      </text>
    </comment>
    <comment ref="H45" authorId="0" shapeId="0" xr:uid="{00000000-0006-0000-0F00-00006B000000}">
      <text>
        <r>
          <rPr>
            <sz val="10"/>
            <rFont val="Arial"/>
            <family val="2"/>
            <charset val="162"/>
          </rPr>
          <t>Önceki element: Fırtına
Yeni element: Zaman
Sınıflar arası dağılım için karakter adı, hikâyesi ve mevcut yetenek temaları birlikte değerlendirildi.</t>
        </r>
      </text>
    </comment>
    <comment ref="L45" authorId="0" shapeId="0" xr:uid="{00000000-0006-0000-0F00-00006C000000}">
      <text>
        <r>
          <rPr>
            <sz val="10"/>
            <rFont val="Arial"/>
            <family val="2"/>
            <charset val="162"/>
          </rPr>
          <t>Bu sekmedeki önceki hikâye (girdi dosyasından korunmuştur):
Gizlenen borç onun darbesiyle görünür oldu.</t>
        </r>
      </text>
    </comment>
    <comment ref="F46" authorId="0" shapeId="0" xr:uid="{00000000-0006-0000-0F00-00006D000000}">
      <text>
        <r>
          <rPr>
            <sz val="10"/>
            <rFont val="Arial"/>
            <family val="2"/>
            <charset val="162"/>
          </rPr>
          <t>Önceki taslak: Yıldızsoylu
Yeni ana ırk: Astral
Güçlü — isim/hikâye
Güvenli görsel eşleşmesi yok; isim ve hikâye kullanıldı.</t>
        </r>
      </text>
    </comment>
    <comment ref="L46" authorId="0" shapeId="0" xr:uid="{00000000-0006-0000-0F00-00006E000000}">
      <text>
        <r>
          <rPr>
            <sz val="10"/>
            <rFont val="Arial"/>
            <family val="2"/>
            <charset val="162"/>
          </rPr>
          <t>Bu sekmedeki önceki hikâye (girdi dosyasından korunmuştur):
Gizlenen borç onun darbesiyle görünür oldu.</t>
        </r>
      </text>
    </comment>
    <comment ref="F47" authorId="0" shapeId="0" xr:uid="{00000000-0006-0000-0F00-00006F000000}">
      <text>
        <r>
          <rPr>
            <sz val="10"/>
            <rFont val="Arial"/>
            <family val="2"/>
            <charset val="162"/>
          </rPr>
          <t>Önceki taslak: Alevsoy
Yeni ana ırk: Dev
Dengeleme — kontrol önerilir
Güvenli görsel eşleşmesi yok; isim ve hikâye kullanıldı. | Dağılım revizyonu: İnsan → Dev.</t>
        </r>
      </text>
    </comment>
    <comment ref="L47" authorId="0" shapeId="0" xr:uid="{00000000-0006-0000-0F00-000070000000}">
      <text>
        <r>
          <rPr>
            <sz val="10"/>
            <rFont val="Arial"/>
            <family val="2"/>
            <charset val="162"/>
          </rPr>
          <t>Bu sekmedeki önceki hikâye (girdi dosyasından korunmuştur):
Meydan onu çağırmadı; o meydanın suskun hükmünü bozdu.</t>
        </r>
      </text>
    </comment>
    <comment ref="F48" authorId="0" shapeId="0" xr:uid="{00000000-0006-0000-0F00-000071000000}">
      <text>
        <r>
          <rPr>
            <sz val="10"/>
            <rFont val="Arial"/>
            <family val="2"/>
            <charset val="162"/>
          </rPr>
          <t>Önceki taslak: Savaşçı İnsan
Yeni ana ırk: Mutant
Dengeleme — kontrol önerilir
Güvenli görsel eşleşmesi yok; isim ve hikâye kullanıldı. | Dağılım revizyonu: İnsan → Mutant.</t>
        </r>
      </text>
    </comment>
    <comment ref="H48" authorId="0" shapeId="0" xr:uid="{00000000-0006-0000-0F00-000072000000}">
      <text>
        <r>
          <rPr>
            <sz val="10"/>
            <rFont val="Arial"/>
            <family val="2"/>
            <charset val="162"/>
          </rPr>
          <t>Önceki element: Savaş
Yeni element: Buz
Sınıflar arası dağılım için karakter adı, hikâyesi ve mevcut yetenek temaları birlikte değerlendirildi.</t>
        </r>
      </text>
    </comment>
    <comment ref="L48" authorId="0" shapeId="0" xr:uid="{00000000-0006-0000-0F00-000073000000}">
      <text>
        <r>
          <rPr>
            <sz val="10"/>
            <rFont val="Arial"/>
            <family val="2"/>
            <charset val="162"/>
          </rPr>
          <t>Bu sekmedeki önceki hikâye (girdi dosyasından korunmuştur):
Isigin Yukselisi'a açılan yolda geri dönüşsüz kararın önünde yürüdü.</t>
        </r>
      </text>
    </comment>
    <comment ref="F49" authorId="0" shapeId="0" xr:uid="{00000000-0006-0000-0F00-000074000000}">
      <text>
        <r>
          <rPr>
            <sz val="10"/>
            <rFont val="Arial"/>
            <family val="2"/>
            <charset val="162"/>
          </rPr>
          <t>Önceki taslak: İnsan
Yeni ana ırk: Tanrısal
Orta
Güvenli görsel eşleşmesi yok; isim ve hikâye kullanıldı. | Dağılım revizyonu: İnsan → Tanrısal.</t>
        </r>
      </text>
    </comment>
    <comment ref="H49" authorId="0" shapeId="0" xr:uid="{00000000-0006-0000-0F00-000075000000}">
      <text>
        <r>
          <rPr>
            <sz val="10"/>
            <rFont val="Arial"/>
            <family val="2"/>
            <charset val="162"/>
          </rPr>
          <t>Önceki element: Savaş
Yeni element: Yaşam
Sınıflar arası dağılım için karakter adı, hikâyesi ve mevcut yetenek temaları birlikte değerlendirildi.</t>
        </r>
      </text>
    </comment>
    <comment ref="L49" authorId="0" shapeId="0" xr:uid="{00000000-0006-0000-0F00-000076000000}">
      <text>
        <r>
          <rPr>
            <sz val="10"/>
            <rFont val="Arial"/>
            <family val="2"/>
            <charset val="162"/>
          </rPr>
          <t>Bu sekmedeki önceki hikâye (girdi dosyasından korunmuştur):
Gizlenen borç onun darbesiyle görünür oldu.</t>
        </r>
      </text>
    </comment>
    <comment ref="F50" authorId="0" shapeId="0" xr:uid="{00000000-0006-0000-0F00-000077000000}">
      <text>
        <r>
          <rPr>
            <sz val="10"/>
            <rFont val="Arial"/>
            <family val="2"/>
            <charset val="162"/>
          </rPr>
          <t>Önceki taslak: Savaşçı İnsan
Yeni ana ırk: Dev
Dengeleme — kontrol önerilir
Güvenli görsel eşleşmesi yok; isim ve hikâye kullanıldı. | Dağılım revizyonu: Gölge → Dev.</t>
        </r>
      </text>
    </comment>
    <comment ref="L50" authorId="0" shapeId="0" xr:uid="{00000000-0006-0000-0F00-000078000000}">
      <text>
        <r>
          <rPr>
            <sz val="10"/>
            <rFont val="Arial"/>
            <family val="2"/>
            <charset val="162"/>
          </rPr>
          <t>Bu sekmedeki önceki hikâye (girdi dosyasından korunmuştur):
Kadim Gölge Fermanı bitmedi; kılıcı kapanmamış sayfayı yeniden açtı.</t>
        </r>
      </text>
    </comment>
    <comment ref="F51" authorId="0" shapeId="0" xr:uid="{00000000-0006-0000-0F00-000079000000}">
      <text>
        <r>
          <rPr>
            <sz val="10"/>
            <rFont val="Arial"/>
            <family val="2"/>
            <charset val="162"/>
          </rPr>
          <t>Önceki taslak: Işıkdoğan
Yeni ana ırk: Dev
Dengeleme — kontrol önerilir
Güvenli görsel eşleşmesi yok; isim ve hikâye kullanıldı. | Dağılım revizyonu: İnsan → Dev.</t>
        </r>
      </text>
    </comment>
    <comment ref="L51" authorId="0" shapeId="0" xr:uid="{00000000-0006-0000-0F00-00007A000000}">
      <text>
        <r>
          <rPr>
            <sz val="10"/>
            <rFont val="Arial"/>
            <family val="2"/>
            <charset val="162"/>
          </rPr>
          <t>Bu sekmedeki önceki hikâye (girdi dosyasından korunmuştur):
Kadim Kutsal Yemin üstüne çökerken kılıcı hüküm değil, hesap defteri oldu.</t>
        </r>
      </text>
    </comment>
    <comment ref="F52" authorId="0" shapeId="0" xr:uid="{00000000-0006-0000-0F00-00007B000000}">
      <text>
        <r>
          <rPr>
            <sz val="10"/>
            <rFont val="Arial"/>
            <family val="2"/>
            <charset val="162"/>
          </rPr>
          <t>Önceki taslak: İnsan
Yeni ana ırk: Melek
Dengeleme — kontrol önerilir
Güvenli görsel eşleşmesi yok; isim ve hikâye kullanıldı. | Dağılım revizyonu: İnsan → Melek.</t>
        </r>
      </text>
    </comment>
    <comment ref="L52" authorId="0" shapeId="0" xr:uid="{00000000-0006-0000-0F00-00007C000000}">
      <text>
        <r>
          <rPr>
            <sz val="10"/>
            <rFont val="Arial"/>
            <family val="2"/>
            <charset val="162"/>
          </rPr>
          <t>Bu sekmedeki önceki hikâye (girdi dosyasından korunmuştur):
Yasam Ustasi'ın sessizliğini kılıca çevirdi; meydan yeminle ölçüldü.</t>
        </r>
      </text>
    </comment>
    <comment ref="F53" authorId="0" shapeId="0" xr:uid="{00000000-0006-0000-0F00-00007D000000}">
      <text>
        <r>
          <rPr>
            <sz val="10"/>
            <rFont val="Arial"/>
            <family val="2"/>
            <charset val="162"/>
          </rPr>
          <t>Önceki taslak: Savaşçı İnsan
Yeni ana ırk: Dev
Kesin — kullanıcı onayı/kuralı
Güvenli görsel eşleşmesi yok; isim ve hikâye kullanıldı. | Dağılım revizyonu: İnsan → Dev.</t>
        </r>
      </text>
    </comment>
    <comment ref="L53" authorId="0" shapeId="0" xr:uid="{00000000-0006-0000-0F00-00007E000000}">
      <text>
        <r>
          <rPr>
            <sz val="10"/>
            <rFont val="Arial"/>
            <family val="2"/>
            <charset val="162"/>
          </rPr>
          <t>Bu sekmedeki önceki hikâye (girdi dosyasından korunmuştur):
Kadim Çelik Yemin bitmedi; kılıcı kapanmamış sayfayı yeniden açtı.</t>
        </r>
      </text>
    </comment>
    <comment ref="F54" authorId="0" shapeId="0" xr:uid="{00000000-0006-0000-0F00-00007F000000}">
      <text>
        <r>
          <rPr>
            <sz val="10"/>
            <rFont val="Arial"/>
            <family val="2"/>
            <charset val="162"/>
          </rPr>
          <t>Önceki taslak: Fırtınasoy
Yeni ana ırk: Canavar
Güçlü — isim/hikâye
Güvenli görsel eşleşmesi yok; isim ve hikâye kullanıldı.</t>
        </r>
      </text>
    </comment>
    <comment ref="L54" authorId="0" shapeId="0" xr:uid="{00000000-0006-0000-0F00-000080000000}">
      <text>
        <r>
          <rPr>
            <sz val="10"/>
            <rFont val="Arial"/>
            <family val="2"/>
            <charset val="162"/>
          </rPr>
          <t>Bu sekmedeki önceki hikâye (girdi dosyasından korunmuştur):
Kadim Fırtına Divanı açıldığında ilk hamleyi değil, son bedeli seçti.</t>
        </r>
      </text>
    </comment>
    <comment ref="F55" authorId="0" shapeId="0" xr:uid="{00000000-0006-0000-0F00-000081000000}">
      <text>
        <r>
          <rPr>
            <sz val="10"/>
            <rFont val="Arial"/>
            <family val="2"/>
            <charset val="162"/>
          </rPr>
          <t>Önceki taslak: Alevsoy
Yeni ana ırk: Mutant
Dengeleme — kontrol önerilir
Güvenli görsel eşleşmesi yok; isim ve hikâye kullanıldı. | Dağılım revizyonu: İnsan → Mutant.</t>
        </r>
      </text>
    </comment>
    <comment ref="L55" authorId="0" shapeId="0" xr:uid="{00000000-0006-0000-0F00-000082000000}">
      <text>
        <r>
          <rPr>
            <sz val="10"/>
            <rFont val="Arial"/>
            <family val="2"/>
            <charset val="162"/>
          </rPr>
          <t>Bu sekmedeki önceki hikâye (girdi dosyasından korunmuştur):
Kanı zafer için değil, kırılan soy sözünü yazmak için döküldü.</t>
        </r>
      </text>
    </comment>
    <comment ref="F56" authorId="0" shapeId="0" xr:uid="{00000000-0006-0000-0F00-000083000000}">
      <text>
        <r>
          <rPr>
            <sz val="10"/>
            <rFont val="Arial"/>
            <family val="2"/>
            <charset val="162"/>
          </rPr>
          <t>Önceki taslak: Savaşçı İnsan
Yeni ana ırk: Dev
Kesin — kullanıcı onayı/kuralı
Güvenli görsel eşleşmesi yok; isim ve hikâye kullanıldı. | Dağılım revizyonu: İnsan → Dev.</t>
        </r>
      </text>
    </comment>
    <comment ref="H56" authorId="0" shapeId="0" xr:uid="{00000000-0006-0000-0F00-000084000000}">
      <text>
        <r>
          <rPr>
            <sz val="10"/>
            <rFont val="Arial"/>
            <family val="2"/>
            <charset val="162"/>
          </rPr>
          <t>Önceki element: Savaş
Yeni element: Yaşam
Sınıflar arası dağılım için karakter adı, hikâyesi ve mevcut yetenek temaları birlikte değerlendirildi.</t>
        </r>
      </text>
    </comment>
    <comment ref="L56" authorId="0" shapeId="0" xr:uid="{00000000-0006-0000-0F00-000085000000}">
      <text>
        <r>
          <rPr>
            <sz val="10"/>
            <rFont val="Arial"/>
            <family val="2"/>
            <charset val="162"/>
          </rPr>
          <t>Bu sekmedeki önceki hikâye (girdi dosyasından korunmuştur):
Sonsuz Yasamin Bekcisi'a açılan yolda geri dönüşsüz kararın önünde yürüdü.</t>
        </r>
      </text>
    </comment>
    <comment ref="F57" authorId="0" shapeId="0" xr:uid="{00000000-0006-0000-0F00-000086000000}">
      <text>
        <r>
          <rPr>
            <sz val="10"/>
            <rFont val="Arial"/>
            <family val="2"/>
            <charset val="162"/>
          </rPr>
          <t>Önceki taslak: Gölgedoğan
Yeni ana ırk: Gölge
Güçlü — isim/hikâye
Güvenli görsel eşleşmesi yok; isim ve hikâye kullanıldı.</t>
        </r>
      </text>
    </comment>
    <comment ref="L57" authorId="0" shapeId="0" xr:uid="{00000000-0006-0000-0F00-000087000000}">
      <text>
        <r>
          <rPr>
            <sz val="10"/>
            <rFont val="Arial"/>
            <family val="2"/>
            <charset val="162"/>
          </rPr>
          <t>Bu sekmedeki önceki hikâye (girdi dosyasından korunmuştur):
Bir orduyu değil, yalanla kurulmuş zafer fikrini parçaladı.</t>
        </r>
      </text>
    </comment>
    <comment ref="F58" authorId="0" shapeId="0" xr:uid="{00000000-0006-0000-0F00-000088000000}">
      <text>
        <r>
          <rPr>
            <sz val="10"/>
            <rFont val="Arial"/>
            <family val="2"/>
            <charset val="162"/>
          </rPr>
          <t>Önceki taslak: Işıkdoğan
Yeni ana ırk: Melek
Güçlü — isim/hikâye
Güvenli görsel eşleşmesi yok; isim ve hikâye kullanıldı.</t>
        </r>
      </text>
    </comment>
    <comment ref="L58" authorId="0" shapeId="0" xr:uid="{00000000-0006-0000-0F00-000089000000}">
      <text>
        <r>
          <rPr>
            <sz val="10"/>
            <rFont val="Arial"/>
            <family val="2"/>
            <charset val="162"/>
          </rPr>
          <t>Bu sekmedeki önceki hikâye (girdi dosyasından korunmuştur):
Bir orduyu değil, yalanla kurulmuş zafer fikrini parçaladı.</t>
        </r>
      </text>
    </comment>
    <comment ref="F59" authorId="0" shapeId="0" xr:uid="{00000000-0006-0000-0F00-00008A000000}">
      <text>
        <r>
          <rPr>
            <sz val="10"/>
            <rFont val="Arial"/>
            <family val="2"/>
            <charset val="162"/>
          </rPr>
          <t>Önceki taslak: Kaossoy
Yeni ana ırk: Mutant
Orta
Güvenli görsel eşleşmesi yok; isim ve hikâye kullanıldı. | Dağılım revizyonu: İnsan → Mutant.</t>
        </r>
      </text>
    </comment>
    <comment ref="L59" authorId="0" shapeId="0" xr:uid="{00000000-0006-0000-0F00-00008B000000}">
      <text>
        <r>
          <rPr>
            <sz val="10"/>
            <rFont val="Arial"/>
            <family val="2"/>
            <charset val="162"/>
          </rPr>
          <t>Bu sekmedeki önceki hikâye (girdi dosyasından korunmuştur):
Düşmanı yenmedi; eski antlaşmanın tanığını ortaya çıkardı.</t>
        </r>
      </text>
    </comment>
    <comment ref="F60" authorId="0" shapeId="0" xr:uid="{00000000-0006-0000-0F00-00008C000000}">
      <text>
        <r>
          <rPr>
            <sz val="10"/>
            <rFont val="Arial"/>
            <family val="2"/>
            <charset val="162"/>
          </rPr>
          <t>Önceki taslak: Savaşçı İnsan
Yeni ana ırk: Dev
Kesin — kullanıcı onayı/kuralı
Güvenli görsel eşleşmesi yok; isim ve hikâye kullanıldı. | Dağılım revizyonu: İnsan → Dev.</t>
        </r>
      </text>
    </comment>
    <comment ref="L60" authorId="0" shapeId="0" xr:uid="{00000000-0006-0000-0F00-00008D000000}">
      <text>
        <r>
          <rPr>
            <sz val="10"/>
            <rFont val="Arial"/>
            <family val="2"/>
            <charset val="162"/>
          </rPr>
          <t>Bu sekmedeki önceki hikâye (girdi dosyasından korunmuştur):
Düşmanı yenmedi; eski antlaşmanın tanığını ortaya çıkardı.</t>
        </r>
      </text>
    </comment>
    <comment ref="F61" authorId="0" shapeId="0" xr:uid="{00000000-0006-0000-0F00-00008E000000}">
      <text>
        <r>
          <rPr>
            <sz val="10"/>
            <rFont val="Arial"/>
            <family val="2"/>
            <charset val="162"/>
          </rPr>
          <t>Önceki taslak: Gölgedoğan
Yeni ana ırk: Gölge
Güçlü — isim/hikâye
Güvenli görsel eşleşmesi yok; isim ve hikâye kullanıldı.</t>
        </r>
      </text>
    </comment>
    <comment ref="L61" authorId="0" shapeId="0" xr:uid="{00000000-0006-0000-0F00-00008F000000}">
      <text>
        <r>
          <rPr>
            <sz val="10"/>
            <rFont val="Arial"/>
            <family val="2"/>
            <charset val="162"/>
          </rPr>
          <t>Bu sekmedeki önceki hikâye (girdi dosyasından korunmuştur):
Efsanevi Gölge Fermanı üstüne çökerken kılıcı hüküm değil, hesap defteri oldu.</t>
        </r>
      </text>
    </comment>
    <comment ref="F62" authorId="0" shapeId="0" xr:uid="{00000000-0006-0000-0F00-000090000000}">
      <text>
        <r>
          <rPr>
            <sz val="10"/>
            <rFont val="Arial"/>
            <family val="2"/>
            <charset val="162"/>
          </rPr>
          <t>Önceki taslak: İnsan
Yeni ana ırk: Tanrısal
Güçlü — isim/hikâye
Güvenli görsel eşleşmesi yok; isim ve hikâye kullanıldı.</t>
        </r>
      </text>
    </comment>
    <comment ref="L62" authorId="0" shapeId="0" xr:uid="{00000000-0006-0000-0F00-000091000000}">
      <text>
        <r>
          <rPr>
            <sz val="10"/>
            <rFont val="Arial"/>
            <family val="2"/>
            <charset val="162"/>
          </rPr>
          <t>Bu sekmedeki önceki hikâye (girdi dosyasından korunmuştur):
Bir orduyu değil, yalanla kurulmuş zafer fikrini parçaladı.</t>
        </r>
      </text>
    </comment>
    <comment ref="F63" authorId="0" shapeId="0" xr:uid="{00000000-0006-0000-0F00-000092000000}">
      <text>
        <r>
          <rPr>
            <sz val="10"/>
            <rFont val="Arial"/>
            <family val="2"/>
            <charset val="162"/>
          </rPr>
          <t>Önceki taslak: Kaossoy
Yeni ana ırk: Astral
Orta
Güvenli görsel eşleşmesi yok; isim ve hikâye kullanıldı.</t>
        </r>
      </text>
    </comment>
    <comment ref="L63" authorId="0" shapeId="0" xr:uid="{00000000-0006-0000-0F00-000093000000}">
      <text>
        <r>
          <rPr>
            <sz val="10"/>
            <rFont val="Arial"/>
            <family val="2"/>
            <charset val="162"/>
          </rPr>
          <t>Bu sekmedeki önceki hikâye (girdi dosyasından korunmuştur):
Gizlenen borç onun darbesiyle görünür oldu.</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Notion AI</author>
  </authors>
  <commentList>
    <comment ref="A1" authorId="0" shapeId="0" xr:uid="{00000000-0006-0000-1800-000001000000}">
      <text>
        <r>
          <rPr>
            <sz val="10"/>
            <rFont val="Arial"/>
            <family val="2"/>
            <charset val="162"/>
          </rPr>
          <t>Bu sayfa yeni ana karar listesidir. Son Karar ve Onay Notu kullanıcı onayı için bilerek boş bırakılmıştır. Ana sayfalardaki Irk sütunu şimdilik önerilen taslakla güncellenmiştir; eski etiketler bu sayfada ve hücre notlarında korunmuştur.</t>
        </r>
      </text>
    </comment>
  </commentList>
</comments>
</file>

<file path=xl/sharedStrings.xml><?xml version="1.0" encoding="utf-8"?>
<sst xmlns="http://schemas.openxmlformats.org/spreadsheetml/2006/main" count="15761" uniqueCount="2969">
  <si>
    <t>ID</t>
  </si>
  <si>
    <t>Karakter</t>
  </si>
  <si>
    <t>Sınıf</t>
  </si>
  <si>
    <t>Nadirlik</t>
  </si>
  <si>
    <t>Önem Derecesi</t>
  </si>
  <si>
    <t>Irk</t>
  </si>
  <si>
    <t>Cinsiyet</t>
  </si>
  <si>
    <t>Element</t>
  </si>
  <si>
    <t>Hikâye Düğümü</t>
  </si>
  <si>
    <t>Bağlantı Karakterleri</t>
  </si>
  <si>
    <t>Bağlantı Türü</t>
  </si>
  <si>
    <t>Hikâye</t>
  </si>
  <si>
    <t>Hikâye Harf Sayısı</t>
  </si>
  <si>
    <t>130 Kontrol</t>
  </si>
  <si>
    <t>Bağlantı Sayısı</t>
  </si>
  <si>
    <t>Profesyonel Not</t>
  </si>
  <si>
    <t>CIRAK_SIFACI</t>
  </si>
  <si>
    <t>Destek</t>
  </si>
  <si>
    <t>Yaygın</t>
  </si>
  <si>
    <t>İnsan</t>
  </si>
  <si>
    <t>Kadın</t>
  </si>
  <si>
    <t>Metal</t>
  </si>
  <si>
    <t>Demir Cephe</t>
  </si>
  <si>
    <t>CELIK_KILIC; DEMIR_MUHAFIZ; KIZIL_SAVASCI; Kutsal_Savunma; ATES_CIRAGI; Zehir_Bicagi_Insan; KANLI_GOLGE; Kaya_Bekcisi_hayvan</t>
  </si>
  <si>
    <t>Destek Ağı</t>
  </si>
  <si>
    <t>Çelik Kılıç'ı kurtarırken ustasını kaybetti. Artık zafer çığlıklarını değil, yardım isteyemeyen yaralıların sessizliğini dinler.</t>
  </si>
  <si>
    <t>Açılış yarası; destek sınıfının cepheye ilk gerçek etkisi.</t>
  </si>
  <si>
    <t>RUH_BEKCISI</t>
  </si>
  <si>
    <t>Erkek</t>
  </si>
  <si>
    <t>Ruh Borcu</t>
  </si>
  <si>
    <t>Olumsuz_Kilic; Demir_Asker_Tanrisal_Olumsuz; Tas_Yurekli_Tanrisal_Olumsuz; KARA_BUYUCUSU; Ruh_Yoneticisi; RUH_BICICI; Immortal_Shadow_golge; OLUMSUZ_KALKANLI_ASKER; Hayalet_Asker</t>
  </si>
  <si>
    <t>Ölümsüz Kılıç'ın ruhunu kendi canına bağladı. Kurtardığı bedenler yaşarken, ölülerin yarım kalan yeminleri uykusunu çalar.</t>
  </si>
  <si>
    <t>Ölümden sonra bile siyasi/ruhsal borç doğuran bağlantı.</t>
  </si>
  <si>
    <t>UMUT_TASIYICI</t>
  </si>
  <si>
    <t>Savaş</t>
  </si>
  <si>
    <t>Kutsal Taht</t>
  </si>
  <si>
    <t>Kutsal_Asker; Kutsal_Zirh; Tacsiz_Muhafiz; KUTSAL_KILIC; ZAFER_MELEGI; GOKYUZU_HAKIMI; ISIK_USTASI; Savunma_Prensesi_Insan; KUTSAL_MUHAFIZ</t>
  </si>
  <si>
    <t>Taht düşerken Kutsal Asker'e yalan söyledi: Yardım geliyor. Şimdi taşıdığı ışık, o sözü gerçeğe dönüştürmek için ettiği yemindir.</t>
  </si>
  <si>
    <t>Sıradan umut değil, ileride açılacak stratejik yemin.</t>
  </si>
  <si>
    <t>Sifa_Yildizi</t>
  </si>
  <si>
    <t>Elf</t>
  </si>
  <si>
    <t>Astral</t>
  </si>
  <si>
    <t>Yıldız ve Evren Yarığı</t>
  </si>
  <si>
    <t>Altin_Yildiz; Gok_Yildizi; Galaktik_Bilgisi; Astral_Savunucu; EVREN_BUYUCUSU; EVREN_KORUYUCUSU; Aetherin_Efendisi; BUYU_TANRISI; SAVAS_TANRISI; KAOS_SAMPIYONU</t>
  </si>
  <si>
    <t>Kaybolan kardeşini yıldız haritasında arar. Her şifada bir yıldız söner; kurtardığı canlar eve dönüş yolunu yavaşça siler.</t>
  </si>
  <si>
    <t>Astral harita üzerinden geri çağırma bağı.</t>
  </si>
  <si>
    <t>Umut_Alevi</t>
  </si>
  <si>
    <t>Ateş</t>
  </si>
  <si>
    <t>Alev ve Ejder Hattı</t>
  </si>
  <si>
    <t>Alevli_Savasci; ALEV_KILICI; Atesli_Kilic; Ates_Lordu; Alev_Krali; MAGMA_KORUYUCU; EJDER_PULLU_SOVALYE; Ejderha_Savascisi; Ejderha_Pencesi; ATES_CIRAGI</t>
  </si>
  <si>
    <t>Alev Kılıcı'nın yaktığı köyden son közü kurtardı. İntikam için sakladığı ateş, ilk yaralıyı iyileştirince ona başka bir yol açtı.</t>
  </si>
  <si>
    <t>Duygusal umut, askeri yasaya dönüşüyor.</t>
  </si>
  <si>
    <t>Hayat_Akisi</t>
  </si>
  <si>
    <t>Fırtına</t>
  </si>
  <si>
    <t>Yaşam ve Ölüm Eşiği</t>
  </si>
  <si>
    <t>YASAM_TANRISI; IYILESTIRME_TANRISI; OLUM_TANRISI; Sonsuz_Savunma; Kanli_Kalkan; YASAM_EFENDISI; Kadim_Yasam_Efendisi; KADIM_SIFACI; Efsanevi_Iyilestirici; Sonsuz_Yasamin_Bekcisi</t>
  </si>
  <si>
    <t>Nehrini kurtarmak için Ölüm Tanrısı'yla anlaştı. Suları herkese yaşam verir; yalnız içinden yükselen annesinin sesi hiç susmaz.</t>
  </si>
  <si>
    <t>Yaşam akışı doğrudan tanrısal antlaşmaya bağlanıyor.</t>
  </si>
  <si>
    <t>Kutsal_Isik</t>
  </si>
  <si>
    <t>Melek</t>
  </si>
  <si>
    <t>Işık</t>
  </si>
  <si>
    <t>Kutsal Taht'ın suçlu saydığı çocuğu iyileştirdiği için sürüldü. Kanatları söküldü ama ışığını kimin hak ettiğini kendisi seçer.</t>
  </si>
  <si>
    <t>Işık, basit iyileştirme değil hüküm seçme aracı.</t>
  </si>
  <si>
    <t>Sonsuz_Sifaci</t>
  </si>
  <si>
    <t>Ölümsüz</t>
  </si>
  <si>
    <t>Ölümsüzlüğünü bir köye adadı; köy yüzyıllar önce yok oldu. Şifa verdiği yüzlerde hâlâ ilk hastasının gülüşünü arar.</t>
  </si>
  <si>
    <t>Şifa her zaman rahatlama değil; görev bedeli yaratıyor.</t>
  </si>
  <si>
    <t>Isik_Yoldasi</t>
  </si>
  <si>
    <t>Gölge Antlaşması</t>
  </si>
  <si>
    <t>KARA_SOVALYE; Karanlik_Savasci; Golge_Kalkani; GOLGE_LORDU; GOLGELER_EFENDISI; GOLGE_BUYUCUSU; Zifiri_Buyucu; ABIS_GARDIYANI_golge; Kara_Pence; Kritik_Golge_Golge</t>
  </si>
  <si>
    <t>Kara Şövalye'yi öldürmeye gitti, karanlıkta onunla sağ kaldı. Şimdi ışığı bir düşmanı değil, ikisinin de eve dönüş yolunu korur.</t>
  </si>
  <si>
    <t>Işık-gölge geçişini kuran ara düğüm.</t>
  </si>
  <si>
    <t>Doga_Efendisi</t>
  </si>
  <si>
    <t>Enerji</t>
  </si>
  <si>
    <t>Doğa ve Zirve Geçidi</t>
  </si>
  <si>
    <t>Zirve_Pencesi; Zirve_Kilici; Zirve_Efendisi; Kaya_Bekcisi_hayvan; Kum_Zirhli_Cuce; Gece_Yilani_Surungensoy; Vahsi_Elementalist; DOVUS_USTASI; Zirhli_Dev_Ejdersoy</t>
  </si>
  <si>
    <t>Zirve Geçidi'ni köklerle mühürledi; ardında kendi halkı da kaldı. Ormanı koruyan her dal, bir gün yüzleşeceği o kararı hatırlatır.</t>
  </si>
  <si>
    <t>Doğa, pasif ortam değil stratejik savunma alanı.</t>
  </si>
  <si>
    <t>Zihinsel_Sifaci</t>
  </si>
  <si>
    <t>Gölge</t>
  </si>
  <si>
    <t>Zihin ve Felsefe Mahkemesi</t>
  </si>
  <si>
    <t>Felsefe_Buyucusu; Yuce_Akil; Korku_Imparatoru_golge; Korgoz_Suikastci_Cuce; Buyuk_Tehlike; Karanlik_Kader; Kader_Orgusu_Arkan_buyucusu; SAVAS_TANRISI</t>
  </si>
  <si>
    <t>Yüce Akıl'ın zihnini onardı, korkunç sırrını öğrendi. Hastasını koruma yeminiyle dünyayı uyarma isteği arasında anılarını siler.</t>
  </si>
  <si>
    <t>Şifa edilen sır, başka bir karakterin silahına dönüşüyor.</t>
  </si>
  <si>
    <t>Hayat_Koruyucusu</t>
  </si>
  <si>
    <t>Kanlı Kalkan'ın ardında son nefesi sakladı. Ölüm onu geri istediğinde, bir yabancı uğruna kendi ömrünü masaya koydu.</t>
  </si>
  <si>
    <t>Bir nefes, kraliyet ve yaşam hattı arasında mirasa dönüşüyor.</t>
  </si>
  <si>
    <t>Sifa_Isigi</t>
  </si>
  <si>
    <t>Zehir ve Gizli Savaş</t>
  </si>
  <si>
    <t>Zehir_Bicagi_Insan; Zehirli_Ruya; Zehirli_Intikamci; Poisoned_Knife_Insan; Gece_Yilani_Surungensoy; Kara_Pence; Kritik_Kara_Pence_Golge; Yikici_Sovalye</t>
  </si>
  <si>
    <t>Zehir Bıçağı'nın zehrini şifaya çevirdi. Her hastası onu kurtarır sanır; oysa kullandığı ilacın sırrını bir suikastçı saklar.</t>
  </si>
  <si>
    <t>Zehir/ışık karşıtlığı üzerinden ninja bağı.</t>
  </si>
  <si>
    <t>Ruh_Diriltici</t>
  </si>
  <si>
    <t>Ruh</t>
  </si>
  <si>
    <t>Ölümsüz Kılıç'ı bir yeminle diriltti, sesi geri dönmedi. Söylenemeyen son sözleri duymak için her gece ölülerin kapısını çalar.</t>
  </si>
  <si>
    <t>Diriltme yerine yemin ve hesaplaşma kuruyor.</t>
  </si>
  <si>
    <t>Efsanevi_Sifaci</t>
  </si>
  <si>
    <t>Demir Cephe'nin kahramanı ilan edildi. Kurtardığı komutan savaşı uzatınca, şifanın da bazen bir silaha dönüşebildiğini öğrendi.</t>
  </si>
  <si>
    <t>Ucuz kurtuluş yerine karakter gelişimi bedeli.</t>
  </si>
  <si>
    <t>Hayat_Rehberi</t>
  </si>
  <si>
    <t>Taçsız Muhafız'a gizli kaçış yolunu gösterdi; hükümdar dönmeyince halkın karşısına çıktı. Artık kimseyi ardında bırakmadan yürür.</t>
  </si>
  <si>
    <t>Uygun</t>
  </si>
  <si>
    <t>Savaş liderinin otoritesini destek bilgeliğine bağlar.</t>
  </si>
  <si>
    <t>Evren_Sifacisi</t>
  </si>
  <si>
    <t>Evrenin yarığını kapatınca kayıp bir dünyanın sesini duydu. Şifasını durdurursa halkı ölecek, sürdürürse o ses ebediyen susacak.</t>
  </si>
  <si>
    <t>Kozmik ölçekte şifa, gizli bilgi gerilimi yaratıyor.</t>
  </si>
  <si>
    <t>Isik_Vekili</t>
  </si>
  <si>
    <t>Gölge Lordu'yla çizdiği sınır, bir aileyi ikiye böldü. Işığını şimdi antlaşmayı korumak için değil, onları buluşturmak için taşır.</t>
  </si>
  <si>
    <t>Yok etme değil, diplomatik/sihirsel sınır koyma.</t>
  </si>
  <si>
    <t>Mistik_Sifaci</t>
  </si>
  <si>
    <t>Arkan</t>
  </si>
  <si>
    <t>Zaman ve Arkan Kırığı</t>
  </si>
  <si>
    <t>Zaman_Efendisi; ZAMAN_BUYUCUSU; Kader_Orgusu_Arkan_buyucusu; BOYUT_USTASI_bukucu; BOYUT_KATILI; KIYAMET_BUYUCUSU; Kiyamet_Askeri; SAVAS_LORDU; Kehanetci; Buyuk_Arcana</t>
  </si>
  <si>
    <t>Büyük Arcana'nın kartında iyileştireceği yarayı gördü. Her kurtarışta kehanet değişir; son kartta artık yalnız kendi adı vardır.</t>
  </si>
  <si>
    <t>Kart/kehanet hattı; sonraki büyücü bağlarını hazırlar.</t>
  </si>
  <si>
    <t>Hayat_Fisildayicisi</t>
  </si>
  <si>
    <t>Zehir</t>
  </si>
  <si>
    <t>Gece Yılanı'nın zehirlediği ağacı dinledi; kökler katilin adını fısıldadı. Ormanı iyileştirmek için önce onu yaşatması gerek.</t>
  </si>
  <si>
    <t>Zehirle doğa arasında gizli karşı-ritüel.</t>
  </si>
  <si>
    <t>Kadim_Ruh_Samani</t>
  </si>
  <si>
    <t>Ruh Yöneticisi'nden atalarının sesini geri aldı. İçlerinden biri hainin adını söyleyince, kutsal soyun yalanını öğrendi.</t>
  </si>
  <si>
    <t>Eski güç ile büyücü sınıfı arasında ağır sır.</t>
  </si>
  <si>
    <t>Isigin_Efendisi</t>
  </si>
  <si>
    <t>Kaos</t>
  </si>
  <si>
    <t>Gökyüzü Hâkimi'nin ışığını ödünç aldı. Her şifa kanadından bir tüy yakar; yere düşmeden kurtarmak istediği son kişi düşmanıdır.</t>
  </si>
  <si>
    <t>Göksel otoriteye bedel fikri ekleniyor.</t>
  </si>
  <si>
    <t>Hayat_Armonisti</t>
  </si>
  <si>
    <t>Fırtına Hattı</t>
  </si>
  <si>
    <t>Firtina_Celik; Simsek_Askeri; FIRTINA_DOVUSCUSU; Yildirim_Muhafizi; Ruzgar_Efendisi; YILDIRIM_ADEPTI; Kritik_Firtina_INSAN; Firtina_Yikici; Firtina_Aslani; Firtina_Efendisi</t>
  </si>
  <si>
    <t>Şimşek Askeri'nin bozulan kalp ritmine bir ezgi yazdı. Savaş bitince şarkıyı susturamadı; o kalp artık yalnız sesiyle atar.</t>
  </si>
  <si>
    <t>Savaş temposu ve destek ritmi arasında profesyonel bağ.</t>
  </si>
  <si>
    <t>Zamanin_Yoldasi</t>
  </si>
  <si>
    <t>Zaman</t>
  </si>
  <si>
    <t>Zaman Efendisi'nin kırık saatini saklar. Dostlarına kazandırdığı her saniye, evde bekleyenlerin ömründen sessizce eksilir.</t>
  </si>
  <si>
    <t>Zaman nesnesi üzerinden ninja/büyücü geçişi.</t>
  </si>
  <si>
    <t>Kutsal_Sifaci</t>
  </si>
  <si>
    <t>Kutsal Taht'ın idam ettiği askeri diriltti. Hem cellatlar hem kurtardığı can peşinde; mezardan dönen kişi gerçeği hatırlıyor.</t>
  </si>
  <si>
    <t>Şifa ahlakî mahkemeye dönüşüyor.</t>
  </si>
  <si>
    <t>Evrenin_Korumacisi</t>
  </si>
  <si>
    <t>Astral Savunucu'nun zırhındaki yarığı onardı. İçine sığınan kayıp yıldızı korumak için göğün bütün yasalarına karşı durur.</t>
  </si>
  <si>
    <t>Zırh tamiri değil, kozmik yasa onarımı.</t>
  </si>
  <si>
    <t>Yasamin_Bekcisi</t>
  </si>
  <si>
    <t>Ölümle yaşamın eşiğinde adları kontrol eder. Bir gün listede kendi adını buldu; kalemi kırıp nöbetini bırakmamayı seçti.</t>
  </si>
  <si>
    <t>Yaşam/ölüm dengesini tanrısal protokole bağlar.</t>
  </si>
  <si>
    <t>Felsefe_Sifacisi</t>
  </si>
  <si>
    <t>Felsefe Büyücüsü acının gereksiz olduğunu söyledi. Onu iyileştirince merhameti de kayboldu; şimdi sildiği yarayı geri arıyor.</t>
  </si>
  <si>
    <t>Düşünsel güç savaş gücünden üstün bir an kazanır.</t>
  </si>
  <si>
    <t>Enerji_Dagiticisi</t>
  </si>
  <si>
    <t>Yıldırım Adepti'nin taşan gücünü ordusuna dağıttı. Tek bir askeri dışarıda bıraktı; o askerin yaktığı şehirleri onarmaya çalışır.</t>
  </si>
  <si>
    <t>Enerji dağılımı ekip sinerjisine çevrilir.</t>
  </si>
  <si>
    <t>Doga_Ustasi</t>
  </si>
  <si>
    <t>Kum Zırhlı'yla çölde bir tohum buldu. Filiz büyüyünce altında gömülü halkın sesi duyuldu; kökleri koparmadan geçidi açması gerek.</t>
  </si>
  <si>
    <t>Çöl/zirve hattında keşif ve savaşçı geçişi.</t>
  </si>
  <si>
    <t>Dengenin_Koruyucusu</t>
  </si>
  <si>
    <t>Denge</t>
  </si>
  <si>
    <t>Kaos ve Kıyamet Düğümü</t>
  </si>
  <si>
    <t>KIYAMET_SAVASCISI; KIYAMET_BUYUCUSU; KIYAMET_SUIKASTCISI; Kiyamet_Askeri; KAOS_GOLGESI; Karanlik_Kader; Yikim_Tanrisi; Yikim_Avcisi; Yikici_Sovalye; EFSANE_GLADYATOR</t>
  </si>
  <si>
    <t>Kıyamet Savaşçısı'nın darbesini iki orduya böldü. Her iki taraf da onu hain saydı; dengeyi korumak, tarafsız kalmak değildi.</t>
  </si>
  <si>
    <t>Denge tarafsızlık değil, iki cepheye de bedel yazma.</t>
  </si>
  <si>
    <t>Isik_Mimar</t>
  </si>
  <si>
    <t>Gölge Antlaşması için ışıktan kale ördü, bir kapıyı açık bıraktı. İçeri giren ilk kişi düşman değil, eskiden kaybettiği ustasıydı.</t>
  </si>
  <si>
    <t>Bilinçli açık kapı; ileride ihanet/strateji doğurur.</t>
  </si>
  <si>
    <t>DOGA_SIFACISI</t>
  </si>
  <si>
    <t>Nadir</t>
  </si>
  <si>
    <t>Doğa</t>
  </si>
  <si>
    <t>Ejderha Savaşçısı'nın yaktığı filizi kurtardı. Külden ejder doğunca, iyileştirdiği ormanın gelecekteki düşmanını büyüttü.</t>
  </si>
  <si>
    <t>Doğa ile ejder/magma hattı arasında saygı kuruluyor.</t>
  </si>
  <si>
    <t>ISIK_RAHIBI</t>
  </si>
  <si>
    <t>Kıyamet'in lanetini arındırırken ışığı karardı. Halk onu kovdu; yine de her gece şehrin kapısındaki karanlığı tek başına temizler.</t>
  </si>
  <si>
    <t>Affetmek yerine kader rotası belirleme.</t>
  </si>
  <si>
    <t>KORUYUCU_MELEK</t>
  </si>
  <si>
    <t>Demir Muhafız'ı korumak için göğün geri dön emrini reddetti. Kanatları artık göğe açılmaz; yerde kalanların önünde kalkan olur.</t>
  </si>
  <si>
    <t>Tanrısal emre karşı cephe kararı alır.</t>
  </si>
  <si>
    <t>Zihinsel_Iyilestirici</t>
  </si>
  <si>
    <t>Zihin</t>
  </si>
  <si>
    <t>Korku İmparatoru'nun susturduğu zihinleri uyandırdı. Korkusunu onlara vermemek için, her gece bütün kâbusları tek başına yaşar.</t>
  </si>
  <si>
    <t>Korku iktidarını zihinsel müdahale ile kırar.</t>
  </si>
  <si>
    <t>Doganin_Rehberi</t>
  </si>
  <si>
    <t>Toprak</t>
  </si>
  <si>
    <t>Gece Yılanı'nın zehrinden bir orman yetiştirdi. Kökleri dostlarına şifa sunar; ama toprak altında eski sahibinin çağrısı büyür.</t>
  </si>
  <si>
    <t>Avcılık yerine zehri ant/savunma aracına çevirir.</t>
  </si>
  <si>
    <t>Zamanin_Sifacisi</t>
  </si>
  <si>
    <t>Zaman Efendisi'nden yaralılar için günler aldı. Borcunu ödeyeceği tarihi bilir; o gün doğacak çocuğunu görmek için savaşır.</t>
  </si>
  <si>
    <t>Kurtuluş değil, zaman pazarlığı ve karanlık bedel.</t>
  </si>
  <si>
    <t>Ruh_Hekimi</t>
  </si>
  <si>
    <t>Hayalet Asker'in acısını üstlendi. Artık kendi ölümü değil, hiç tanımadığı bir savaşta geride bıraktığı dostları uykusunu böler.</t>
  </si>
  <si>
    <t>Susturulan acı başka bir ordunun temeline dönüşür.</t>
  </si>
  <si>
    <t>Sonsuz_Umut</t>
  </si>
  <si>
    <t>Kutsal Taht'ın zafer defterine ölenlerin adını yazdı. Her iyileştirdiği askere aynı sözü verir: Seni kimse tarihten silemeyecek.</t>
  </si>
  <si>
    <t>Zafer propagandasına karşı etik kayıt.</t>
  </si>
  <si>
    <t>Isigin_Murekkep</t>
  </si>
  <si>
    <t>Taçsız Muhafız'ın yemininin altına adını yazdı. Hükümdar sözünü her bozduğunda mürekkep derisini yakar; yine de defteri saklar.</t>
  </si>
  <si>
    <t>Yazı/ferman üzerinden taht hukukunu kurar.</t>
  </si>
  <si>
    <t>Mistik_Hayat</t>
  </si>
  <si>
    <t>Zehirli Rüya'da bir çocuğun geleceğini gördü. Onu iyileştirirse felaket doğacak; şifacı elleri bir yaraya uzanırken titrer.</t>
  </si>
  <si>
    <t>Kötü etkiyi silmek yerine kehanete dönüştürür.</t>
  </si>
  <si>
    <t>Kadim_Ruh_Koruyucusu</t>
  </si>
  <si>
    <t>Kaos Gölgesi'ni atalarının ruhlarıyla mühürledi. Mührü her yenilediğinde bir atası unutulur; sonuncusu kendi adını fısıldıyor.</t>
  </si>
  <si>
    <t>Bir tehdidi durdurmak daha büyük tehdidi uyandırır.</t>
  </si>
  <si>
    <t>Yasamin_Isigi</t>
  </si>
  <si>
    <t>Kanlı Gölge'nin izini yaralılarda buldu. Komutanının katil olduğunu görünce, ışığını saklanan bir suçu açmakta kullandı.</t>
  </si>
  <si>
    <t>Kanlı motif adalet filtresine dönüşür.</t>
  </si>
  <si>
    <t>Mistik_Yoldas</t>
  </si>
  <si>
    <t>Boyut Katili'yle geçtiği kapıda adını yitirdi. Dostları onu her sabah unutur; o, her gece aynı canları yeniden korumayı seçer.</t>
  </si>
  <si>
    <t>Geçit bilgisi suikastçının kendi avına dönüşür.</t>
  </si>
  <si>
    <t>Evrenin_Iyilestiricisi</t>
  </si>
  <si>
    <t>Evren Büyücüsü'nün yarığını yıldızlarla dikti. Dikişin ötesinde ailesi kaldı; evreni iyileştiren elleri o yarayı açmayı da bilir.</t>
  </si>
  <si>
    <t>Kapanmayan yara, evren haritasında sınır olur.</t>
  </si>
  <si>
    <t>Isigin_Yukselisi</t>
  </si>
  <si>
    <t>Kara Şövalye'nin zırhında annesinin duasını buldu. Düşmanını iyileştirdiği gün öğrendi: Işık, hep doğru taraftan yükselmiyordu.</t>
  </si>
  <si>
    <t>Düşmanı yok etmek yerine gizli yemini açığa çıkarır.</t>
  </si>
  <si>
    <t>Tanrisal_Sifaci</t>
  </si>
  <si>
    <t>Tanrısal</t>
  </si>
  <si>
    <t>Nötr</t>
  </si>
  <si>
    <t>Buz</t>
  </si>
  <si>
    <t>Ölüm Tanrısı'ndan bir canı geri aldı. Mucize isteyenler kapısına yığılırken o, dönen kişinin gözlerinde eksilen şeyi arar.</t>
  </si>
  <si>
    <t>Tanrısal gücü ölümlü sesine bağlayan kritik düğüm.</t>
  </si>
  <si>
    <t>ZAMAN_SIFACISI</t>
  </si>
  <si>
    <t>Ender</t>
  </si>
  <si>
    <t>Kıyamet'in vurduğu anı geri sardı. Herkes kurtuldu ama onu seven kişi hiç tanışmadıklarını söylüyor; yeni geleceğin bedeli budur.</t>
  </si>
  <si>
    <t>Zaman üstü onarım; Multi seviyesine doğrudan köprü.</t>
  </si>
  <si>
    <t>RUH_SAMANI</t>
  </si>
  <si>
    <t>Gölge Lordu'yla ölüleri almak için anlaştı. Çağırdığı her ruh kalkanını güçlendirir; karşılığında bir anısını gölgeye bırakır.</t>
  </si>
  <si>
    <t>Gölge lordluğu ile ruh bedeli arasında ağır pazarlık.</t>
  </si>
  <si>
    <t>YASAM_USTASI</t>
  </si>
  <si>
    <t>Yaşamla ölüm arasında canları paylaştırmayı öğrendi. En sevdiği kişiyi kurtaracak güç elindeyken, denge ondan vazgeçmesini istedi.</t>
  </si>
  <si>
    <t>Zafer yerine kozmik müzakere kurar.</t>
  </si>
  <si>
    <t>Zamanin_Rehberi</t>
  </si>
  <si>
    <t>Kıyamet Savaşçısı'na son saniyeyi gösterdi. Her gelecekte dünya kurtuluyordu; hiçbirinde kahramanın eve döndüğünü söylemedi.</t>
  </si>
  <si>
    <t>Kahramanı kaçıştan alıp seçim noktasına zorlar.</t>
  </si>
  <si>
    <t>Kadim_Yasam_Efendisi</t>
  </si>
  <si>
    <t>Yaşam</t>
  </si>
  <si>
    <t>Evren Koruyucusu'nun zırhına ilk yaşamın anısını üfledi. Zırh neden savaştığını sorunca, tanrılardan saklanan gerçeği duydu.</t>
  </si>
  <si>
    <t>Tank zırhı bilinç ve hüküm sahibi olur.</t>
  </si>
  <si>
    <t>Efsanevi_Iyilestirici</t>
  </si>
  <si>
    <t>Zafer Meleği'ne yenilenleri iyileştirmeyi öğretti. O günden beri kanatlarını savaşın kazananına değil, ateşkes isteyenlere açar.</t>
  </si>
  <si>
    <t>Zaferin etik sınırını yazar.</t>
  </si>
  <si>
    <t>Sonsuz_Yasamin_Bekcisi</t>
  </si>
  <si>
    <t>Ölüm Tanrısı'yla yaptığı antlaşmada tek bir adı unuttu. Yüzyıllık nöbetinin bitmesi için, kurtarmaktan vazgeçtiği kişiyi bulmalı.</t>
  </si>
  <si>
    <t>Savunma/ölüm/yaşam üçgeninde büyük eşik.</t>
  </si>
  <si>
    <t>Isigin_Yuces</t>
  </si>
  <si>
    <t>Büyü Tanrısı'nın ışığı dünyayı yakarken önüne geçti. Gözlerini kaybetti; karanlıkta bıraktığı tanrının ayak seslerini tanır.</t>
  </si>
  <si>
    <t>Tanrısal büyü gücüne denge sınırı koyar.</t>
  </si>
  <si>
    <t>KADIM_SIFACI</t>
  </si>
  <si>
    <t>Efsanevi</t>
  </si>
  <si>
    <t>Mutant</t>
  </si>
  <si>
    <t>Dünyanın ilk yarasını kapattı; altındaki sesi kimseye anlatmadı. Her dirilttiği can, o eski varlığı uykusundan daha uyandırır.</t>
  </si>
  <si>
    <t>Evrenin ilk yarası üzerinden iki sınıf liderini bağlar.</t>
  </si>
  <si>
    <t>ISIK_LORDU</t>
  </si>
  <si>
    <t>Gölge Lordu'yla barış için kutsal tacını kırdı. Halkı onu zayıf sandı; yıllardır ilk kez mezarlıklarda yeni isimler çoğalmıyordu.</t>
  </si>
  <si>
    <t>Işık/gölge çatışmasını siyasi antlaşmaya yükseltir.</t>
  </si>
  <si>
    <t>YASAM_EFENDISI</t>
  </si>
  <si>
    <t>Ölüm Tanrısı'nın sildiği hayatları hatırlar. Bir gün annesinin de o adlardan biri olduğunu öğrendi; kimin çocuğu olduğunu arar.</t>
  </si>
  <si>
    <t>Tanrıya karşı başkaldırı değil, hafıza iadesi.</t>
  </si>
  <si>
    <t>Butunlestirici</t>
  </si>
  <si>
    <t>Kıyamet'te dağılan yeminleri bedeninde topladı. Dostlarına inen her darbe ona da işler; ilk ihanet kalbini çatlattı.</t>
  </si>
  <si>
    <t>Tüm sınıfları bağlayacak dağılan yemin motifi.</t>
  </si>
  <si>
    <t>IYILESTIRME_TANRISI</t>
  </si>
  <si>
    <t>Multi</t>
  </si>
  <si>
    <t>Ölümü yenebilirdi, yaşamın anlamını yitireceğini gördü. Mucizelerinin bedelini yalnız ölümlülere değil, kendi tenine de yazar.</t>
  </si>
  <si>
    <t>Kozmik denge; şifa ölümü yok etmiyor, bedeli paylaştırıyor.</t>
  </si>
  <si>
    <t>YASAM_TANRISI</t>
  </si>
  <si>
    <t>Sönen evrende ilk nefesi yarattı; buna son yıldızını harcadı. Yaşattığı her dünya, karanlıkta bıraktığı ötekine karşı borcudur.</t>
  </si>
  <si>
    <t>Evrenin yaşam borcu ana mitoloji düğümü.</t>
  </si>
  <si>
    <t>ZAMAN_BUKUCU</t>
  </si>
  <si>
    <t>Boyut Katili'nin darbesini bir ana hapsetti. Dostlarının bir saniyesini çağlarca yaşar; saati bırakırsa herkes o darbeyi alacak.</t>
  </si>
  <si>
    <t>Sonraki Ninja/Tank/Büyücü bağlantıları için merkez zaman düğümü.</t>
  </si>
  <si>
    <t>Golge_Ciragi_Golge</t>
  </si>
  <si>
    <t>Ninja</t>
  </si>
  <si>
    <t>Belirsiz</t>
  </si>
  <si>
    <t>Gölge Fermanı</t>
  </si>
  <si>
    <t>CIRAK_SIFACI; BUZ_OGRENCISI; SAVAS_CIRAGI; Ates_Tasi_Ejderhasi_Ejdersoy</t>
  </si>
  <si>
    <t>Yemin Halkası</t>
  </si>
  <si>
    <t>Buz Öğrencisi'ni kurtarmak için ilk gölge adımını attı. Çıktığında ustası yoktu; girdiği her karanlıkta artık onun izini arar.</t>
  </si>
  <si>
    <t>Gölge Fermanı düğümünde Ninja sınıfının evren bağlantısı güçlendirildi.</t>
  </si>
  <si>
    <t>Zehir_Bicagi_Insan</t>
  </si>
  <si>
    <t>Zehirli Vasiyet</t>
  </si>
  <si>
    <t>RUH_BEKCISI; YILDIRIM_ADEPTI; Zirve_Pencesi</t>
  </si>
  <si>
    <t>Cephe Tanıklığı</t>
  </si>
  <si>
    <t>Bıçağını babasının vasiyetinden dövdü; zehir eline işledi. Ruh Bekçisi onu yaşattı ama mirasın kimi öldüreceğini söylemedi.</t>
  </si>
  <si>
    <t>Zehirli Vasiyet düğümünde Ninja sınıfının evren bağlantısı güçlendirildi.</t>
  </si>
  <si>
    <t>Hizli_Bicak_Insan</t>
  </si>
  <si>
    <t>UMUT_TASIYICI; GOLGE_BUYUCUSU; Savasin_Efendisi; Tas_Yurekli_Tanrisal_Olumsuz</t>
  </si>
  <si>
    <t>Borç Kaydı</t>
  </si>
  <si>
    <t>Savaşın Efendisi'ni yenebilecek kadar hızlandı, kardeşini kurtarmaya yine geç kaldı. Şimdi her düelloda bir darbe eksik vurur.</t>
  </si>
  <si>
    <t>Golgelerin_Ustasi_Golge</t>
  </si>
  <si>
    <t>Sifa_Yildizi; Kita_Buyucusu; Yildiz_Savascisi</t>
  </si>
  <si>
    <t>Sınır Muhafazası</t>
  </si>
  <si>
    <t>Şifa Yıldızı söndüğünde gölgeleri dinledi; hepsi onun sesiyle konuşuyordu. Karanlığa hükmeder, ama gerçek sesi ayıramaz.</t>
  </si>
  <si>
    <t>Zehirli_Pence_Golge</t>
  </si>
  <si>
    <t>Umut_Alevi; Ruzgar_Efendisi; Kutsal_Asker; Kalkan_Kralicesi_Tanrisal_Olumsuz</t>
  </si>
  <si>
    <t>Umut Alevi pençesindeki zehri yakamadı. Artık dostlarına dokunmaz; korumak istediği ellerden uzak durmak en ağır yeminidir.</t>
  </si>
  <si>
    <t>Kritik_Golge_Golge</t>
  </si>
  <si>
    <t>Hayat_Akisi; Zaman_Efendisi; Kanli_Kalkan</t>
  </si>
  <si>
    <t>Zaman Efendisi ona kusursuz bir an verdi. O anda öldürmesi gereken kişi kendisini kurtarınca, bıçağını ilk kez hedefsiz bıraktı.</t>
  </si>
  <si>
    <t>Nightmare_Karabasan_Golge</t>
  </si>
  <si>
    <t>Kutsal_Isik; ARKAN_BUYUCUSU; Yikim_Avcisi; Golge_Kalkani_Nam-i_DigerOlumsuz_TanricasiTanrisal_Olumsuz</t>
  </si>
  <si>
    <t>Arkan Büyücüsü'nün çocukluk korkusundan doğdu. Artık kâbuslarla beslenir; yaratıcısı korkmayı bırakırsa kendisi de yok olacak.</t>
  </si>
  <si>
    <t>Gizli_Yikici_Cuce</t>
  </si>
  <si>
    <t>Cüce</t>
  </si>
  <si>
    <t>Sonsuz_Sifaci; ELEMENTALIST; Firtina_Celik</t>
  </si>
  <si>
    <t>Cüce ocağını çökerten patlamadan görünmez çıktı. Her yıktığı kalede aynı sesi duyar; içeride kimse kalmasın diye bekler.</t>
  </si>
  <si>
    <t>Karanlik_Vekil_Golge</t>
  </si>
  <si>
    <t>Isik_Yoldasi; Efsanevi_Arcanist; Altin_Yildiz; Kalkan_Titani_Tanrisal_Olumsuz</t>
  </si>
  <si>
    <t>Işık Yoldaşı'nı kurtarmak için gölgesini ayırdı. Kopyası görevi tamamlayıp döndü; ikisi de gerçek olduğunu söyler.</t>
  </si>
  <si>
    <t>Sinsi_Safak_Insan</t>
  </si>
  <si>
    <t>Doga_Efendisi; Aetherian_Adept; Olumsuz_Kilic</t>
  </si>
  <si>
    <t>Doğa Efendisi'nin ormanında son avını bağışladı. Şafak doğmadan izini siler; eski ustalarının hedef listesinde kendi adı vardır.</t>
  </si>
  <si>
    <t>High_Ninja_Insan</t>
  </si>
  <si>
    <t>Zihinsel_Sifaci; Gece_Isiginin_Efendisi; Simsek_Askeri; Demir_Zirh_Ejdersoy</t>
  </si>
  <si>
    <t>Şimşek Askeri'yle yıllarca çalıştı; ilk kusursuz vuruşunu ona yaptı. Ustasının ihaneti mi, yanılgısı mı olduğunu hâlâ araştırır.</t>
  </si>
  <si>
    <t>Gizli_Gozcu_Golge</t>
  </si>
  <si>
    <t>Hayat_Koruyucusu; Yikim_Meclisi; Buyuk_Celik_Avci</t>
  </si>
  <si>
    <t>Yıkım Meclisi'ni gölgelerden izlerken kurtarıcısının imzasını gördü. Elindeki kanıt bir savaşı bitirecek, diğerini başlatacaktır.</t>
  </si>
  <si>
    <t>Immortal_Shadow_golge</t>
  </si>
  <si>
    <t>Sifa_Isigi; Astral_Hukumdar; Kara_Pence; Gece_Kalkani_Ejdersoy</t>
  </si>
  <si>
    <t>Öldürdüğü her düşman ona bir ömür daha verir. Şifa Işığı'yla tanışınca, sonsuz yaşamanın kaç cana mal olduğunu sayar.</t>
  </si>
  <si>
    <t>Silent_Destructor_Insan</t>
  </si>
  <si>
    <t>Ruh_Diriltici; Kara_Ruh_Buyucusu; Intikamci_Kilic</t>
  </si>
  <si>
    <t>İntikamcı Kılıç'ın aradığı haini sessizce öldürdü. Masumiyetini kanıtlayacak tek tanığı susturduğunu bildiği için avını korur.</t>
  </si>
  <si>
    <t>Golge_Avcisi_Cuce</t>
  </si>
  <si>
    <t>Efsanevi_Sifaci; Beyaz_Buyucu; Kara_Aslan; Yelkenli_Zirh_Insan</t>
  </si>
  <si>
    <t>Kayıp madencileri nefeslerinden bulurdu. Efsanevi Şifacı'nın kurtaramadığı kardeşinin soluğu, karanlıkta izlediği her ava karışır.</t>
  </si>
  <si>
    <t>Korku_Imparatoru_golge</t>
  </si>
  <si>
    <t>Hayat_Rehberi; Mistik_Kral; Ejderha_Savascisi</t>
  </si>
  <si>
    <t>Mistik Kral'ın bastırdığı korkulardan bir taht kurdu. Herkesi titretebilir; yalnız uyuduğunda kendi kâbuslarının önünde diz çöker.</t>
  </si>
  <si>
    <t>Savas_Fisildayicisi</t>
  </si>
  <si>
    <t>Evren_Sifacisi; Zamanin_Bukucusu; Tacsiz_Muhafiz; Kutsal_Savunma</t>
  </si>
  <si>
    <t>Taçsız Muhafız'a verilen son emri çaldı. Bir fısıltıyla orduları yönlendirir; kendi düşüncelerinin kime ait olduğunu ise bilmez.</t>
  </si>
  <si>
    <t>Kritik_Firtina_INSAN</t>
  </si>
  <si>
    <t>Fırtına Divanı</t>
  </si>
  <si>
    <t>Isik_Vekili; Gok_Tanricesi; Firtina_Zirhli</t>
  </si>
  <si>
    <t>Fırtına Divanı'nda beş hançerle hükmü durdurdu. Altıncıyı bağışladığı yargıç, her gece onun hakkında yeni bir ölüm emri yazıyor.</t>
  </si>
  <si>
    <t>Fırtına Divanı düğümünde Ninja sınıfının evren bağlantısı güçlendirildi.</t>
  </si>
  <si>
    <t>Karabuyu_Suikastci_GOLGE</t>
  </si>
  <si>
    <t>Mistik_Sifaci; Karanlik_Kader; Alevli_Savasci; Alev_Kalkani_Cuce</t>
  </si>
  <si>
    <t>Mistik Şifacı'nın çözemediği laneti silah yaptı. Çaldığı büyü onu güçlendirir; her zaferde dostlarının yüzlerinden birini unutur.</t>
  </si>
  <si>
    <t>Mortal_Shadow_Golge</t>
  </si>
  <si>
    <t>Hayat_Fisildayicisi; Isigin_Yikicisi; Guclu_Savas_Efendisi</t>
  </si>
  <si>
    <t>Hayat Fısıldayıcısı ona ikinci nefesi verdi. Ölümsüz sanılan gölgeler arasında, ölümü kabullenmesi herkesi korkutur.</t>
  </si>
  <si>
    <t>Korgoz_Suikastci_Cuce</t>
  </si>
  <si>
    <t>Kadim_Ruh_Samani; Elemental_Tanri; Yikici_Gladyator; Savas_Tanrisi_Tanrisal_Olumsuz</t>
  </si>
  <si>
    <t>Maden çökünce gözlerini yitirdi; Ruh Şamanı kalpleri dinlemeyi öğretti. Hiç çarpmayan bir kalbi duyduğu gece av olmaya başladı.</t>
  </si>
  <si>
    <t>Between_The_Shadows_Golge</t>
  </si>
  <si>
    <t>Isigin_Efendisi; Buyulu_Zirve; Kutsal_Zirh</t>
  </si>
  <si>
    <t>Işığın Efendisi'nden kaçarken iki gölge arasına sığındı. Her dönüşünde bir yıl geçer; evinin kapısı bir yabancıya açılır.</t>
  </si>
  <si>
    <t>Fisildayan_Hancer_Insan</t>
  </si>
  <si>
    <t>Hayat_Armonisti; Goklerin_Efendisi; Ejderha_Kafali; Hancer_Zirhi_Cuce</t>
  </si>
  <si>
    <t>Hayat Armonisti'nin çalınan sesini hançerinde buldu. Her atışta eski ezgi yükselir; bıçağı kırarsa sesi sahibine geri verebilecek.</t>
  </si>
  <si>
    <t>God_Of_Secrecy_Insan</t>
  </si>
  <si>
    <t>Zamanin_Yoldasi; Yuce_Akil; Buyuk_Kanli_Asker</t>
  </si>
  <si>
    <t>Yüce Akıl bile adını bulamadığı için ona tanrı dedi. Aslında bir insandır; silinen kimliğinin altında kime söz verdiğini arar.</t>
  </si>
  <si>
    <t>Infinite_Blade_Insan</t>
  </si>
  <si>
    <t>Kutsal_Sifaci; Kadim_Guc; Zirhli_Efendi; AgirZirh_insan</t>
  </si>
  <si>
    <t>Kadim Güç'ün sınavında durmadan vurdu, kazandığını duymadı. Artık her bıçak yağmuru, sonunu hatırlamadığı o düellonun devamıdır.</t>
  </si>
  <si>
    <t>Gece_Yilani_Surungensoy</t>
  </si>
  <si>
    <t>Sürüngensoy</t>
  </si>
  <si>
    <t>Evrenin_Korumacisi; Felsefe_Buyucusu; Firtina_Kilici</t>
  </si>
  <si>
    <t>Zehirli Vasiyet'i derisinin altında taşır. Her değiştirdiği kabukta bir ad belirir; sıradaki kurbanın kendisi olmasından korkar.</t>
  </si>
  <si>
    <t>Karanlik_Fisildayici_Golge</t>
  </si>
  <si>
    <t>Yasamin_Bekcisi; Kehanetci; Kutsal_Pence; Demir_Kafes_Insan</t>
  </si>
  <si>
    <t>Kehanetçi'nin söylemeye korktuğu sözü fısıldadı. Şimdi düşmanın zihnine girer; her dönüşte içindeki bir sesi dışarıda bırakır.</t>
  </si>
  <si>
    <t>Kritik_Kara_Pence_Golge</t>
  </si>
  <si>
    <t>Felsefe_Sifacisi; Buyuk_Arcana; Zirve_Efendisi</t>
  </si>
  <si>
    <t>Zirve Efendisi'nin zırhında tek bir açık buldu. Pençesini indirmediği o an yüzünden sürüldü; merhameti kusur sayan ustasını avlar.</t>
  </si>
  <si>
    <t>Ghostbuster_Golge</t>
  </si>
  <si>
    <t>Enerji_Dagiticisi; Galaktik_Bilgisi; Firtina_Lordu; Golge_Zirhi_Tanrisal_Olumsuz</t>
  </si>
  <si>
    <t>Enerji Dağıtıcısı'yla ruhları görünür kıldı. İlk yakaladığı hayalet katilini değil, onu işaret edince avın anlamı değişti.</t>
  </si>
  <si>
    <t>Sinsi_Kilic_Golge</t>
  </si>
  <si>
    <t>Doga_Ustasi; Astral_Savunucu; Celik_Savasci</t>
  </si>
  <si>
    <t>Çelik Savaşçı'nın gölgesinde cepheyi aştı. Hedefinde eski dostunu tanıdı; o gece kılıcından önce emir kâğıdı kesildi.</t>
  </si>
  <si>
    <t>Poisoned_Knife_Insan</t>
  </si>
  <si>
    <t>Dengenin_Koruyucusu; Hayalet_Ustasi; CELIK_KILIC; Kaya_Bekcisi_hayvan</t>
  </si>
  <si>
    <t>Hayalet Ustası'nın vasiyetini açınca zehirlendi. Bedenine vuranlar aynı acıyı yaşar; intikam almak için kılıç çekmesi gerekmez.</t>
  </si>
  <si>
    <t>Firtinali_Golge_Golge</t>
  </si>
  <si>
    <t>Isik_Mimar; ATES_CIRAGI; KIZIL_SAVASCI</t>
  </si>
  <si>
    <t>Ateş Çırağı'nın kıvılcımıyla fırtınaya karıştı. Şimşekler arasında hızlanır; durursa geride bıraktığı eski gölgesi ona yetişecek.</t>
  </si>
  <si>
    <t>KANLI_GOLGE</t>
  </si>
  <si>
    <t>Derin Gölge Fermanı</t>
  </si>
  <si>
    <t>DOGA_SIFACISI; RUN_USTASI_buyucusu; DOVUS_USTASI; Celik_Vucut_insan; Buyuk_Tehlike</t>
  </si>
  <si>
    <t>Kadim Antlaşma</t>
  </si>
  <si>
    <t>Doğa Şifacısı'nın köyünü kana bulayanları avlar. İzleri komutanına çıkınca, emri verenle yerine getireni birlikte yargılar.</t>
  </si>
  <si>
    <t>Derin Gölge Fermanı düğümünde Ninja sınıfının evren bağlantısı güçlendirildi.</t>
  </si>
  <si>
    <t>SESSIZ_AVCI</t>
  </si>
  <si>
    <t>ISIK_RAHIBI; Ates_Lordu; Simsek_Dovuscusu; Tuyles_Savunma_Ejdersoy; Yikici_Sinsi</t>
  </si>
  <si>
    <t>Savaş Borcu</t>
  </si>
  <si>
    <t>Işık Rahibi'nin sakladığı tanığı korumak için karanlığa girdi. Avlarını öldürmeden önce, susturulmak istenen hikâyelerini dinler.</t>
  </si>
  <si>
    <t>GECE_AVCISI</t>
  </si>
  <si>
    <t>KORUYUCU_MELEK; KIYAMET_BUYUCUSU; Buyuk_Celik_Lordu; Buyuk_Kalkan_Insan; Efsanevi_Fisildayici_Insan</t>
  </si>
  <si>
    <t>Gizli Mütabakat</t>
  </si>
  <si>
    <t>Koruyucu Melek'in gündüz arayamadığı kayıpları gece bulur. Pençesini kurtarmak için uzatır; halk onu çocuk hırsızı sanır.</t>
  </si>
  <si>
    <t>Zehirli_Intikamci</t>
  </si>
  <si>
    <t>Derin Zehirli Vasiyet</t>
  </si>
  <si>
    <t>Zihinsel_Iyilestirici; Donusum_Ustasi; Altin_Pence; Savunma_Prensesi_Insan; Hayalet_Kafali</t>
  </si>
  <si>
    <t>Mühür Ortaklığı</t>
  </si>
  <si>
    <t>Altın Pençe'nin açtığı yaraya zehir bastı. Acısını geri verebilirdi; intikamından vazgeçerse zehir onu bitirecek.</t>
  </si>
  <si>
    <t>Derin Zehirli Vasiyet düğümünde Ninja sınıfının evren bağlantısı güçlendirildi.</t>
  </si>
  <si>
    <t>Buyuk_Tehlike</t>
  </si>
  <si>
    <t>Derin Arkan Defteri</t>
  </si>
  <si>
    <t>Doganin_Rehberi; Karanlik_Adept; Savas_Ruhlu; Demir_Zirhli_Asker_insan; Kara_Pence</t>
  </si>
  <si>
    <t>Karanlık Adept'in mühürlediği gücü saldı. Herkes ondan kaçarken Doğanın Rehberi kaldı; tüm öfkesini o tek can için tutar.</t>
  </si>
  <si>
    <t>Derin Arkan Defteri düğümünde Ninja sınıfının evren bağlantısı güçlendirildi.</t>
  </si>
  <si>
    <t>Yikici_Sinsi</t>
  </si>
  <si>
    <t>Zamanin_Sifacisi; Ruh_Yoneticisi; Zirve_Kilici; Kutsal_Volkanik_Asker_Insan; Gizli_Oldurucu</t>
  </si>
  <si>
    <t>Ruh Yöneticisi'ne giden gizli yolu öğrendi. Her sessiz infazda bir ruh eksilir; bitirdiği savaşın o kapıdan döndüğünü görmez.</t>
  </si>
  <si>
    <t>Efsanevi_Fisildayici_Insan</t>
  </si>
  <si>
    <t>Ruh_Hekimi; Yildiz_Yucelten; Kiyamet_Askeri; Kara_Celik_ejdersoy; Firtina_Yikici</t>
  </si>
  <si>
    <t>Ruh Hekimi'nin susturduğu acıyı sesinde saklar. Bir fısıltıyla zihinleri kırabilir; duyduğu son çığlık yıllardır boğazından gelir.</t>
  </si>
  <si>
    <t>Hayalet_Kafali</t>
  </si>
  <si>
    <t>Sonsuz_Umut; Vahsi_Elementalist; Gok_Yildizi; Demir_Beden_Ejdersoy; Hizli_Savasci</t>
  </si>
  <si>
    <t>Sonsuz Umut onu çağırdığında bedeni dönmedi. Aynadaki yabancı yüz gülümser; taşıdığı ruhun kime ait olduğunu öğrenmekten korkar.</t>
  </si>
  <si>
    <t>Kara_Pence</t>
  </si>
  <si>
    <t>Böceksırt</t>
  </si>
  <si>
    <t>Isigin_Murekkep; Kiyamet_Bilgini; Ejderha_Pencesi; Karanlik_Savunucu_Cuce_gelisim; Zehirli_Gozcu</t>
  </si>
  <si>
    <t>Ejderha Pençesi'nden çaldığı tekniği karanlıkla bozdu. Her zaferde ustasının izi silinir; onu aşarken kendini de kaybedecek.</t>
  </si>
  <si>
    <t>Gizli_Oldurucu</t>
  </si>
  <si>
    <t>Mistik_Hayat; Gok_Yuce; Firtina_Efendisi; Isik_Savunucu_insan; Intikam_Avcisi</t>
  </si>
  <si>
    <t>Mistik Hayat ona nasıl öleceğini gösterdi. Kehanetteki yaralıyı öldürmek yerine korur; kaderden kaçış yolu bıçağını indirmektir.</t>
  </si>
  <si>
    <t>Firtina_Yikici</t>
  </si>
  <si>
    <t>Derin Fırtına Divanı</t>
  </si>
  <si>
    <t>Kadim_Ruh_Koruyucusu; Aetherin_Efendisi; Celik_Yildiz; Olumsuz_Kaya_Mutant_Gelisim; Usta_Yikici</t>
  </si>
  <si>
    <t>Aether'in Efendisi'nin fırtınasından sağ çıktı, sesi gökte kaldı. Üçlü darbesindeki gürültü, dünyaya varamayan çığlığıdır.</t>
  </si>
  <si>
    <t>Derin Fırtına Divanı düğümünde Ninja sınıfının evren bağlantısı güçlendirildi.</t>
  </si>
  <si>
    <t>Hizli_Savasci</t>
  </si>
  <si>
    <t>Yasamin_Isigi; Zifiri_Buyucu; Alev_Yurekli; Firtina_Savunmasi_ejdersoy_insan; Dusus_Golgesi</t>
  </si>
  <si>
    <t>Yaşamın Işığı'na dönme sözü verdi. Yendiği her düşman adımlarını hızlandırır; ama eve giden yol öldürmeyi bıraktığı yerde başlar.</t>
  </si>
  <si>
    <t>Zehirli_Gozcu</t>
  </si>
  <si>
    <t>Mistik_Yoldas; Buyusel_Baslangic; Kanli_Sovalye; Ucan_Zirh_Ejdersoy; KANLI_GOLGE</t>
  </si>
  <si>
    <t>Mistik Yoldaş'ın kaybolduğu kapıya zehirli iz bıraktı. İzler gece dışarı yürüdü; dönen kişiyi dostları görmeden bulması gerek.</t>
  </si>
  <si>
    <t>Intikam_Avcisi</t>
  </si>
  <si>
    <t>Evrenin_Iyilestiricisi; Mistik_Ogretmen; Guclu_Savasci; CELIK_GARDIYAN_insan_mutant; SESSIZ_AVCI</t>
  </si>
  <si>
    <t>Çelik Gardiyan'ın açtığı yarayı saklar. İntikam için izini sürerken onu çocukken aynı elin kurtardığını gördü; borcu ikidir.</t>
  </si>
  <si>
    <t>Usta_Yikici</t>
  </si>
  <si>
    <t>Isigin_Yukselisi; Isik_Ustasi; ALEV_KILICI; OBSIDYEN_KALKAN_insan_bocek; GECE_AVCISI</t>
  </si>
  <si>
    <t>Alev Kılıcı'ndan her zırhın açığını öğrendi. Son dersinde ustası silahsız geldi; kusursuz darbenin vurulmayabileceğini anladı.</t>
  </si>
  <si>
    <t>Dusus_Golgesi</t>
  </si>
  <si>
    <t>Tanrisal_Sifaci; KARA_BUYUCUSU; FIRTINA_DOVUSCUSU; KRISTAL_KORUYUCU; Zehirli_Intikamci</t>
  </si>
  <si>
    <t>Tanrısal Şifacı yetişemediğinde bedeni düştü. Gölgesi savaşmayı sürdürdü; son emri, onu kurtarmaya gelenleri uzak tutmaktı.</t>
  </si>
  <si>
    <t>RUH_BICICI</t>
  </si>
  <si>
    <t>Kadim Ruh Mahkemesi</t>
  </si>
  <si>
    <t>ZAMAN_SIFACISI; BOYUT_USTASI_bukucu; SAVAS_LORDU; ABIS_GARDIYANI_golge; Hayalet_Asker; KADIM_SIFACI; Eski_Kitap_Ustasi</t>
  </si>
  <si>
    <t>Kader Düğümü</t>
  </si>
  <si>
    <t>Ruh Mahkemesi'nin kaçaklarını biçer. Hayalet Asker'in kaydında mührünü bulunca, başkasının suçlarını topladığını öğrendi.</t>
  </si>
  <si>
    <t>Kadim Ruh Mahkemesi düğümünde Ninja sınıfının evren bağlantısı güçlendirildi.</t>
  </si>
  <si>
    <t>KAOS_GOLGESI</t>
  </si>
  <si>
    <t>Kadim Gölge Fermanı</t>
  </si>
  <si>
    <t>RUH_SAMANI; Zehirli_Ruya; Efsanevi_Zirhli; Firtina_Gucu_Cuce; Sonsuz_Pence; ISIK_LORDU</t>
  </si>
  <si>
    <t>Kutsal Karşılık</t>
  </si>
  <si>
    <t>Ruh Şamanı'nın mühründen sızdı; her gölgede başka bir güce uyanır. Işık Lordu'nun yüzünden neden korktuğunu hatırlamaz.</t>
  </si>
  <si>
    <t>Kadim Gölge Fermanı düğümünde Ninja sınıfının evren bağlantısı güçlendirildi.</t>
  </si>
  <si>
    <t>OLUM_DANSCISI</t>
  </si>
  <si>
    <t>Kadim Kaos Tacı</t>
  </si>
  <si>
    <t>YASAM_USTASI; Firtina_Cildirani; Firtina_Aslani; Yildirim_Muhafizi; Kanli_Avci; YASAM_EFENDISI; Buz_Prensi</t>
  </si>
  <si>
    <t>Gölge Yargısı</t>
  </si>
  <si>
    <t>Yaşam Ustası'ndan çaldığı nefesle son dansını uzatır. Adımları hızlandıkça ölüm geride kalır; müzik susarsa borç tahsil edilecek.</t>
  </si>
  <si>
    <t>Kadim Kaos Tacı düğümünde Ninja sınıfının evren bağlantısı güçlendirildi.</t>
  </si>
  <si>
    <t>Yilanin_Laneti</t>
  </si>
  <si>
    <t>Zamanin_Rehberi; Kader_Orgusu_Arkan_buyucusu; Atesli_Kilic; Buzlarin_Efendisi_insan; Kritik_Gozcu; Butunlestirici</t>
  </si>
  <si>
    <t>Taht Öncesi Hüküm</t>
  </si>
  <si>
    <t>Kader Örgüsü'nün düğümünü ısırınca lanet soyuna geçti. Her avında bir adı siler; son adın doğacak çocuğuna ait olduğunu bilir.</t>
  </si>
  <si>
    <t>Hayalet_Asker</t>
  </si>
  <si>
    <t>Kadim_Yasam_Efendisi; Alev_Krali; Yikici_Sovalye; Sonsuz_Savunma; RUH_BICICI; KADIM_SIFACI; Eski_Kitap_Ustasi</t>
  </si>
  <si>
    <t>Kadim Şifacı onu diriltti ama savaş bitmişti. Komutanının son emrini hâlâ uygular; mezarına yazılan barışı okumayı hiç öğrenmedi.</t>
  </si>
  <si>
    <t>Sonsuz_Pence</t>
  </si>
  <si>
    <t>Efsanevi_Iyilestirici; Ruh_Atesi; Golge_Kalkani; TITANYUM_SOVALYE; KAOS_GOLGESI; ISIK_LORDU</t>
  </si>
  <si>
    <t>Ruh Ateşi'nde dövülen pençeleri her darbede büyür. Kaos Gölgesi'ni yendiğinde silahını bırakamadı; sarılacağı her şeyi yaralıyor.</t>
  </si>
  <si>
    <t>Kanli_Avci</t>
  </si>
  <si>
    <t>Sonsuz_Yasamin_Bekcisi; Efsanevi_Bilge; KARA_SOVALYE; MAGMA_KORUYUCU; OLUM_DANSCISI; YASAM_EFENDISI; Buz_Prensi</t>
  </si>
  <si>
    <t>Kara Şövalye'nin kan izini yıllardır sürer. İzler masum bir çocuğa ulaşınca, avının bir bedenden diğerine geçtiğini anladı.</t>
  </si>
  <si>
    <t>Kritik_Gozcu</t>
  </si>
  <si>
    <t>Isigin_Yuces; ZAMAN_BUYUCUSU; KUTSAL_KILIC; KUTSAL_MUHAFIZ; Yilanin_Laneti; Butunlestirici</t>
  </si>
  <si>
    <t>Zaman Büyücüsü ona tek bir kusursuz vuruş gösterdi. Her bakışta açığı seçer; kendi ölümünü gördüğü için aynalara hiç yaklaşmaz.</t>
  </si>
  <si>
    <t>GOLGE_LORDU</t>
  </si>
  <si>
    <t>Efsanevi Gölge Fermanı</t>
  </si>
  <si>
    <t>KADIM_SIFACI; Eski_Kitap_Ustasi; EFSANE_GLADYATOR; Yikim_Tanrisi; YASAM_TANRISI; EVREN_BUYUCUSU; SAVAS_TANRISI; EVREN_KORUYUCUSU</t>
  </si>
  <si>
    <t>Efsanevi Ferman</t>
  </si>
  <si>
    <t>Kadim Şifacı'ya yemin edip gölgelerden ordu kurdu. Her suret yüzünü taşır; biri unutmayı seçtiği ihaneti de hatırlar.</t>
  </si>
  <si>
    <t>Efsanevi Gölge Fermanı düğümünde Ninja sınıfının evren bağlantısı güçlendirildi.</t>
  </si>
  <si>
    <t>KIYAMET_SUIKASTCISI</t>
  </si>
  <si>
    <t>Efsanevi Kaos Tacı</t>
  </si>
  <si>
    <t>ISIK_LORDU; GOKYUZU_HAKIMI; Karanlik_Savasci; EJDER_PULLU_SOVALYE; ZAMAN_BUKUCU; BUYU_TANRISI; KAOS_SAMPIYONU; Zirh_Tanrisi</t>
  </si>
  <si>
    <t>Taçlar Arası Antlaşma</t>
  </si>
  <si>
    <t>Gökyüzü Hâkimi'ni öldürmek için kıyamete girdi. Son darbesi Zaman Bükücü'nün elinde dondu; o tek anın içinde doğru hedefi arar.</t>
  </si>
  <si>
    <t>Efsanevi Kaos Tacı düğümünde Ninja sınıfının evren bağlantısı güçlendirildi.</t>
  </si>
  <si>
    <t>BOYUT_KATILI</t>
  </si>
  <si>
    <t>Efsanevi Zaman Düğümü</t>
  </si>
  <si>
    <t>YASAM_EFENDISI; Buz_Prensi; ZAFER_MELEGI; OLUMSUZ_KALKANLI_ASKER; IYILESTIRME_TANRISI; EVREN_BUYUCUSU; SAVAS_TANRISI; EVREN_KORUYUCUSU</t>
  </si>
  <si>
    <t>Kıyamet Tanıklığı</t>
  </si>
  <si>
    <t>Buz Prensi'nin kilitlediği geçidi kesti; ardında evi yoktu. Artık her boyutu yararken öldüreceği kişiden önce kayıp kapısını arar.</t>
  </si>
  <si>
    <t>Efsanevi Zaman Düğümü düğümünde Ninja sınıfının evren bağlantısı güçlendirildi.</t>
  </si>
  <si>
    <t>GOLGE</t>
  </si>
  <si>
    <t>Butunlestirici; KADIM_BUYUCU; KIYAMET_SAVASCISI; Kara_Zirhli_Ejderha; YASAM_TANRISI; BUYU_TANRISI; KAOS_SAMPIYONU; Zirh_Tanrisi</t>
  </si>
  <si>
    <t>Ruhani Hüküm</t>
  </si>
  <si>
    <t>Kadim Büyücü'nün ilk ışığından doğdu, bir beden verilmedi. Herkesin ardında yürür; tek isteği bir gün gölgesini görebilmektir.</t>
  </si>
  <si>
    <t>OLUM_TANRISI</t>
  </si>
  <si>
    <t>Tanrısal Kaos Tacı</t>
  </si>
  <si>
    <t>IYILESTIRME_TANRISI; EVREN_BUYUCUSU; SAVAS_TANRISI; EVREN_KORUYUCUSU; YASAM_TANRISI; YASAM_EFENDISI; Buz_Prensi; ZAFER_MELEGI; OLUMSUZ_KALKANLI_ASKER; BOYUT_KATILI</t>
  </si>
  <si>
    <t>Tanrısal Yasa</t>
  </si>
  <si>
    <t>Yaşam Tanrısı'yla ilk sınırı çizdi. Bir çocuğun adını defterden sildiği gün ölüm dünyadan çekildi; merhametinin bedelini toplar.</t>
  </si>
  <si>
    <t>Tanrısal Kaos Tacı düğümünde Ninja sınıfının evren bağlantısı güçlendirildi.</t>
  </si>
  <si>
    <t>GOLGELER_EFENDISI</t>
  </si>
  <si>
    <t>Tanrısal Gölge Fermanı</t>
  </si>
  <si>
    <t>YASAM_TANRISI; BUYU_TANRISI; KAOS_SAMPIYONU; Zirh_Tanrisi; ZAMAN_BUKUCU; Butunlestirici; KADIM_BUYUCU; KIYAMET_SAVASCISI; Kara_Zirhli_Ejderha; GOLGE</t>
  </si>
  <si>
    <t>Evren Mührü</t>
  </si>
  <si>
    <t>İlk yıldız sönmeden karanlığı tanıyordu. Tüm gölgeler ona uyar; ilk ışıkta bıraktığı gölgeyse gerçek efendiyi söyler.</t>
  </si>
  <si>
    <t>Tanrısal Gölge Fermanı düğümünde Ninja sınıfının evren bağlantısı güçlendirildi.</t>
  </si>
  <si>
    <t>DEMiR_MUHAFIZ</t>
  </si>
  <si>
    <t>Tank</t>
  </si>
  <si>
    <t>Çelik Yemin</t>
  </si>
  <si>
    <t>CIRAK_SIFACI; KIZIL_SAVASCI; YILDIRIM_ADEPTI; Golgelerin_Ustasi_Golge</t>
  </si>
  <si>
    <t>Çırak Şifacı'yı korurken geri çekilme emrini duymadı. Demir zırhındaki her oyuk, kurtardığı bir canın söyleyemediği teşekkürdür.</t>
  </si>
  <si>
    <t>Çelik Yemin düğümünde Tank sınıfının evren bağlantısı güçlendirildi.</t>
  </si>
  <si>
    <t>Kaya_Bekcisi_hayvan</t>
  </si>
  <si>
    <t>Canavar</t>
  </si>
  <si>
    <t>RUH_BEKCISI; SAVAS_CIRAGI; GOLGE_BUYUCUSU</t>
  </si>
  <si>
    <t>Savaş Çırağı'nı kayanın altında buldu, tüm dağı sırtında tuttu. Köylüler ona canavar der; çıkan her çocukla biraz doğrulur.</t>
  </si>
  <si>
    <t>Zincir_Koruyucu</t>
  </si>
  <si>
    <t>Taş Ahit</t>
  </si>
  <si>
    <t>UMUT_TASIYICI; Zirve_Pencesi; Kita_Buyucusu; Kritik_Golge_Golge</t>
  </si>
  <si>
    <t>Zincirlerini Umut Taşıyıcı kırdı. Halkaları atmadı; dostlarına zırh örer, bir daha kimseyi tutsak etmemeye verdiği sözü taşır.</t>
  </si>
  <si>
    <t>Taş Ahit düğümünde Tank sınıfının evren bağlantısı güçlendirildi.</t>
  </si>
  <si>
    <t>Ates_Tasi_Ejderhasi_Ejdersoy</t>
  </si>
  <si>
    <t>Kızıl Antlaşma</t>
  </si>
  <si>
    <t>Sifa_Yildizi; Savasin_Efendisi; Ruzgar_Efendisi</t>
  </si>
  <si>
    <t>Kızıl Antlaşma'yı korumak için ateşini taşa hapsetti. Her darbe bir çatlak açar; pulları kırılırsa dostu da düşmanı da yanacak.</t>
  </si>
  <si>
    <t>Kızıl Antlaşma düğümünde Tank sınıfının evren bağlantısı güçlendirildi.</t>
  </si>
  <si>
    <t>Demir_Asker_Tanrisal_Olumsuz</t>
  </si>
  <si>
    <t>Kaos Tacı</t>
  </si>
  <si>
    <t>Umut_Alevi; Yildiz_Savascisi; Zaman_Efendisi; Gizli_Yikici_Cuce</t>
  </si>
  <si>
    <t>Zaman Efendisi'nin unuttuğu savaşta kaldı. Ölümsüz bedeni nöbette; her çağ yeni bir düşman getirirken koruduğu şehrin adı değişir.</t>
  </si>
  <si>
    <t>Kaos Tacı düğümünde Tank sınıfının evren bağlantısı güçlendirildi.</t>
  </si>
  <si>
    <t>Tas_Yurekli_Tanrisal_Olumsuz</t>
  </si>
  <si>
    <t>Hayat_Akisi; Kutsal_Asker; ARKAN_BUYUCUSU</t>
  </si>
  <si>
    <t>Kaos Tacı'nı taşımak için kalbini taşa çevirdi. Hayat Akışı bir gün tek atış duydu; hissetmeye başlarsa tüm eski acıları dönecek.</t>
  </si>
  <si>
    <t>Celik_Muhafiz_Tanrisal_Olumsuz</t>
  </si>
  <si>
    <t>Kutsal_Isik; Kanli_Kalkan; ELEMENTALIST; Sinsi_Safak_Insan</t>
  </si>
  <si>
    <t>Kanlı Kalkan'a verdiği sözle darbeleri bedeninde toplar. Her savaşta güçlenir ama zırhında dostlarına sarılacak yer azalır.</t>
  </si>
  <si>
    <t>Kalkan_Kralicesi_Tanrisal_Olumsuz</t>
  </si>
  <si>
    <t>Sonsuz_Sifaci; Yikim_Avcisi; Efsanevi_Arcanist</t>
  </si>
  <si>
    <t>Sonsuz Şifacı'yı kurtarmak için tahtından indi. Tacını kalkanına dövdü; önünde eğilenler hükümdar değil, sığınak arar.</t>
  </si>
  <si>
    <t>Kara_Zirhli_Bayan_Tanrisal_Olumsuz</t>
  </si>
  <si>
    <t>Isik_Yoldasi; Firtina_Celik; Aetherian_Adept; Gizli_Gozcu_Golge</t>
  </si>
  <si>
    <t>Işık Yoldaşı'yla sürgüne çıktı, kraliyet zırhını bırakmadı. Ona saldıran askerleri tanır; her darbede karşılık vermemeyi seçer.</t>
  </si>
  <si>
    <t>Gölge Fermanı düğümünde Tank sınıfının evren bağlantısı güçlendirildi.</t>
  </si>
  <si>
    <t>Golge_Kalkani_Nam-i_DigerOlumsuz_TanricasiTanrisal_Olumsuz</t>
  </si>
  <si>
    <t>Doga_Efendisi; Altin_Yildiz; Gece_Isiginin_Efendisi</t>
  </si>
  <si>
    <t>Altın Yıldız sönerken gölgeyi kalkanına çekti. Halkını kurtardı ama yüzü karardı; koruduğu çocuklar onu görünce artık saklanıyor.</t>
  </si>
  <si>
    <t>Immortal_Shielded_-_Tanrisal_Olumsuz</t>
  </si>
  <si>
    <t>Zihinsel_Sifaci; Olumsuz_Kilic; Yikim_Meclisi; Silent_Destructor_Insan</t>
  </si>
  <si>
    <t>Ölümsüz Kılıç'la aynı yemine bağlandı. Her düşüşte ayağa kalkar; cezası ölmemek değil, koruyamadığı yüzleri unutmamaktır.</t>
  </si>
  <si>
    <t>Kalkan_Titani_Tanrisal_Olumsuz</t>
  </si>
  <si>
    <t>Hayat_Koruyucusu; Simsek_Askeri; Astral_Hukumdar</t>
  </si>
  <si>
    <t>Astral Hükümdar'ın tahtı düşerken halkın önüne geçti. Kral kaçtı; titan omuzlarında taşıdığı gücü artık hiçbir tahta borç saymaz.</t>
  </si>
  <si>
    <t>Zirhli_Dev_Ejdersoy</t>
  </si>
  <si>
    <t>Dev</t>
  </si>
  <si>
    <t>Sifa_Isigi; Buyuk_Celik_Avci; Kara_Ruh_Buyucusu; Korku_Imparatoru_golge</t>
  </si>
  <si>
    <t>Korku İmparatoru onu surları yıkmak için yetiştirdi. Bir çocuğun önünde diz çöktüğü gün dev bedeni, silah değil siper oldu.</t>
  </si>
  <si>
    <t>Demir_Zirh_Ejdersoy</t>
  </si>
  <si>
    <t>Ejdersoy</t>
  </si>
  <si>
    <t>Ruh_Diriltici; Kara_Pence; Beyaz_Buyucu</t>
  </si>
  <si>
    <t>Ruh Diriltici onu çağırınca derisi demire döndü. Bedeni yara göstermez; savaşın acısını kalkanına dokunanlar duyar.</t>
  </si>
  <si>
    <t>Gumus_Kol_Ejdersoy</t>
  </si>
  <si>
    <t>Efsanevi_Sifaci; Intikamci_Kilic; Mistik_Kral; Kritik_Firtina_INSAN</t>
  </si>
  <si>
    <t>İntikamcı Kılıç'ı kurtarırken kolunu yitirdi. Gümüş kolu her darbeyi savuşturur; tuttuğu hiçbir elde sıcaklık hissedemez.</t>
  </si>
  <si>
    <t>Gece_Kalkani_Ejdersoy</t>
  </si>
  <si>
    <t>Hayat_Rehberi; Kara_Aslan; Zamanin_Bukucusu</t>
  </si>
  <si>
    <t>Hayat Rehberi'yle gece kervanını savundu. Kalkanına sinen karanlık ışıkta kaybolur; evine dönmek için güneşin batmasını bekler.</t>
  </si>
  <si>
    <t>Buz_Zirhi_Ejdersoy</t>
  </si>
  <si>
    <t>Buz Mührü</t>
  </si>
  <si>
    <t>Evren_Sifacisi; Ejderha_Savascisi; Gok_Tanricesi; Mortal_Shadow_Golge</t>
  </si>
  <si>
    <t>Ejder ateşini durdurmak için Buz Mührü'ne dokundu. Pullarında donan son nefes erirse, koruduğu köy o yangını yeniden yaşayacak.</t>
  </si>
  <si>
    <t>Buz Mührü düğümünde Tank sınıfının evren bağlantısı güçlendirildi.</t>
  </si>
  <si>
    <t>Yelkenli_Zirh_Insan</t>
  </si>
  <si>
    <t>Isik_Vekili; Tacsiz_Muhafiz; Karanlik_Kader</t>
  </si>
  <si>
    <t>Taçsız Muhafız'ın batan gemisinden yelkeni kurtardı. Zırhındaki kumaş rüzgâr toplar; üstündeki aile arması hiç kurumaz.</t>
  </si>
  <si>
    <t>Zirh_Krali_Cuce</t>
  </si>
  <si>
    <t>Mistik_Sifaci; Firtina_Zirhli; Isigin_Yikicisi; Between_The_Shadows_Golge</t>
  </si>
  <si>
    <t>Cüce tahtını zırhla kazandı; taçları eritti. Halkının her kalkanında, eskiden yalnız kralların taşıdığı altın vardır.</t>
  </si>
  <si>
    <t>Kutsal_Savunma</t>
  </si>
  <si>
    <t>Kutsal Yemin</t>
  </si>
  <si>
    <t>Hayat_Fisildayicisi; Alevli_Savasci; Elemental_Tanri</t>
  </si>
  <si>
    <t>Alevli Savaşçı'nın önünde kutsal yemin etti. Işığı onu her hain darbeden korur; dostunun kılıcında neden söndüğünü arar.</t>
  </si>
  <si>
    <t>Kutsal Yemin düğümünde Tank sınıfının evren bağlantısı güçlendirildi.</t>
  </si>
  <si>
    <t>Kum_Zirhli_Cuce</t>
  </si>
  <si>
    <t>Kadim_Ruh_Samani; Guclu_Savas_Efendisi; Buyulu_Zirve; God_Of_Secrecy_Insan</t>
  </si>
  <si>
    <t>Gömülen cüce ocağının son bekçisidir. Zırhındaki her taneyi evine taşır; rüzgâr her gece biriktirdiği yolu dağıtır.</t>
  </si>
  <si>
    <t>Alev_Kalkani_Cuce</t>
  </si>
  <si>
    <t>Isigin_Efendisi; Yikici_Gladyator; Goklerin_Efendisi</t>
  </si>
  <si>
    <t>Yıkıcı Gladyatör'ün kırdığı kalkanı lavda dövdü. Ateş darbeleri geri yollar; ama bir dost dokununca kendisi yanmayı seçer.</t>
  </si>
  <si>
    <t>Gumus_Zirh_Cuce</t>
  </si>
  <si>
    <t>Hayat_Armonisti; Kutsal_Zirh; Yuce_Akil; Gece_Yilani_Surungensoy</t>
  </si>
  <si>
    <t>Hayat Armonisti'nin ezgisini gümüşe işledi. Zırhı çınladıkça dostları güçlenir; savaşta yitirdiği sesi yalnız metalinde duyulur.</t>
  </si>
  <si>
    <t>Savas_Tanrisi_Tanrisal_Olumsuz</t>
  </si>
  <si>
    <t>Zamanin_Yoldasi; Ejderha_Kafali; Kadim_Guc</t>
  </si>
  <si>
    <t>Kaos Tacı'nın ilk savaşından beri yenilmedi. Zamanın Yoldaşı boş meydanı gösterdi; kimse kalmayınca zaferin anlamını aradı.</t>
  </si>
  <si>
    <t>FIRTINA_ZIRHI_Cuce</t>
  </si>
  <si>
    <t>Kutsal_Sifaci; Buyuk_Kanli_Asker; Felsefe_Buyucusu; Kritik_Kara_Pence_Golge</t>
  </si>
  <si>
    <t>Fırtına Divanı'nın yıldırımını cüce zırhına hapsetti. Geri çekilirse fırtına köyüne dönecek; her savaşı yerinde karşılar.</t>
  </si>
  <si>
    <t>Fırtına Divanı düğümünde Tank sınıfının evren bağlantısı güçlendirildi.</t>
  </si>
  <si>
    <t>Hancer_Zirhi_Cuce</t>
  </si>
  <si>
    <t>Evrenin_Korumacisi; Zirhli_Efendi; Kehanetci</t>
  </si>
  <si>
    <t>Kehanetçi'nin gördüğü kuşatmaya hazırlandı. Ölülerinin hançerlerini zırhına gömdü; adları olmadan onları koruyamaz sanır.</t>
  </si>
  <si>
    <t>Simsek_Kalkani_Cuce</t>
  </si>
  <si>
    <t>Yasamin_Bekcisi; Firtina_Kilici; Buyuk_Arcana; Sinsi_Kilic_Golge</t>
  </si>
  <si>
    <t>Fırtına Kılıcı'nı korurken ilk yıldırımı kalkanında tuttu. Gök her gürlediğinde birini kurtarır, içindeki fırtına daha büyür.</t>
  </si>
  <si>
    <t>AgirZirh_insan</t>
  </si>
  <si>
    <t>Felsefe_Sifacisi; Kutsal_Pence; Galaktik_Bilgisi</t>
  </si>
  <si>
    <t>Kutsal Pençe'yi bıraktığı gece kaçabilmişti. O utançla dövdüğü ağır zırh geri adım attırmaz; yalnız ileri yürümeyi bilir.</t>
  </si>
  <si>
    <t>Ejderha_Zirhli_Ejdersoy</t>
  </si>
  <si>
    <t>Enerji_Dagiticisi; Zirve_Efendisi; Astral_Savunucu; Firtinali_Golge_Golge</t>
  </si>
  <si>
    <t>Zirve Efendisi'ne son ejder pulunu emanet etti. Bedenindeki zırh kırılırsa soyu bitecek; halkının bunu bilmeden güvenmesini ister.</t>
  </si>
  <si>
    <t>Demir_Kafes_Insan</t>
  </si>
  <si>
    <t>Doga_Ustasi; Firtina_Lordu; Hayalet_Ustasi</t>
  </si>
  <si>
    <t>Doğa Ustası'nı kurtarıp kafesini zırh yaptı. Dostlarını korudukça duvarları yükselir; siperinin ne zaman hapse dönüştüğünü arar.</t>
  </si>
  <si>
    <t>Tas_Yurekli_Insan</t>
  </si>
  <si>
    <t>Dengenin_Koruyucusu; Celik_Savasci; ATES_CIRAGI; Zehir_Bicagi_Insan</t>
  </si>
  <si>
    <t>Çelik Savaşçı'yla kapıda nöbet tuttu; kardeşini içeri almadığı gece şehir kurtuldu. Taş yürekli denir, oysa kapının sesine ağlar.</t>
  </si>
  <si>
    <t>Golge_Zirhi_Tanrisal_Olumsuz</t>
  </si>
  <si>
    <t>Isik_Mimar; CELIK_KILIC; BUZ_OGRENCISI</t>
  </si>
  <si>
    <t>Işık Mimar'ın açık bıraktığı kapıda bekler. Gölge zırhı saldırıları emer; son ses, geçirmediği annesine aittir.</t>
  </si>
  <si>
    <t>CELIK_GARDIYAN_insan_mutant</t>
  </si>
  <si>
    <t>Derin Çelik Yemin</t>
  </si>
  <si>
    <t>DOGA_SIFACISI; FIRTINA_DOVUSCUSU; Ates_Lordu; Zehirli_Intikamci; Tuyles_Savunma_Ejdersoy</t>
  </si>
  <si>
    <t>Doğa Şifacısı onu çelikten geri çeviremedi. Halk onu insan saymaz; savaştan sonra soğuk elleriyle yaralıların üstünü örter.</t>
  </si>
  <si>
    <t>Derin Çelik Yemin düğümünde Tank sınıfının evren bağlantısı güçlendirildi.</t>
  </si>
  <si>
    <t>OBSIDYEN_KALKAN_insan_bocek</t>
  </si>
  <si>
    <t>ISIK_RAHIBI; DOVUS_USTASI; KIYAMET_BUYUCUSU; Buyuk_Tehlike; Buyuk_Kalkan_Insan</t>
  </si>
  <si>
    <t>Kıyamet ateşinde derisi obsidyene döndü. Işık Rahibi içindeki canı gördü; herkes kaçsa da o inançla siperini bırakmaz.</t>
  </si>
  <si>
    <t>KRISTAL_KORUYUCU</t>
  </si>
  <si>
    <t>KORUYUCU_MELEK; Simsek_Dovuscusu; Donusum_Ustasi; Yikici_Sinsi; Savunma_Prensesi_Insan</t>
  </si>
  <si>
    <t>Koruyucu Melek'in düşen ışığını kristale hapsetti. Her çatlak eski bir sırrını gösterir; kalkanı kırılmadan gerçeği söylemeli.</t>
  </si>
  <si>
    <t>Celik_Vucut_insan</t>
  </si>
  <si>
    <t>Zihinsel_Iyilestirici; Buyuk_Celik_Lordu; Karanlik_Adept; Efsanevi_Fisildayici_Insan; Demir_Zirhli_Asker_insan</t>
  </si>
  <si>
    <t>Zihinsel İyileştirici acısını susturdu. Çelik bedeni darbeleri duymaz; öldüğünü anlamamaktan korkar, dostlarının sesini dinler.</t>
  </si>
  <si>
    <t>Tuyles_Savunma_Ejdersoy</t>
  </si>
  <si>
    <t>Derin Taş Ahit</t>
  </si>
  <si>
    <t>Doganin_Rehberi; Altin_Pence; Ruh_Yoneticisi; Hayalet_Kafali; Kutsal_Volkanik_Asker_Insan</t>
  </si>
  <si>
    <t>Doğanın Rehberi'yle Taş Ahit'i yeniledi. Ayak bastığı yerde koruma büyür; ayrılırsa gömdüğü eski efendisi serbest kalacak.</t>
  </si>
  <si>
    <t>Derin Taş Ahit düğümünde Tank sınıfının evren bağlantısı güçlendirildi.</t>
  </si>
  <si>
    <t>Buyuk_Kalkan_Insan</t>
  </si>
  <si>
    <t>Zamanin_Sifacisi; Savas_Ruhlu; Yildiz_Yucelten; Kara_Pence; Kara_Celik_ejdersoy</t>
  </si>
  <si>
    <t>Yıldız Yücelten'in rünleriyle ordusuna kalkan oldu. Yardım seslerini susturamaz; kurtardığı her asker yeni bir yük bırakır.</t>
  </si>
  <si>
    <t>Derin Arkan Defteri düğümünde Tank sınıfının evren bağlantısı güçlendirildi.</t>
  </si>
  <si>
    <t>Savunma_Prensesi_Insan</t>
  </si>
  <si>
    <t>Ruh_Hekimi; Zirve_Kilici; Vahsi_Elementalist; Gizli_Oldurucu; Demir_Beden_Ejdersoy</t>
  </si>
  <si>
    <t>Zirve Kılıcı'yla düşen saraydan halkını çıkardı. Tahtı geri almayı değil, kendisini tahttan indirenleri bile korumayı miras sayar.</t>
  </si>
  <si>
    <t>Demir_Zirhli_Asker_insan</t>
  </si>
  <si>
    <t>Sonsuz_Umut; Kiyamet_Askeri; Kiyamet_Bilgini; Firtina_Yikici; Karanlik_Savunucu_Cuce_gelisim</t>
  </si>
  <si>
    <t>Kıyamet Askeri'nin hücumunda son emri yaktı. Zırhı her darbede ağırlaşır; hesap vermek için savaşın sonuna dek ayakta kalmalı.</t>
  </si>
  <si>
    <t>Kutsal_Volkanik_Asker_Insan</t>
  </si>
  <si>
    <t>Derin Kızıl Antlaşma</t>
  </si>
  <si>
    <t>Isigin_Murekkep; Gok_Yildizi; Gok_Yuce; Hizli_Savasci; Isik_Savunucu_insan</t>
  </si>
  <si>
    <t>Işığın Mürekkebi'yle lavın üstüne yemin yazdı. Kalkanı yalnız doğru söylerse açılır; korumak için sakladığı bir sırrı vardır.</t>
  </si>
  <si>
    <t>Derin Kızıl Antlaşma düğümünde Tank sınıfının evren bağlantısı güçlendirildi.</t>
  </si>
  <si>
    <t>Kara_Celik_ejdersoy</t>
  </si>
  <si>
    <t>Mistik_Hayat; Ejderha_Pencesi; Aetherin_Efendisi; Zehirli_Gozcu; Olumsuz_Kaya_Mutant_Gelisim</t>
  </si>
  <si>
    <t>Ejderha Pençesi'yle kara ocakta dövüldü. Pulları vuruldukça sertleşir; savaş uzarsa bedenini kaplayan çelik, kalbini de örtecek.</t>
  </si>
  <si>
    <t>Derin Gölge Fermanı düğümünde Tank sınıfının evren bağlantısı güçlendirildi.</t>
  </si>
  <si>
    <t>Demir_Beden_Ejdersoy</t>
  </si>
  <si>
    <t>Kadim_Ruh_Koruyucusu; Firtina_Efendisi; Zifiri_Buyucu; Intikam_Avcisi; Firtina_Savunmasi_ejdersoy_insan</t>
  </si>
  <si>
    <t>Kadim Ruh Koruyucusu bedenini demire çevirdi. Tek yumuşak yeri kalbi kaldı; düşmanı zayıflık, dostları insanlık dedi.</t>
  </si>
  <si>
    <t>Karanlik_Savunucu_Cuce_gelisim</t>
  </si>
  <si>
    <t>Yasamin_Isigi; Celik_Yildiz; Buyusel_Baslangic; Usta_Yikici; Ucan_Zirh_Ejdersoy</t>
  </si>
  <si>
    <t>Yaşamın Işığı'nı cüce tünellerinde sakladı. Her darbe karanlık bariyerini büyütür; ışığın onu da düşman saymasından korkar.</t>
  </si>
  <si>
    <t>Isik_Savunucu_insan</t>
  </si>
  <si>
    <t>Derin Kutsal Yemin</t>
  </si>
  <si>
    <t>Mistik_Yoldas; Alev_Yurekli; Mistik_Ogretmen; Dusus_Golgesi; CELIK_GARDIYAN_insan_mutant</t>
  </si>
  <si>
    <t>Mistik Yoldaş'la kayıp tapınağa ulaştı. Işık kalkanı herkesi koruyordu; tapınağın celladını da kurtardığında inancını sorguladı.</t>
  </si>
  <si>
    <t>Derin Kutsal Yemin düğümünde Tank sınıfının evren bağlantısı güçlendirildi.</t>
  </si>
  <si>
    <t>Olumsuz_Kaya_Mutant_Gelisim</t>
  </si>
  <si>
    <t>Derin Kaos Tacı</t>
  </si>
  <si>
    <t>Evrenin_Iyilestiricisi; Kanli_Sovalye; Isik_Ustasi; KANLI_GOLGE; OBSIDYEN_KALKAN_insan_bocek</t>
  </si>
  <si>
    <t>Evrenin İyileştiricisi kayadaki canı uyandırdı. Her kurtarışta bir yüz hatırlar; taşa çevrilmeden önce kim olduğunu öğrenir.</t>
  </si>
  <si>
    <t>Derin Kaos Tacı düğümünde Tank sınıfının evren bağlantısı güçlendirildi.</t>
  </si>
  <si>
    <t>Firtina_Savunmasi_ejdersoy_insan</t>
  </si>
  <si>
    <t>Isigin_Yukselisi; Guclu_Savasci; KARA_BUYUCUSU; SESSIZ_AVCI; KRISTAL_KORUYUCU</t>
  </si>
  <si>
    <t>Kristal Koruyucu'yu örttüğü fırtınada kanatlarını yitirdi. Uçamaz; rüzgârını, göğe bakmaya bile korkanların önüne siper eder.</t>
  </si>
  <si>
    <t>Derin Fırtına Divanı düğümünde Tank sınıfının evren bağlantısı güçlendirildi.</t>
  </si>
  <si>
    <t>Ucan_Zirh_Ejdersoy</t>
  </si>
  <si>
    <t>Tanrisal_Sifaci; ALEV_KILICI; RUN_USTASI_buyucusu; GECE_AVCISI; Celik_Vucut_insan</t>
  </si>
  <si>
    <t>Rün Ustası pullarına göğün işaretini kazıdı. Okların üstünde uçabilir; dostu düşünce yüksekte kalmak en ağır seçimidir.</t>
  </si>
  <si>
    <t>TITANYUM_SOVALYE</t>
  </si>
  <si>
    <t>Kadim Çelik Yemin</t>
  </si>
  <si>
    <t>ZAMAN_SIFACISI; KUTSAL_KILIC; Zehirli_Ruya; Yilanin_Laneti; Firtina_Gucu_Cuce; KADIM_SIFACI; KIYAMET_SAVASCISI</t>
  </si>
  <si>
    <t>Kıyamet Savaşçısı'na karşı titanyum bir kalp kuşandı. Yaraları durmadan kapanır; ilk kaybını anınca bir çatlak kalır.</t>
  </si>
  <si>
    <t>Kadim Çelik Yemin düğümünde Tank sınıfının evren bağlantısı güçlendirildi.</t>
  </si>
  <si>
    <t>MAGMA_KORUYUCU</t>
  </si>
  <si>
    <t>Kadim Kızıl Antlaşma</t>
  </si>
  <si>
    <t>RUH_SAMANI; SAVAS_LORDU; Firtina_Cildirani; Hayalet_Asker; Yildirim_Muhafizi; ISIK_LORDU</t>
  </si>
  <si>
    <t>Ruh Şamanı onu yanardağın içine mühürledi. Öfkesini lav zırhına döker; volkandan çıksa koruduğu topraklar da yanacak.</t>
  </si>
  <si>
    <t>Kadim Kızıl Antlaşma düğümünde Tank sınıfının evren bağlantısı güçlendirildi.</t>
  </si>
  <si>
    <t>KUTSAL_MUHAFIZ</t>
  </si>
  <si>
    <t>Kadim Kutsal Yemin</t>
  </si>
  <si>
    <t>YASAM_USTASI; Efsanevi_Zirhli; Kader_Orgusu_Arkan_buyucusu; Sonsuz_Pence; Buzlarin_Efendisi_insan; YASAM_EFENDISI; Karanlik_Savasci</t>
  </si>
  <si>
    <t>Yaşam Ustası'na ettiği yeminle canları ölümden saklar. Kutsadığı son kişi hafızalardan silindi; onu yalnız kendisi hatırlar.</t>
  </si>
  <si>
    <t>Kadim Kutsal Yemin düğümünde Tank sınıfının evren bağlantısı güçlendirildi.</t>
  </si>
  <si>
    <t>ABIS_GARDIYANI_golge</t>
  </si>
  <si>
    <t>Zamanin_Rehberi; Firtina_Aslani; Alev_Krali; Kanli_Avci; Sonsuz_Savunma; Butunlestirici</t>
  </si>
  <si>
    <t>Abis kapısında Zamanın Rehberi'ni bekler. İçeriden gelen sesi düşman sanır; kapıyı her tuttuğunda oğlunun sesine daha çok benzer.</t>
  </si>
  <si>
    <t>Kadim Gölge Fermanı düğümünde Tank sınıfının evren bağlantısı güçlendirildi.</t>
  </si>
  <si>
    <t>Firtina_Gucu_Cuce</t>
  </si>
  <si>
    <t>Kadim Fırtına Divanı</t>
  </si>
  <si>
    <t>Kadim_Yasam_Efendisi; Atesli_Kilic; Ruh_Atesi; Kritik_Gozcu; TITANYUM_SOVALYE; KADIM_SIFACI; KIYAMET_SAVASCISI</t>
  </si>
  <si>
    <t>Kadim Şifacı'nın kurtardığı ocakta yıldırımı dövdü. Kalkanı göğü dizginler; ustasının son çığlığını her fırtınada yeniden duyar.</t>
  </si>
  <si>
    <t>Kadim Fırtına Divanı düğümünde Tank sınıfının evren bağlantısı güçlendirildi.</t>
  </si>
  <si>
    <t>Yildirim_Muhafizi</t>
  </si>
  <si>
    <t>Efsanevi_Iyilestirici; Yikici_Sovalye; Efsanevi_Bilge; RUH_BICICI; MAGMA_KORUYUCU; ISIK_LORDU</t>
  </si>
  <si>
    <t>Magma Koruyucu'yla gökle yer arasındadır. Yıldırımları yutarken dostları yaşar; fırtına dinince son yükünü nereye bırakacak?</t>
  </si>
  <si>
    <t>Buzlarin_Efendisi_insan</t>
  </si>
  <si>
    <t>Kadim Buz Mührü</t>
  </si>
  <si>
    <t>Sonsuz_Yasamin_Bekcisi; Golge_Kalkani; ZAMAN_BUYUCUSU; KAOS_GOLGESI; KUTSAL_MUHAFIZ; YASAM_EFENDISI; Karanlik_Savasci</t>
  </si>
  <si>
    <t>Zaman Büyücüsü'nün unuttuğu kışı uyandırdı. Halkını buzun altında sakladı; onları çözerse eski savaş da yeniden başlayacak.</t>
  </si>
  <si>
    <t>Kadim Buz Mührü düğümünde Tank sınıfının evren bağlantısı güçlendirildi.</t>
  </si>
  <si>
    <t>Sonsuz_Savunma</t>
  </si>
  <si>
    <t>Kadim Taş Ahit</t>
  </si>
  <si>
    <t>Isigin_Yuces; KARA_SOVALYE; BOYUT_USTASI_bukucu; OLUM_DANSCISI; ABIS_GARDIYANI_golge; Butunlestirici</t>
  </si>
  <si>
    <t>Abis Gardiyanı'yla eşiği korumaya ant içti. Her darbede kalkanı yenilenir; savaşın bittiğini söylemeye kimse gelemedi.</t>
  </si>
  <si>
    <t>Kadim Taş Ahit düğümünde Tank sınıfının evren bağlantısı güçlendirildi.</t>
  </si>
  <si>
    <t>EJDER_PULLU_SOVALYE</t>
  </si>
  <si>
    <t>Efsanevi Taş Ahit</t>
  </si>
  <si>
    <t>KADIM_SIFACI; KIYAMET_SAVASCISI; GOKYUZU_HAKIMI; GOLGE; YASAM_TANRISI; KAOS_SAMPIYONU; BUYU_TANRISI; GOLGELER_EFENDISI</t>
  </si>
  <si>
    <t>Kadim Şifacı'nın kurtardığı ejderin pullarını taşır. Her pulda ölü soyunun anısı var; kükreyişi düşmandan önce anıları uyandırır.</t>
  </si>
  <si>
    <t>Efsanevi Taş Ahit düğümünde Tank sınıfının evren bağlantısı güçlendirildi.</t>
  </si>
  <si>
    <t>OLUMSUZ_KALKANLI_ASKER</t>
  </si>
  <si>
    <t>ISIK_LORDU; EFSANE_GLADYATOR; Buz_Prensi; GOLGE_LORDU; ZAMAN_BUKUCU; SAVAS_TANRISI; EVREN_BUYUCUSU; OLUM_TANRISI</t>
  </si>
  <si>
    <t>Ölüm Tanrısı'yla ordusu için pazarlık etti. Her darbeyi üstlenir, her defa dirilir; ölümden değil, nöbeti devretmekten korkar.</t>
  </si>
  <si>
    <t>Efsanevi Kaos Tacı düğümünde Tank sınıfının evren bağlantısı güçlendirildi.</t>
  </si>
  <si>
    <t>Kara_Zirhli_Ejderha</t>
  </si>
  <si>
    <t>YASAM_EFENDISI; Karanlik_Savasci; KADIM_BUYUCU; KIYAMET_SUIKASTCISI; IYILESTIRME_TANRISI; KAOS_SAMPIYONU; BUYU_TANRISI; GOLGELER_EFENDISI</t>
  </si>
  <si>
    <t>Yaşam Efendisi'nin son ateşini kara zırhında saklar. Geceleri bir halkı korur; kubbesi açılırsa saklanan güneş doğacak.</t>
  </si>
  <si>
    <t>Efsanevi Gölge Fermanı düğümünde Tank sınıfının evren bağlantısı güçlendirildi.</t>
  </si>
  <si>
    <t>Yikim_Tanrisi</t>
  </si>
  <si>
    <t>Butunlestirici; ZAFER_MELEGI; Eski_Kitap_Ustasi; BOYUT_KATILI; YASAM_TANRISI; SAVAS_TANRISI; EVREN_BUYUCUSU; OLUM_TANRISI</t>
  </si>
  <si>
    <t>Bütünleştirici ona yıkımdan siper örmeyi öğretti. Her kalkanında yıktığı şehrin taşı var; koruduğu canlarla borcunu öder.</t>
  </si>
  <si>
    <t>Zirh_Tanrisi</t>
  </si>
  <si>
    <t>Tanrısal Çelik Yemin</t>
  </si>
  <si>
    <t>IYILESTIRME_TANRISI; KAOS_SAMPIYONU; BUYU_TANRISI; GOLGELER_EFENDISI; YASAM_TANRISI; YASAM_EFENDISI; Karanlik_Savasci; KADIM_BUYUCU; KIYAMET_SUIKASTCISI; Kara_Zirhli_Ejderha</t>
  </si>
  <si>
    <t>İyileştirme Tanrısı'yla ilk zırhı dövdü. Hiçbir tanrı onu kıramadı; korumadığı bir çocuğun adı, göğsündeki tek çatlaktır.</t>
  </si>
  <si>
    <t>Tanrısal Çelik Yemin düğümünde Tank sınıfının evren bağlantısı güçlendirildi.</t>
  </si>
  <si>
    <t>EVREN_KORUYUCUSU</t>
  </si>
  <si>
    <t>Tanrısal Yıldız Geçidi</t>
  </si>
  <si>
    <t>YASAM_TANRISI; SAVAS_TANRISI; EVREN_BUYUCUSU; OLUM_TANRISI; ZAMAN_BUKUCU; Butunlestirici; ZAFER_MELEGI; Eski_Kitap_Ustasi; BOYUT_KATILI; Yikim_Tanrisi</t>
  </si>
  <si>
    <t>Evren Büyücüsü'nün ilk yarığında nöbete durdu. Arkasında sayısız dünya yaşar; önünde kurtaramadığı evreni sessizce parçalanır.</t>
  </si>
  <si>
    <t>Tanrısal Yıldız Geçidi düğümünde Tank sınıfının evren bağlantısı güçlendirildi.</t>
  </si>
  <si>
    <t>Ates_Ciragi</t>
  </si>
  <si>
    <t>Büyücü</t>
  </si>
  <si>
    <t>CIRAK_SIFACI; Zehir_Bicagi_Insan; Zincir_Koruyucu; Zirve_Pencesi</t>
  </si>
  <si>
    <t>Çırak Şifacı'yı kurtaran alevi, ustalarını da aldı. Her büyüde o çığlığı duyar; ateşini değil, ellerinin titremesini gizler.</t>
  </si>
  <si>
    <t>Kızıl Antlaşma düğümünde Büyücü sınıfının evren bağlantısı güçlendirildi.</t>
  </si>
  <si>
    <t>BUZ_OGRENCISI</t>
  </si>
  <si>
    <t>RUH_BEKCISI; Hizli_Bicak_Insan; Ates_Tasi_Ejderhasi_Ejdersoy</t>
  </si>
  <si>
    <t>Ruh Bekçisi'nin koruduğu elleriyle düşmanını dondurdu. Buzda bir dost yüzü gördü; mührü çözmeden gerçeği öğrenemeyecek.</t>
  </si>
  <si>
    <t>Buz Mührü düğümünde Büyücü sınıfının evren bağlantısı güçlendirildi.</t>
  </si>
  <si>
    <t>YILDIRIM_ADEPTI</t>
  </si>
  <si>
    <t>UMUT_TASIYICI; Golgelerin_Ustasi_Golge; Demir_Asker_Tanrisal_Olumsuz; Yildiz_Savascisi</t>
  </si>
  <si>
    <t>Fırtına Divanı'nda yıldırımla sınandı. Gücünü bölüşmeyi reddedince ordusu düştü; kazandığı her yükü önce dostlarına dağıtır.</t>
  </si>
  <si>
    <t>Fırtına Divanı düğümünde Büyücü sınıfının evren bağlantısı güçlendirildi.</t>
  </si>
  <si>
    <t>GOLGE_BUYUCUSU</t>
  </si>
  <si>
    <t>Sifa_Yildizi; Zehirli_Pence_Golge; Tas_Yurekli_Tanrisal_Olumsuz</t>
  </si>
  <si>
    <t>Şifa Yıldızı sönünce gölgeye sığındı. Sağ çıktı ama yansıması geride kaldı; her büyüsünde o eski suret geri dönmek ister.</t>
  </si>
  <si>
    <t>Gölge Fermanı düğümünde Büyücü sınıfının evren bağlantısı güçlendirildi.</t>
  </si>
  <si>
    <t>Kita_Buyucusu</t>
  </si>
  <si>
    <t>Arkan Defteri</t>
  </si>
  <si>
    <t>Umut_Alevi; Kritik_Golge_Golge; Celik_Muhafiz_Tanrisal_Olumsuz; Kanli_Kalkan</t>
  </si>
  <si>
    <t>Toprağın hafızasını okuyarak kıtaların gücünü çağırır. Her büyüsü derinlerden yankı getirir; bazen ses, onu eve çağıran annesidir.</t>
  </si>
  <si>
    <t>Arkan Defteri düğümünde Büyücü sınıfının evren bağlantısı güçlendirildi.</t>
  </si>
  <si>
    <t>Ruzgar_Efendisi</t>
  </si>
  <si>
    <t>Hayat_Akisi; Nightmare_Karabasan_Golge; Kalkan_Kralicesi_Tanrisal_Olumsuz</t>
  </si>
  <si>
    <t>Hayat Akışı'nın kuruduğu vadiye rüzgâr taşıdı. Sular geri geldi, evi silindi; gittiği her yerde yeni kökler salmayı öğrenir.</t>
  </si>
  <si>
    <t>Zaman_Efendisi</t>
  </si>
  <si>
    <t>Zaman Düğümü</t>
  </si>
  <si>
    <t>Kutsal_Isik; Gizli_Yikici_Cuce; Kara_Zirhli_Bayan_Tanrisal_Olumsuz; Firtina_Celik</t>
  </si>
  <si>
    <t>Kutsal Işık sönerken saati durdurdu. Dostları yaşadı, dışarıda yıllar geçti; çocuğunu yabancı olarak tanımak zamanın bedeliydi.</t>
  </si>
  <si>
    <t>Zaman Düğümü düğümünde Büyücü sınıfının evren bağlantısı güçlendirildi.</t>
  </si>
  <si>
    <t>ARKAN_BUYUCUSU</t>
  </si>
  <si>
    <t>Sonsuz_Sifaci; Karanlik_Vekil_Golge; Golge_Kalkani_Nam-i_DigerOlumsuz_TanricasiTanrisal_Olumsuz</t>
  </si>
  <si>
    <t>Çocukken bulduğu Arkan kitabının son sayfası patladı, gücü uyandı. Her sır çocukluğundan bir anıyı siler; kitabı bırakamaz.</t>
  </si>
  <si>
    <t>ELEMENTALIST</t>
  </si>
  <si>
    <t>Isik_Yoldasi; Sinsi_Safak_Insan; Immortal_Shielded_-_Tanrisal_Olumsuz; Olumsuz_Kilic</t>
  </si>
  <si>
    <t>Arkan Defteri'nde tek element seçmeyi reddetti. Ateşle buzu barıştırdı; ustasının yasakladığı güç, dostlarına yol açtı.</t>
  </si>
  <si>
    <t>Efsanevi_Arcanist</t>
  </si>
  <si>
    <t>Doga_Efendisi; High_Ninja_Insan; Kalkan_Titani_Tanrisal_Olumsuz</t>
  </si>
  <si>
    <t>Doğa Efendisi'nin köklerinde kayıp rünler buldu. Büyü uğruna ormanı kesmesi istendi; defteri değil, yaşayan bilgiyi korudu.</t>
  </si>
  <si>
    <t>Aetherian_Adept</t>
  </si>
  <si>
    <t>Yıldız Geçidi</t>
  </si>
  <si>
    <t>Zihinsel_Sifaci; Gizli_Gozcu_Golge; Zirhli_Dev_Ejdersoy; Buyuk_Celik_Avci</t>
  </si>
  <si>
    <t>Yıldız Geçidi'nde felaketi gördü, kimseyi inandıramadı. Sönen yıldızlar haritasını doğrular; en büyük korkusu haklı çıkmaktır.</t>
  </si>
  <si>
    <t>Yıldız Geçidi düğümünde Büyücü sınıfının evren bağlantısı güçlendirildi.</t>
  </si>
  <si>
    <t>Gece_Isiginin_Efendisi</t>
  </si>
  <si>
    <t>Hayat_Koruyucusu; Immortal_Shadow_golge; Demir_Zirh_Ejdersoy</t>
  </si>
  <si>
    <t>Hayat Koruyucusu'yla gecenin son ışığını sakladı. Gündüz hain sayılır; karanlık çökünce aynı halkın çocuklarını eve götürür.</t>
  </si>
  <si>
    <t>Yikim_Meclisi</t>
  </si>
  <si>
    <t>Sifa_Isigi; Silent_Destructor_Insan; Gumus_Kol_Ejdersoy; Intikamci_Kilic</t>
  </si>
  <si>
    <t>Kaos Tacı'nın yıkılan meclisinden tek kişi döndü. İçindeki büyücüler hâlâ oy verir; her patlama, anlaşamadıkları hükmün sonucudur.</t>
  </si>
  <si>
    <t>Kaos Tacı düğümünde Büyücü sınıfının evren bağlantısı güçlendirildi.</t>
  </si>
  <si>
    <t>Astral_Hukumdar</t>
  </si>
  <si>
    <t>Ruh_Diriltici; Golge_Avcisi_Cuce; Gece_Kalkani_Ejdersoy</t>
  </si>
  <si>
    <t>Yıldız Geçidi'nde doğdu; her hamleyi gökten okur. Tahtının düşüşünü gördü ama onu kurtarmak için kimin öleceğine karar veremedi.</t>
  </si>
  <si>
    <t>Kara_Ruh_Buyucusu</t>
  </si>
  <si>
    <t>Efsanevi_Sifaci; Korku_Imparatoru_golge; Buz_Zirhi_Ejdersoy; Ejderha_Savascisi</t>
  </si>
  <si>
    <t>Korku İmparatoru'ndan çaldığı ruhu özgür bırakamadı. Kara alevleri onun acısıyla yanar; gücünden vazgeçerse bir ruh huzur bulacak.</t>
  </si>
  <si>
    <t>Beyaz_Buyucu</t>
  </si>
  <si>
    <t>Hayat_Rehberi; Savas_Fisildayicisi; Yelkenli_Zirh_Insan</t>
  </si>
  <si>
    <t>Hayat Rehberi'yle yıkılan tapınaktan çıktı. Işığı düşmanı yakar; kurtulmak için aynı düşmanın elini tuttuğunu kimseye söylemedi.</t>
  </si>
  <si>
    <t>Kutsal Yemin düğümünde Büyücü sınıfının evren bağlantısı güçlendirildi.</t>
  </si>
  <si>
    <t>Mistik_Kral</t>
  </si>
  <si>
    <t>Evren_Sifacisi; Kritik_Firtina_INSAN; Zirh_Krali_Cuce; Firtina_Zirhli</t>
  </si>
  <si>
    <t>Zırh Kralı'yla büyülü taht kurdu. Halkına güç veren mühür yalan söyleyince söner; savaşı bitirecek gerçeği tacından saklar.</t>
  </si>
  <si>
    <t>Zamanin_Bukucusu</t>
  </si>
  <si>
    <t>Isik_Vekili; Karabuyu_Suikastci_GOLGE; Kutsal_Savunma</t>
  </si>
  <si>
    <t>Işık Vekili'nin öleceği anı büktü, ok başka dosta saplandı. Her büyüde zamanı değil, kurtaracağı canın adını seçmek zorunda.</t>
  </si>
  <si>
    <t>Gok_Tanricesi</t>
  </si>
  <si>
    <t>Mistik_Sifaci; Mortal_Shadow_Golge; Kum_Zirhli_Cuce; Guclu_Savas_Efendisi</t>
  </si>
  <si>
    <t>Yıldız Geçidi'nde doğdu, duaları fırtınayla yanıtladı. Yeryüzünde gördü: İstenen her yağmur herkese yaşam vermiyordu.</t>
  </si>
  <si>
    <t>Karanlik_Kader</t>
  </si>
  <si>
    <t>Hayat_Fisildayicisi; Korgoz_Suikastci_Cuce; Alev_Kalkani_Cuce</t>
  </si>
  <si>
    <t>Hayat Fısıldayıcısı ona tek bir iyi son gösterdi. O yolu seçerse sevdiği kişi ölecek; karanlıkta başka bir kader arıyor.</t>
  </si>
  <si>
    <t>Isigin_Yikicisi</t>
  </si>
  <si>
    <t>Kadim_Ruh_Samani; Between_The_Shadows_Golge; Gumus_Zirh_Cuce; Kutsal_Zirh</t>
  </si>
  <si>
    <t>Ruh Şamanı'ndan ışığın yasak dilini öğrendi. Her aydınlattığı yerde bir sır yanar; düşmanları onu gerçeğin yok oluşundan tanır.</t>
  </si>
  <si>
    <t>Elemental_Tanri</t>
  </si>
  <si>
    <t>Isigin_Efendisi; Fisildayan_Hancer_Insan; Savas_Tanrisi_Tanrisal_Olumsuz</t>
  </si>
  <si>
    <t>Dört elementi bedeninde barıştırınca ona tanrı dediler. Hâlâ bir insandır; gücü yükseldikçe bunu unutanların sayısı artar.</t>
  </si>
  <si>
    <t>Buyulu_Zirve</t>
  </si>
  <si>
    <t>Hayat_Armonisti; God_Of_Secrecy_Insan; FIRTINA_ZIRHI_Cuce; Buyuk_Kanli_Asker</t>
  </si>
  <si>
    <t>Arkan'ın son sayfasını zirvede buldu. Aşağıda dostları yardım isterken okumayı seçti; hiçbir büyü onu o güne geri götüremez.</t>
  </si>
  <si>
    <t>Goklerin_Efendisi</t>
  </si>
  <si>
    <t>Zamanin_Yoldasi; Infinite_Blade_Insan; Hancer_Zirhi_Cuce</t>
  </si>
  <si>
    <t>Zamanın Yoldaşı'yla yıldız yollarını aştı. Göğün gücünü alıp döndü; sevdikleri yaşlanmıştı, kendisi hâlâ aynı yaştaydı.</t>
  </si>
  <si>
    <t>Yuce_Akil</t>
  </si>
  <si>
    <t>Kutsal_Sifaci; Gece_Yilani_Surungensoy; Simsek_Kalkani_Cuce; Firtina_Kilici</t>
  </si>
  <si>
    <t>Fırtına Kılıcı'nın her hamlesini çözdü. Rakibi bir yabancıyı kurtarmak için çekildi; hesaplayamadığı tek hamle buydu.</t>
  </si>
  <si>
    <t>Kadim_Guc</t>
  </si>
  <si>
    <t>Evrenin_Korumacisi; Karanlik_Fisildayici_Golge; AgirZirh_insan</t>
  </si>
  <si>
    <t>Evrenin Korumacısı'nın taşını uyandırdı. Eski çağların gücü ona boyun eğer; o çağları kimin yok ettiğini öğrenmekten korkar.</t>
  </si>
  <si>
    <t>Felsefe_Buyucusu</t>
  </si>
  <si>
    <t>Yasamin_Bekcisi; Kritik_Kara_Pence_Golge; Ejderha_Zirhli_Ejdersoy; Zirve_Efendisi</t>
  </si>
  <si>
    <t>Felsefe Şifacısı acısını alınca merhametini de kaybetti. Zihinleri kırmak kolaydır; başkasının acısını duymak asıl sınavıdır.</t>
  </si>
  <si>
    <t>Kehanetci</t>
  </si>
  <si>
    <t>Felsefe_Sifacisi; Ghostbuster_Golge; Demir_Kafes_Insan</t>
  </si>
  <si>
    <t>Felsefe Şifacısı'nın düşünde yarını gördü. Her uyarısı geleceği değiştirir; kendi ölümünü söylemediği gün bir dostu kurtuldu.</t>
  </si>
  <si>
    <t>Buyuk_Arcana</t>
  </si>
  <si>
    <t>Enerji_Dagiticisi; Sinsi_Kilic_Golge; Tas_Yurekli_Insan; Celik_Savasci</t>
  </si>
  <si>
    <t>Enerji Dağıtıcısı'yla Arkan'ın mührünü açtı. Kartlar tüm yolları gösterir; boş bıraktığı son kart, bir başkasının özgür seçimidir.</t>
  </si>
  <si>
    <t>Galaktik_Bilgisi</t>
  </si>
  <si>
    <t>Doga_Ustasi; Poisoned_Knife_Insan; Golge_Zirhi_Tanrisal_Olumsuz</t>
  </si>
  <si>
    <t>Yıldız Geçidi'nin haritasını ezberledi. Yitik dünyaları görebilir; birini kurtarmak için bugünün yıldızlarını söndürmesi gerek.</t>
  </si>
  <si>
    <t>Astral_Savunucu</t>
  </si>
  <si>
    <t>Dengenin_Koruyucusu; Firtinali_Golge_Golge; DEMiR_MUHAFIZ; KIZIL_SAVASCI</t>
  </si>
  <si>
    <t>Her büyüde kalkan örer, her darbede güçlenir. Demir Muhafız'ı koruyamadığı anı unutmak için hiçbir saldırıdan kaçmaz.</t>
  </si>
  <si>
    <t>Hayalet_Ustasi</t>
  </si>
  <si>
    <t>Isik_Mimar; Golge_Ciragi_Golge; Kaya_Bekcisi_hayvan</t>
  </si>
  <si>
    <t>Işık Mimar'ın duvarlarındaki ruhları çağırdı, son vasiyetini onlara yazdırdı. Metni okuyanlar yaşayanla hayaleti ayırt edemez.</t>
  </si>
  <si>
    <t>KARA_BUYUCUSU</t>
  </si>
  <si>
    <t>DOGA_SIFACISI; SESSIZ_AVCI; KRISTAL_KORUYUCU; Simsek_Dovuscusu; Donusum_Ustasi</t>
  </si>
  <si>
    <t>Doğa Şifacısı'nın yasakladığı ormana girdi. Gece bir köyü kurtardı; gündüz aynı köy, adını çocuklarını korkutmak için kullanır.</t>
  </si>
  <si>
    <t>Derin Gölge Fermanı düğümünde Büyücü sınıfının evren bağlantısı güçlendirildi.</t>
  </si>
  <si>
    <t>RUN_USTASI_buyucusu</t>
  </si>
  <si>
    <t>ISIK_RAHIBI; GECE_AVCISI; Celik_Vucut_insan; Buyuk_Celik_Lordu; Karanlik_Adept</t>
  </si>
  <si>
    <t>Çelik Vücut'a ilk rününü kazıdı. İşaretler güçlendikçe altında eski bir ad belirdi; dövdüğü koruma, bir tutsağın mührüydü.</t>
  </si>
  <si>
    <t>Derin Arkan Defteri düğümünde Büyücü sınıfının evren bağlantısı güçlendirildi.</t>
  </si>
  <si>
    <t>Ates_Lordu</t>
  </si>
  <si>
    <t>KORUYUCU_MELEK; Zehirli_Intikamci; Tuyles_Savunma_Ejdersoy; Altin_Pence; Ruh_Yoneticisi</t>
  </si>
  <si>
    <t>Koruyucu Melek'in kanadından ateşi aldı, tahtını o ışıkla kazandı. Her hücumda bir tüyün karardığını yalnız melek görür.</t>
  </si>
  <si>
    <t>Derin Kızıl Antlaşma düğümünde Büyücü sınıfının evren bağlantısı güçlendirildi.</t>
  </si>
  <si>
    <t>KIYAMET_BUYUCUSU</t>
  </si>
  <si>
    <t>Zihinsel_Iyilestirici; Buyuk_Tehlike; Buyuk_Kalkan_Insan; Savas_Ruhlu; Yildiz_Yucelten</t>
  </si>
  <si>
    <t>Arkan Defteri'nde kıyameti okudu. Onu engellemek için güç toplar; her düşman ölümü, çağırmaktan korktuğu sonu besler.</t>
  </si>
  <si>
    <t>Donusum_Ustasi</t>
  </si>
  <si>
    <t>Doganin_Rehberi; Yikici_Sinsi; Savunma_Prensesi_Insan; Zirve_Kilici; Vahsi_Elementalist</t>
  </si>
  <si>
    <t>Savunma Prensesi'ni kurtarmak için biçim değiştirdi. Her dönüşüm yeni yüz verir; annesinin tanıyacağı yüzü bulamıyor.</t>
  </si>
  <si>
    <t>Derin Çelik Yemin düğümünde Büyücü sınıfının evren bağlantısı güçlendirildi.</t>
  </si>
  <si>
    <t>Karanlik_Adept</t>
  </si>
  <si>
    <t>Zamanin_Sifacisi; Efsanevi_Fisildayici_Insan; Demir_Zirhli_Asker_insan; Kiyamet_Askeri; Kiyamet_Bilgini</t>
  </si>
  <si>
    <t>Zamanın Şifacısı'nın silemediği kâbusu benimsedi. Zihinleri ele geçirerek kendisini yöneten sesi de susturabileceğini sanır.</t>
  </si>
  <si>
    <t>Ruh_Yoneticisi</t>
  </si>
  <si>
    <t>Derin Ruh Mahkemesi</t>
  </si>
  <si>
    <t>Ruh_Hekimi; Hayalet_Kafali; Kutsal_Volkanik_Asker_Insan; Gok_Yildizi; Gok_Yuce</t>
  </si>
  <si>
    <t>Ruh Hekimi'yle ölülerin adlarını topladı. Çağırdığı ruhlar borçlarını sorar; gücünün karşılığında onlara söz vermediğini söyler.</t>
  </si>
  <si>
    <t>Derin Ruh Mahkemesi düğümünde Büyücü sınıfının evren bağlantısı güçlendirildi.</t>
  </si>
  <si>
    <t>Yildiz_Yucelten</t>
  </si>
  <si>
    <t>Derin Yıldız Geçidi</t>
  </si>
  <si>
    <t>Sonsuz_Umut; Kara_Pence; Kara_Celik_ejdersoy; Ejderha_Pencesi; Aetherin_Efendisi</t>
  </si>
  <si>
    <t>Sonsuz Umut'un sönen yıldızını göğe kaldırdı. Işık herkese umut oldu; altında doğduğu evin karardığını anlatmaya dili varmaz.</t>
  </si>
  <si>
    <t>Derin Yıldız Geçidi düğümünde Büyücü sınıfının evren bağlantısı güçlendirildi.</t>
  </si>
  <si>
    <t>Vahsi_Elementalist</t>
  </si>
  <si>
    <t>Isigin_Murekkep; Gizli_Oldurucu; Demir_Beden_Ejdersoy; Firtina_Efendisi; Zifiri_Buyucu</t>
  </si>
  <si>
    <t>Fırtına Efendisi'yle sınırları aştı. Her saldırı yeni zırh örer; sakinleşirse bedenini bir arada tutan güç dağılacak.</t>
  </si>
  <si>
    <t>Kiyamet_Bilgini</t>
  </si>
  <si>
    <t>Mistik_Hayat; Firtina_Yikici; Karanlik_Savunucu_Cuce_gelisim; Celik_Yildiz; Buyusel_Baslangic</t>
  </si>
  <si>
    <t>Mistik Hayat'ın gördüğü son günü kitaplaştırdı. İnsanlar okumaya başladı; her sayfayla felaketin tarihi biraz öne çekilir.</t>
  </si>
  <si>
    <t>Derin Kaos Tacı düğümünde Büyücü sınıfının evren bağlantısı güçlendirildi.</t>
  </si>
  <si>
    <t>Gok_Yuce</t>
  </si>
  <si>
    <t>Kadim_Ruh_Koruyucusu; Hizli_Savasci; Isik_Savunucu_insan; Alev_Yurekli; Mistik_Ogretmen</t>
  </si>
  <si>
    <t>Kadim Ruh Koruyucusu'nun duasını göğe taşıdı. Çığlığı bulutları parçalar; sesi kısılınca aşağıdakilerin yardım çağrısını duyar.</t>
  </si>
  <si>
    <t>Aetherin_Efendisi</t>
  </si>
  <si>
    <t>Yasamin_Isigi; Zehirli_Gozcu; Olumsuz_Kaya_Mutant_Gelisim; Kanli_Sovalye; Isik_Ustasi</t>
  </si>
  <si>
    <t>Yaşamın Işığı'yla yıldız boşluğuna girdi. Aether bedenini korur; her kullanışında saydamlaşır, dostları elini artık zor tutar.</t>
  </si>
  <si>
    <t>Zifiri_Buyucu</t>
  </si>
  <si>
    <t>Mistik_Yoldas; Intikam_Avcisi; Firtina_Savunmasi_ejdersoy_insan; Guclu_Savasci; KARA_BUYUCUSU</t>
  </si>
  <si>
    <t>Mistik Yoldaş'ın kapısını karanlıkla örttü. Düşman içeri giremez; içerideki dostlarının nasıl çıkacağını düşünmedi.</t>
  </si>
  <si>
    <t>Buyusel_Baslangic</t>
  </si>
  <si>
    <t>Evrenin_Iyilestiricisi; Usta_Yikici; Ucan_Zirh_Ejdersoy; ALEV_KILICI; RUN_USTASI_buyucusu</t>
  </si>
  <si>
    <t>Rün Ustası'nın defterinden bir harf kurtardı. Her büyü o harfi çoğaltır; çıkan kelimenin dünyanın ilk adı olduğunu bilmez.</t>
  </si>
  <si>
    <t>Mistik_Ogretmen</t>
  </si>
  <si>
    <t>Isigin_Yukselisi; Dusus_Golgesi; CELIK_GARDIYAN_insan_mutant; FIRTINA_DOVUSCUSU; Ates_Lordu</t>
  </si>
  <si>
    <t>Ateş Lordu’na önce gücü kullanmayı öğretti. Öğrencisi o güçle bir şehri yakınca yöntemi değişti: Birine nasıl savaşacağını öğretmeden önce, neden savaşması gerektiği anlatılmalıydı.</t>
  </si>
  <si>
    <t>Isik_Ustasi</t>
  </si>
  <si>
    <t>Tanrisal_Sifaci; KANLI_GOLGE; OBSIDYEN_KALKAN_insan_bocek; DOVUS_USTASI; KIYAMET_BUYUCUSU</t>
  </si>
  <si>
    <t>Tanrısal Şifacı'nın ışığıyla gölgeleri yaktı. İçlerinde saklanan masumları görünce karanlığın her zaman düşman olmadığını öğrendi.</t>
  </si>
  <si>
    <t>Derin Kutsal Yemin düğümünde Büyücü sınıfının evren bağlantısı güçlendirildi.</t>
  </si>
  <si>
    <t>ZAMAN_BUYUCUSU</t>
  </si>
  <si>
    <t>Kadim Zaman Düğümü</t>
  </si>
  <si>
    <t>ZAMAN_SIFACISI; KAOS_GOLGESI; KUTSAL_MUHAFIZ; Efsanevi_Zirhli; Kader_Orgusu_Arkan_buyucusu; KADIM_SIFACI; KIYAMET_SUIKASTCISI</t>
  </si>
  <si>
    <t>Zaman Şifacısı'nın yitirdiği anları topladı. Düşmanı durdurmak kolaydı; dostunu kurtarmadığı saniyeye dönmeye cesaret edemez.</t>
  </si>
  <si>
    <t>Kadim Zaman Düğümü düğümünde Büyücü sınıfının evren bağlantısı güçlendirildi.</t>
  </si>
  <si>
    <t>BOYUT_USTASI_bukucu</t>
  </si>
  <si>
    <t>RUH_SAMANI; OLUM_DANSCISI; ABIS_GARDIYANI_golge; Firtina_Aslani; Alev_Krali; ISIK_LORDU</t>
  </si>
  <si>
    <t>Abis Gardiyanı'nın kapısını başka dünyaya açtı, dostlarını kurtardı. Geride kalan gölgesinin kiminle döneceğini bekler.</t>
  </si>
  <si>
    <t>Zehirli_Ruya</t>
  </si>
  <si>
    <t>Kadim Zehirli Vasiyet</t>
  </si>
  <si>
    <t>YASAM_USTASI; Yilanin_Laneti; Firtina_Gucu_Cuce; Atesli_Kilic; Ruh_Atesi; YASAM_EFENDISI; GOLGE</t>
  </si>
  <si>
    <t>Yılanın Laneti'ni uykusunda içti. Düşleri damarları zehirler; bir köyü yaşatmak için yıllardır uyumaz, gözlerini şafaktan ayırmaz.</t>
  </si>
  <si>
    <t>Kadim Zehirli Vasiyet düğümünde Büyücü sınıfının evren bağlantısı güçlendirildi.</t>
  </si>
  <si>
    <t>Firtina_Cildirani</t>
  </si>
  <si>
    <t>Zamanin_Rehberi; Hayalet_Asker; Yildirim_Muhafizi; Yikici_Sovalye; Efsanevi_Bilge; Butunlestirici</t>
  </si>
  <si>
    <t>Yıldırım Muhafızı'nın aşamadığı fırtınaya girdi. O günden beri gök dinmez; öfkesini bırakırsa kayıp dostunun sesi de susacak.</t>
  </si>
  <si>
    <t>Kadim Fırtına Divanı düğümünde Büyücü sınıfının evren bağlantısı güçlendirildi.</t>
  </si>
  <si>
    <t>Kader_Orgusu_Arkan_buyucusu</t>
  </si>
  <si>
    <t>Kadim_Yasam_Efendisi; Sonsuz_Pence; Buzlarin_Efendisi_insan; Golge_Kalkani; ZAMAN_BUYUCUSU; KADIM_SIFACI; KIYAMET_SUIKASTCISI</t>
  </si>
  <si>
    <t>Zaman Büyücüsü'nün kopardığı anları örer. Her kader başka bir düğüm ister; kendi geleceği için ip kalmadığını gizler.</t>
  </si>
  <si>
    <t>Alev_Krali</t>
  </si>
  <si>
    <t>Efsanevi_Iyilestirici; Kanli_Avci; Sonsuz_Savunma; KARA_SOVALYE; BOYUT_USTASI_bukucu; ISIK_LORDU</t>
  </si>
  <si>
    <t>Kara Şövalye'nin kuşatmasında tahtını yaktı. Halk kurtuldu, tacı kül oldu; alevlerden hâlâ hükümdar diye seslenilmesini bekler.</t>
  </si>
  <si>
    <t>Kadim Kızıl Antlaşma düğümünde Büyücü sınıfının evren bağlantısı güçlendirildi.</t>
  </si>
  <si>
    <t>Ruh_Atesi</t>
  </si>
  <si>
    <t>Sonsuz_Yasamin_Bekcisi; Kritik_Gozcu; TITANYUM_SOVALYE; KUTSAL_KILIC; Zehirli_Ruya; YASAM_EFENDISI; GOLGE</t>
  </si>
  <si>
    <t>Titanyum Şövalye'nin kurtardığı közde bir ruh uyandı. Her alev onu insana benzetir; yağmurda ilk kez ölümden korktu.</t>
  </si>
  <si>
    <t>Efsanevi_Bilge</t>
  </si>
  <si>
    <t>Kadim Arkan Defteri</t>
  </si>
  <si>
    <t>Isigin_Yuces; RUH_BICICI; MAGMA_KORUYUCU; SAVAS_LORDU; Firtina_Cildirani; Butunlestirici</t>
  </si>
  <si>
    <t>Savaş Lordu'na gücün sonunu öğretti. Herkes onu hatasız sanır; bilgeliği, dinlemediği insanların mezarlarından toplanmıştır.</t>
  </si>
  <si>
    <t>Kadim Arkan Defteri düğümünde Büyücü sınıfının evren bağlantısı güçlendirildi.</t>
  </si>
  <si>
    <t>KADIM_BUYUCU</t>
  </si>
  <si>
    <t>Efsanevi Arkan Defteri</t>
  </si>
  <si>
    <t>KADIM_SIFACI; KIYAMET_SUIKASTCISI; Kara_Zirhli_Ejderha; Karanlik_Savasci; YASAM_TANRISI; GOLGELER_EFENDISI; Zirh_Tanrisi; KAOS_SAMPIYONU</t>
  </si>
  <si>
    <t>Kadim Şifacı'yla dünyanın ilk yarasını gördü. Onu kapatacak büyüyü bilir; ardındaki sesi susturmaya kendini ikna edemedi.</t>
  </si>
  <si>
    <t>Efsanevi Arkan Defteri düğümünde Büyücü sınıfının evren bağlantısı güçlendirildi.</t>
  </si>
  <si>
    <t>Eski_Kitap_Ustasi</t>
  </si>
  <si>
    <t>Efsanevi Çelik Yemin</t>
  </si>
  <si>
    <t>ISIK_LORDU; BOYUT_KATILI; Yikim_Tanrisi; ZAFER_MELEGI; ZAMAN_BUKUCU; OLUM_TANRISI; EVREN_KORUYUCUSU; SAVAS_TANRISI</t>
  </si>
  <si>
    <t>Çelik Yemin'i metal yapraklı kitapta saklar. Her sayfa bir zırhın sırrını açar; son sayfada adını gördüğünden beri bitiremez.</t>
  </si>
  <si>
    <t>Efsanevi Çelik Yemin düğümünde Büyücü sınıfının evren bağlantısı güçlendirildi.</t>
  </si>
  <si>
    <t>GOKYUZU_HAKIMI</t>
  </si>
  <si>
    <t>Efsanevi Yıldız Geçidi</t>
  </si>
  <si>
    <t>YASAM_EFENDISI; GOLGE; EJDER_PULLU_SOVALYE; KIYAMET_SAVASCISI; IYILESTIRME_TANRISI; GOLGELER_EFENDISI; Zirh_Tanrisi; KAOS_SAMPIYONU</t>
  </si>
  <si>
    <t>Ejder Pullu Şövalye'yle göğün sınırını çizdi. Meteorlar ona uyar; halkı sınırı aşınca hükmünü geri alması gerekecek.</t>
  </si>
  <si>
    <t>Efsanevi Yıldız Geçidi düğümünde Büyücü sınıfının evren bağlantısı güçlendirildi.</t>
  </si>
  <si>
    <t>Buz_Prensi</t>
  </si>
  <si>
    <t>Efsanevi Buz Mührü</t>
  </si>
  <si>
    <t>Butunlestirici; GOLGE_LORDU; OLUMSUZ_KALKANLI_ASKER; EFSANE_GLADYATOR; YASAM_TANRISI; OLUM_TANRISI; EVREN_KORUYUCUSU; SAVAS_TANRISI</t>
  </si>
  <si>
    <t>Ölümsüz Kalkanlı Asker'i kurtarmak için sarayını dondurdu. Buz çözülürse yıllardır bastırdığı son çığlık da duyulacak.</t>
  </si>
  <si>
    <t>Efsanevi Buz Mührü düğümünde Büyücü sınıfının evren bağlantısı güçlendirildi.</t>
  </si>
  <si>
    <t>BUYU_TANRISI</t>
  </si>
  <si>
    <t>Tanrısal Arkan Defteri</t>
  </si>
  <si>
    <t>IYILESTIRME_TANRISI; GOLGELER_EFENDISI; Zirh_Tanrisi; KAOS_SAMPIYONU; YASAM_TANRISI; YASAM_EFENDISI; GOLGE; EJDER_PULLU_SOVALYE; KIYAMET_SAVASCISI; GOKYUZU_HAKIMI</t>
  </si>
  <si>
    <t>Arkan'ın ilk büyüsünü yazarken adını sildi. Herkes gücünü çağırır; birinin onu tanrı değil, insan olarak hatırlamasını bekler.</t>
  </si>
  <si>
    <t>Tanrısal Arkan Defteri düğümünde Büyücü sınıfının evren bağlantısı güçlendirildi.</t>
  </si>
  <si>
    <t>EVREN_BUYUCUSU</t>
  </si>
  <si>
    <t>YASAM_TANRISI; OLUM_TANRISI; EVREN_KORUYUCUSU; SAVAS_TANRISI; ZAMAN_BUKUCU; Butunlestirici; GOLGE_LORDU; OLUMSUZ_KALKANLI_ASKER; EFSANE_GLADYATOR; Buz_Prensi</t>
  </si>
  <si>
    <t>Yaşam Tanrısı'yla evren kapısını açtı. Daha kusursuz bir dünya gördü; onu almak için kendi dünyasını karanlığa atması gerekecek.</t>
  </si>
  <si>
    <t>Tanrısal Yıldız Geçidi düğümünde Büyücü sınıfının evren bağlantısı güçlendirildi.</t>
  </si>
  <si>
    <t>CELIK_KILIC</t>
  </si>
  <si>
    <t>Savaşçı</t>
  </si>
  <si>
    <t>CIRAK_SIFACI; Kaya_Bekcisi_hayvan; YILDIRIM_ADEPTI; Golgelerin_Ustasi_Golge</t>
  </si>
  <si>
    <t>Çırak Şifacı onun yarasını kapattı, ustasını kaybetti. Borcu hiç unutmaz; her zaferden sonra şifacının ardında nöbet tutar.</t>
  </si>
  <si>
    <t>Çelik Yemin düğümünde Savaşçı sınıfının evren bağlantısı güçlendirildi.</t>
  </si>
  <si>
    <t>KIZIL_SAVASCI</t>
  </si>
  <si>
    <t>RUH_BEKCISI; Zincir_Koruyucu; GOLGE_BUYUCUSU</t>
  </si>
  <si>
    <t>Ruh Bekçisi onu ölümden aldı ama kanındaki ateş dinmedi. Yaralandıkça güçlenir; öfkesini salarsa kurtaran eli de yakacağını bilir.</t>
  </si>
  <si>
    <t>Kızıl Antlaşma düğümünde Savaşçı sınıfının evren bağlantısı güçlendirildi.</t>
  </si>
  <si>
    <t>SAVAS_CIRAGI</t>
  </si>
  <si>
    <t>Kan Meydanı</t>
  </si>
  <si>
    <t>UMUT_TASIYICI; Ates_Tasi_Ejderhasi_Ejdersoy; Kita_Buyucusu; Kritik_Golge_Golge</t>
  </si>
  <si>
    <t>Umut Taşıyıcı'yla ilk yenilgisini gördü. Son dersi yaralı düşmanını taşırken öğrendi: Kazanmak, tek başına ayakta kalmak değildir.</t>
  </si>
  <si>
    <t>Kan Meydanı düğümünde Savaşçı sınıfının evren bağlantısı güçlendirildi.</t>
  </si>
  <si>
    <t>Zirve_Pencesi</t>
  </si>
  <si>
    <t>Sifa_Yildizi; Demir_Asker_Tanrisal_Olumsuz; Ruzgar_Efendisi</t>
  </si>
  <si>
    <t>Rüzgâr Efendisi'yle zirveye çıktı, düelloda düştü. Onu rakibi kurtardı; pençesini kaldırırken gücün borcunu hatırlar.</t>
  </si>
  <si>
    <t>Savasin_Efendisi</t>
  </si>
  <si>
    <t>Umut_Alevi; Tas_Yurekli_Tanrisal_Olumsuz; Zaman_Efendisi; Gizli_Yikici_Cuce</t>
  </si>
  <si>
    <t>Kan Meydanı'nda tek emriyle dostlarını kaybetti. Saldırmadan önce her askerin adını sorar; bir daha hiçbir canı sayı saymayacak.</t>
  </si>
  <si>
    <t>Yildiz_Savascisi</t>
  </si>
  <si>
    <t>Hayat_Akisi; Celik_Muhafiz_Tanrisal_Olumsuz; ARKAN_BUYUCUSU</t>
  </si>
  <si>
    <t>Arkan Büyücüsü'nün geçidinde sönmüş yıldızını buldu. Işığı zaferle büyür; onu göğe geri verirse tüm gücünü de bırakması gerekecek.</t>
  </si>
  <si>
    <t>Yıldız Geçidi düğümünde Savaşçı sınıfının evren bağlantısı güçlendirildi.</t>
  </si>
  <si>
    <t>Kutsal_Asker</t>
  </si>
  <si>
    <t>Kutsal_Isik; Kalkan_Kralicesi_Tanrisal_Olumsuz; ELEMENTALIST; Sinsi_Safak_Insan</t>
  </si>
  <si>
    <t>Kutsal Işık'la tapınağı savundu; koruduğu rahiplerin zulmünü gördü. Yemini korumak için değil, değiştirmek için savaşır.</t>
  </si>
  <si>
    <t>Kutsal Yemin düğümünde Savaşçı sınıfının evren bağlantısı güçlendirildi.</t>
  </si>
  <si>
    <t>Kanli_Kalkan</t>
  </si>
  <si>
    <t>Sonsuz_Sifaci; Kara_Zirhli_Bayan_Tanrisal_Olumsuz; Efsanevi_Arcanist</t>
  </si>
  <si>
    <t>Sonsuz Şifacı'nın önünde kalkanı kana bulandı. Darbeleri geri yansıtır; kurtardığı her can, affedemediği yenilgisini hatırlatır.</t>
  </si>
  <si>
    <t>Yikim_Avcisi</t>
  </si>
  <si>
    <t>Isik_Yoldasi; Golge_Kalkani_Nam-i_DigerOlumsuz_TanricasiTanrisal_Olumsuz; Aetherian_Adept; Gizli_Gozcu_Golge</t>
  </si>
  <si>
    <t>Işık Yoldaşı'yla yıkılmış şehrini buldu. Canavarı ararken enkazda ordusunun mührünü gördü; avının pençesi değil sancağı vardı.</t>
  </si>
  <si>
    <t>Kaos Tacı düğümünde Savaşçı sınıfının evren bağlantısı güçlendirildi.</t>
  </si>
  <si>
    <t>Firtina_Celik</t>
  </si>
  <si>
    <t>Doga_Efendisi; Immortal_Shielded_-_Tanrisal_Olumsuz; Gece_Isiginin_Efendisi</t>
  </si>
  <si>
    <t>Doğa Efendisi'nin ormanını fırtınadan korudu. Çeliğindeki rüzgâr savaşta özgür kalır; son dalı kırmamak için öfkesini ölçer.</t>
  </si>
  <si>
    <t>Fırtına Divanı düğümünde Savaşçı sınıfının evren bağlantısı güçlendirildi.</t>
  </si>
  <si>
    <t>Altin_Yildiz</t>
  </si>
  <si>
    <t>Zihinsel_Sifaci; Kalkan_Titani_Tanrisal_Olumsuz; Yikim_Meclisi; Silent_Destructor_Insan</t>
  </si>
  <si>
    <t>Kalkan Titanı düşünce yıldızını yere indirdi. Halk onu gökten gelen kurtarıcı sandı; oysa korkan bir dostunun elini bırakmamıştı.</t>
  </si>
  <si>
    <t>Olumsuz_Kilic</t>
  </si>
  <si>
    <t>Hayat_Koruyucusu; Zirhli_Dev_Ejdersoy; Astral_Hukumdar</t>
  </si>
  <si>
    <t>Hayat Koruyucusu'na bitmeyen nöbet sözü verdi. Her öldürdüğü can ömrünü uzatır; bir düşmanı bağışladığı gün yaşlandığını anladı.</t>
  </si>
  <si>
    <t>Simsek_Askeri</t>
  </si>
  <si>
    <t>Sifa_Isigi; Demir_Zirh_Ejdersoy; Kara_Ruh_Buyucusu; Korku_Imparatoru_golge</t>
  </si>
  <si>
    <t>Şifa Işığı'nın önüne düşen yıldırımı yakaladı. Dünyadan hızlı koşar; geçmişte yardım isteyen dostuna yetişemediği anı geçemez.</t>
  </si>
  <si>
    <t>Buyuk_Celik_Avci</t>
  </si>
  <si>
    <t>Ruh_Diriltici; Gumus_Kol_Ejdersoy; Beyaz_Buyucu</t>
  </si>
  <si>
    <t>Beyaz Büyücü'nün rünleriyle zırhını güçlendirdi. Son avının bileğinde efendisinin zincirini görünce yeni bir hedef seçti.</t>
  </si>
  <si>
    <t>Arkan Defteri düğümünde Savaşçı sınıfının evren bağlantısı güçlendirildi.</t>
  </si>
  <si>
    <t>Efsanevi_Sifaci; Gece_Kalkani_Ejdersoy; Mistik_Kral; Kritik_Firtina_INSAN</t>
  </si>
  <si>
    <t>Mistik Kral'ın kapısında adını taşıyan suikastçıyı gördü. Halk suçlarını ona yazar; gerçeği yaşatmak için pençelerini saklar.</t>
  </si>
  <si>
    <t>Gölge Fermanı düğümünde Savaşçı sınıfının evren bağlantısı güçlendirildi.</t>
  </si>
  <si>
    <t>Intikamci_Kilic</t>
  </si>
  <si>
    <t>Hayat_Rehberi; Buz_Zirhi_Ejdersoy; Zamanin_Bukucusu</t>
  </si>
  <si>
    <t>Hayat Rehberi'nin kurtaramadığı dostu için yola çıktı. İntikamı uğruna Gümüş Kol sakatlanınca, öfkesinin bedelini anladı.</t>
  </si>
  <si>
    <t>Kara_Aslan</t>
  </si>
  <si>
    <t>Evren_Sifacisi; Yelkenli_Zirh_Insan; Gok_Tanricesi; Mortal_Shadow_Golge</t>
  </si>
  <si>
    <t>Karanlıkta yalnızken ona aslan dediler. Evren Şifacısı korkudan titrediğini bilir; cesareti, titreyerek de olsa ilerlemektir.</t>
  </si>
  <si>
    <t>Ejderha_Savascisi</t>
  </si>
  <si>
    <t>Isik_Vekili; Zirh_Krali_Cuce; Karanlik_Kader</t>
  </si>
  <si>
    <t>Zırh Kralı'nın ocağında ejder kanını tanıdı. İnsanların silahı, ejderlerin haini sayılır; iki halkı yakmadan savaşmayı öğrenir.</t>
  </si>
  <si>
    <t>Tacsiz_Muhafiz</t>
  </si>
  <si>
    <t>Mistik_Sifaci; Kutsal_Savunma; Isigin_Yikicisi; Between_The_Shadows_Golge</t>
  </si>
  <si>
    <t>Kutsal Savunma'yla boş tahtı korumaya ant içti. Dönen hükümdar halkı zincirledi; kılıcını tahta mı, sözüne mi doğrultmalı?</t>
  </si>
  <si>
    <t>Firtina_Zirhli</t>
  </si>
  <si>
    <t>Hayat_Fisildayicisi; Kum_Zirhli_Cuce; Elemental_Tanri</t>
  </si>
  <si>
    <t>Hayat Fısıldayıcısı'nı kurtarırken fırtınayı zırhına aldı. Dostlarına siper olur; eve döndüğünde kapısını yalnız rüzgâr açar.</t>
  </si>
  <si>
    <t>Alevli_Savasci</t>
  </si>
  <si>
    <t>Kadim_Ruh_Samani; Alev_Kalkani_Cuce; Buyulu_Zirve; God_Of_Secrecy_Insan</t>
  </si>
  <si>
    <t>Alev Kalkanı'yla Kızıl Antlaşma'yı yeniledi. Kılıcı yalnız yemin bozulunca yanar; bir sabah dostları arasındayken tutuştu.</t>
  </si>
  <si>
    <t>Guclu_Savas_Efendisi</t>
  </si>
  <si>
    <t>Isigin_Efendisi; Gumus_Zirh_Cuce; Goklerin_Efendisi</t>
  </si>
  <si>
    <t>Gümüş Zırh'ın ardında yıllarca yük taşıdı. Bir darbeyle duvar yıkabilir; ustasıysa bir kapıyı incitmeden açmasını öğütler.</t>
  </si>
  <si>
    <t>Yikici_Gladyator</t>
  </si>
  <si>
    <t>Hayat_Armonisti; Savas_Tanrisi_Tanrisal_Olumsuz; Yuce_Akil; Gece_Yilani_Surungensoy</t>
  </si>
  <si>
    <t>Hayat Armonisti'nin ezgisiyle zincirini kırdı. Arenada yenilmeyi seçti; bir babayı yaşatınca halk onu hain ilan etti.</t>
  </si>
  <si>
    <t>Kutsal_Zirh</t>
  </si>
  <si>
    <t>Zamanin_Yoldasi; FIRTINA_ZIRHI_Cuce; Kadim_Guc</t>
  </si>
  <si>
    <t>Zamanın Yoldaşı'nın eski yeminini kuşandı. Zırhı halkın korkusuyla parlar; onlara cesaret verdikçe kalkanı zayıflar.</t>
  </si>
  <si>
    <t>Ejderha_Kafali</t>
  </si>
  <si>
    <t>Kutsal_Sifaci; Hancer_Zirhi_Cuce; Felsefe_Buyucusu; Kritik_Kara_Pence_Golge</t>
  </si>
  <si>
    <t>Kutsal Şifacı ejder ateşini söndürmedi, dizginlemeyi öğretti. Ürken çocuklara savaşını değil, ilk yaktığı oyuncağı anlatır.</t>
  </si>
  <si>
    <t>Buyuk_Kanli_Asker</t>
  </si>
  <si>
    <t>Evrenin_Korumacisi; Simsek_Kalkani_Cuce; Kehanetci</t>
  </si>
  <si>
    <t>Kehanetçi'nin gördüğü darbeyi kendisi aldı. Kanından bir zırh ördü; gelecek değişti, yitirdiği dostun adı aynı kaldı.</t>
  </si>
  <si>
    <t>Zirhli_Efendi</t>
  </si>
  <si>
    <t>Yasamin_Bekcisi; AgirZirh_insan; Buyuk_Arcana; Sinsi_Kilic_Golge</t>
  </si>
  <si>
    <t>Yaşamın Bekçisi'yle Çelik Yemin'i savundu. Zırhı her zaferde kalınlaşır; onu bir gün çıkarabilmek için, savaşın bitmesini ister.</t>
  </si>
  <si>
    <t>Firtina_Kilici</t>
  </si>
  <si>
    <t>Felsefe_Sifacisi; Ejderha_Zirhli_Ejdersoy; Galaktik_Bilgisi</t>
  </si>
  <si>
    <t>Galaktik Bilgisi'yle fırtınaya kılıç uzattı. Şimşek safları deler; bir dosta sıçramasın diye darbeyi kendine çeker.</t>
  </si>
  <si>
    <t>Kutsal_Pence</t>
  </si>
  <si>
    <t>Enerji_Dagiticisi; Demir_Kafes_Insan; Astral_Savunucu; Firtinali_Golge_Golge</t>
  </si>
  <si>
    <t>Demir Kafes'i ışıklı pençeleriyle kırdı. Kapıyı kırınca durmadı; düşman bildiklerinin zincirlerini de açtı.</t>
  </si>
  <si>
    <t>Zirve_Efendisi</t>
  </si>
  <si>
    <t>Doga_Ustasi; Tas_Yurekli_Insan; Hayalet_Ustasi</t>
  </si>
  <si>
    <t>Doğa Ustası'nın geçidinde dağın dilini öğrendi. Zirve onu her tırmanışta güçlendirir; dostları için aşağı inmek asıl zaferidir.</t>
  </si>
  <si>
    <t>Firtina_Lordu</t>
  </si>
  <si>
    <t>Dengenin_Koruyucusu; Golge_Zirhi_Tanrisal_Olumsuz; ATES_CIRAGI; Zehir_Bicagi_Insan</t>
  </si>
  <si>
    <t>Dengenin Koruyucusu'na fırtınayı tutma sözü verdi. Halk öfkesinden korkar; o, duygusuzlaşıp rüzgârını kaybetmekten korkar.</t>
  </si>
  <si>
    <t>Celik_Savasci</t>
  </si>
  <si>
    <t>Isik_Mimar; DEMiR_MUHAFIZ; BUZ_OGRENCISI</t>
  </si>
  <si>
    <t>Demir Muhafız'la aynı ocakta silahlandı. Öldür emrini reddetti, çeliği kararmadı; yeminini yanlış anladığını öğrendi.</t>
  </si>
  <si>
    <t>ALEV_KILICI</t>
  </si>
  <si>
    <t>DOGA_SIFACISI; OBSIDYEN_KALKAN_insan_bocek; Ates_Lordu; Zehirli_Intikamci; Buyuk_Celik_Lordu</t>
  </si>
  <si>
    <t>Ateş Lordu'ndan çaldığı kıvılcım bir köyü yaktı. Umut Alevi ateşle can kurtarınca, kılıcından önce niyetini değiştirdi.</t>
  </si>
  <si>
    <t>Derin Kızıl Antlaşma düğümünde Savaşçı sınıfının evren bağlantısı güçlendirildi.</t>
  </si>
  <si>
    <t>FIRTINA_DOVUSCUSU</t>
  </si>
  <si>
    <t>ISIK_RAHIBI; KRISTAL_KORUYUCU; KIYAMET_BUYUCUSU; Buyuk_Tehlike; Altin_Pence</t>
  </si>
  <si>
    <t>Kristal Koruyucu'yla fırtınada eğitim gördü. Üç rakibi bir nefeste aşar; son rakip çekilince dövüşmeden kazanmayı öğrendi.</t>
  </si>
  <si>
    <t>Derin Fırtına Divanı düğümünde Savaşçı sınıfının evren bağlantısı güçlendirildi.</t>
  </si>
  <si>
    <t>DOVUS_USTASI</t>
  </si>
  <si>
    <t>KORUYUCU_MELEK; Celik_Vucut_insan; Donusum_Ustasi; Yikici_Sinsi; Savas_Ruhlu</t>
  </si>
  <si>
    <t>Çelik Vücut'u silahsız yenerek ün kazandı. Öğrencisi tekniğini bozunca gururu kırılmadı; ustasının son dileği böyle gerçekleşti.</t>
  </si>
  <si>
    <t>Derin Çelik Yemin düğümünde Savaşçı sınıfının evren bağlantısı güçlendirildi.</t>
  </si>
  <si>
    <t>Simsek_Dovuscusu</t>
  </si>
  <si>
    <t>Zihinsel_Iyilestirici; Tuyles_Savunma_Ejdersoy; Karanlik_Adept; Efsanevi_Fisildayici_Insan; Zirve_Kilici</t>
  </si>
  <si>
    <t>Zihinsel İyileştirici uğultusunu susturdu. Şimşek yumruklarında konuşur; sessizlikte savaş dışında kim olduğunu aradı.</t>
  </si>
  <si>
    <t>Buyuk_Celik_Lordu</t>
  </si>
  <si>
    <t>Doganin_Rehberi; Buyuk_Kalkan_Insan; Ruh_Yoneticisi; Hayalet_Kafali; Kiyamet_Askeri</t>
  </si>
  <si>
    <t>Büyük Kalkan'la Arkan ocağını savundu. Halkını korumak için tahtını eritti; zırhındaki her parça eve dönüş yemini taşır.</t>
  </si>
  <si>
    <t>Derin Arkan Defteri düğümünde Savaşçı sınıfının evren bağlantısı güçlendirildi.</t>
  </si>
  <si>
    <t>Altin_Pence</t>
  </si>
  <si>
    <t>Zamanin_Sifacisi; Savunma_Prensesi_Insan; Yildiz_Yucelten; Kara_Pence; Gok_Yildizi</t>
  </si>
  <si>
    <t>Savunma Prensesi'nin mührünü pençelerine işledi. Altın ışığı göz alır; işaretin soyluluk değil, özgürlük borcu olduğunu bilir.</t>
  </si>
  <si>
    <t>Derin Kutsal Yemin düğümünde Savaşçı sınıfının evren bağlantısı güçlendirildi.</t>
  </si>
  <si>
    <t>Savas_Ruhlu</t>
  </si>
  <si>
    <t>Ruh_Hekimi; Demir_Zirhli_Asker_insan; Vahsi_Elementalist; Gizli_Oldurucu; Ejderha_Pencesi</t>
  </si>
  <si>
    <t>Ruh Hekimi onu eski savaşına geri çağırdı. Çığlığında ordusu yankılanır; sesini duymayınca ölümünden kuşkulandı.</t>
  </si>
  <si>
    <t>Derin Ruh Mahkemesi düğümünde Savaşçı sınıfının evren bağlantısı güçlendirildi.</t>
  </si>
  <si>
    <t>Zirve_Kilici</t>
  </si>
  <si>
    <t>Derin Kan Meydanı</t>
  </si>
  <si>
    <t>Sonsuz_Umut; Kutsal_Volkanik_Asker_Insan; Kiyamet_Bilgini; Firtina_Yikici; Firtina_Efendisi</t>
  </si>
  <si>
    <t>Sonsuz Umut'un sancağını zirveye dikti. Kılıcı orada güçlendi; halkının yaşadığı vadinin görünmediğini fark edince aşağıya yürüdü.</t>
  </si>
  <si>
    <t>Derin Kan Meydanı düğümünde Savaşçı sınıfının evren bağlantısı güçlendirildi.</t>
  </si>
  <si>
    <t>Kiyamet_Askeri</t>
  </si>
  <si>
    <t>Isigin_Murekkep; Kara_Celik_ejdersoy; Gok_Yuce; Hizli_Savasci; Celik_Yildiz</t>
  </si>
  <si>
    <t>Işığın Mürekkebi'yle yazılan ölüm emrini reddetti. İçindeki kıyamet o imzayı arar; onu silmek için yaratıcısını korumalı.</t>
  </si>
  <si>
    <t>Derin Kaos Tacı düğümünde Savaşçı sınıfının evren bağlantısı güçlendirildi.</t>
  </si>
  <si>
    <t>Gok_Yildizi</t>
  </si>
  <si>
    <t>Mistik_Hayat; Demir_Beden_Ejdersoy; Aetherin_Efendisi; Zehirli_Gozcu; Alev_Yurekli</t>
  </si>
  <si>
    <t>Mistik Hayat'ın kehanetinde düşen yıldızı gördü. Onu silah yaptı; her darbede bir felaketi dünyadan uzak tutar.</t>
  </si>
  <si>
    <t>Derin Yıldız Geçidi düğümünde Savaşçı sınıfının evren bağlantısı güçlendirildi.</t>
  </si>
  <si>
    <t>Ejderha_Pencesi</t>
  </si>
  <si>
    <t>Kadim_Ruh_Koruyucusu; Karanlik_Savunucu_Cuce_gelisim; Zifiri_Buyucu; Intikam_Avcisi; Kanli_Sovalye</t>
  </si>
  <si>
    <t>Kadim Ruh Koruyucusu atalarının ateşini uyandırdı. Pençeleri düşmanı yakar; övünen sesler, bağışladığı ilk canla sustu.</t>
  </si>
  <si>
    <t>Firtina_Efendisi</t>
  </si>
  <si>
    <t>Yasamin_Isigi; Isik_Savunucu_insan; Buyusel_Baslangic; Usta_Yikici; Guclu_Savasci</t>
  </si>
  <si>
    <t>Yaşamın Işığı'nı söndüren orduyu izledi. Düşman dağıldı ama fırtınası dinmedi; intikamın ışığı geri vermeyeceğini öğreniyor.</t>
  </si>
  <si>
    <t>Celik_Yildiz</t>
  </si>
  <si>
    <t>Mistik_Yoldas; Olumsuz_Kaya_Mutant_Gelisim; Mistik_Ogretmen; Dusus_Golgesi; ALEV_KILICI</t>
  </si>
  <si>
    <t>Mistik Yoldaş'ın göktaşını çeliğe dövdü. Savurduğu yıldız geri gelir; içinden gelen sesin bir silaha ait olmadığını düşünür.</t>
  </si>
  <si>
    <t>Alev_Yurekli</t>
  </si>
  <si>
    <t>Evrenin_Iyilestiricisi; Firtina_Savunmasi_ejdersoy_insan; Isik_Ustasi; KANLI_GOLGE; FIRTINA_DOVUSCUSU</t>
  </si>
  <si>
    <t>Işık Ustası kalbindeki ateşi uyandırdı. Düşmana yansıyan ilk alev bir dosta değince, gücün ateşi tutmak olduğunu gördü.</t>
  </si>
  <si>
    <t>Kanli_Sovalye</t>
  </si>
  <si>
    <t>Isigin_Yukselisi; Ucan_Zirh_Ejdersoy; KARA_BUYUCUSU; SESSIZ_AVCI; DOVUS_USTASI</t>
  </si>
  <si>
    <t>Işığın Yükselişi onu kanlı yemininden döndüremedi. Her zafer yaralarını kapatır; kalan tek iz, bağışladığı düşmandandır.</t>
  </si>
  <si>
    <t>Guclu_Savasci</t>
  </si>
  <si>
    <t>Tanrisal_Sifaci; CELIK_GARDIYAN_insan_mutant; RUN_USTASI_buyucusu; GECE_AVCISI; Simsek_Dovuscusu</t>
  </si>
  <si>
    <t>Tanrısal Şifacı ona ikinci bir yaşam verdi. Değerini kanıtlamak yerine başkalarına aynı şansı vermeyi öğrenir.</t>
  </si>
  <si>
    <t>KARA_SOVALYE</t>
  </si>
  <si>
    <t>ZAMAN_SIFACISI; MAGMA_KORUYUCU; Zehirli_Ruya; Yilanin_Laneti; Firtina_Aslani; KADIM_SIFACI; OLUMSUZ_KALKANLI_ASKER</t>
  </si>
  <si>
    <t>Kadim Şifacı'nın ışığını kara zırhında saklar. Her gece güçlenir; karanlığı seçti, çünkü ışığın adına suç işlemişti.</t>
  </si>
  <si>
    <t>Kadim Gölge Fermanı düğümünde Savaşçı sınıfının evren bağlantısı güçlendirildi.</t>
  </si>
  <si>
    <t>KUTSAL_KILIC</t>
  </si>
  <si>
    <t>RUH_SAMANI; KUTSAL_MUHAFIZ; Firtina_Cildirani; Hayalet_Asker; Atesli_Kilic; ISIK_LORDU</t>
  </si>
  <si>
    <t>Ruh Şamanı'nın arındırdığı kılıcı kuşandı. Üçüncü darbesi kutsal hüküm olur; merhamet için ikiden sonra durur.</t>
  </si>
  <si>
    <t>Kadim Kutsal Yemin düğümünde Savaşçı sınıfının evren bağlantısı güçlendirildi.</t>
  </si>
  <si>
    <t>SAVAS_LORDU</t>
  </si>
  <si>
    <t>Kadim Kan Meydanı</t>
  </si>
  <si>
    <t>YASAM_USTASI; ABIS_GARDIYANI_golge; Kader_Orgusu_Arkan_buyucusu; Sonsuz_Pence; Yikici_Sovalye; YASAM_EFENDISI; Yikim_Tanrisi</t>
  </si>
  <si>
    <t>Yaşam Ustası'ndan zaferin bedelini öğrendi. Tek emri orduyu birleştirir; her hücumdan önce geri dönmeyeceklerin adını ezberler.</t>
  </si>
  <si>
    <t>Kadim Kan Meydanı düğümünde Savaşçı sınıfının evren bağlantısı güçlendirildi.</t>
  </si>
  <si>
    <t>Efsanevi_Zirhli</t>
  </si>
  <si>
    <t>Zamanin_Rehberi; Firtina_Gucu_Cuce; Alev_Krali; Kanli_Avci; Golge_Kalkani; Butunlestirici</t>
  </si>
  <si>
    <t>Zamanın Rehberi onu eski kuşatmadan çıkardı. Zırhını kimse delemez; dostunu bıraktığı yerdeki çatlağı tamir ettirmez.</t>
  </si>
  <si>
    <t>Kadim Çelik Yemin düğümünde Savaşçı sınıfının evren bağlantısı güçlendirildi.</t>
  </si>
  <si>
    <t>Firtina_Aslani</t>
  </si>
  <si>
    <t>Kadim_Yasam_Efendisi; Yildirim_Muhafizi; Ruh_Atesi; Kritik_Gozcu; KARA_SOVALYE; KADIM_SIFACI; OLUMSUZ_KALKANLI_ASKER</t>
  </si>
  <si>
    <t>Yıldırım Muhafızı'nın yolunu kükreyerek açtı. Her zafer öfkesini büyütür; son düşman düşünce dostlarının niye çekildiğini anladı.</t>
  </si>
  <si>
    <t>Kadim Fırtına Divanı düğümünde Savaşçı sınıfının evren bağlantısı güçlendirildi.</t>
  </si>
  <si>
    <t>Atesli_Kilic</t>
  </si>
  <si>
    <t>Efsanevi_Iyilestirici; Buzlarin_Efendisi_insan; Efsanevi_Bilge; RUH_BICICI; KUTSAL_KILIC; ISIK_LORDU</t>
  </si>
  <si>
    <t>Efsanevi Bilge'nin söndüremediği ateşi kılıcına aldı. Alevler düşmanını unutmuyor; bağışlamayı öğrenirse yanan köyü de sönecek.</t>
  </si>
  <si>
    <t>Kadim Kızıl Antlaşma düğümünde Savaşçı sınıfının evren bağlantısı güçlendirildi.</t>
  </si>
  <si>
    <t>Yikici_Sovalye</t>
  </si>
  <si>
    <t>Sonsuz_Yasamin_Bekcisi; Sonsuz_Savunma; ZAMAN_BUYUCUSU; KAOS_GOLGESI; SAVAS_LORDU; YASAM_EFENDISI; Yikim_Tanrisi</t>
  </si>
  <si>
    <t>Sonsuz Savunma'yı bir sıçrayışta aştı. Son duvar yıkılınca ardındaki evleri gördü; aynı güçle çöken çatıları tutar.</t>
  </si>
  <si>
    <t>Golge_Kalkani</t>
  </si>
  <si>
    <t>Isigin_Yuces; TITANYUM_SOVALYE; BOYUT_USTASI_bukucu; OLUM_DANSCISI; Efsanevi_Zirhli; Butunlestirici</t>
  </si>
  <si>
    <t>Bütünleştirici'nin yeminiyle gölge kuşandı. Kalkanı her darbeyi biriktirir; patlamadan önce yanındakileri uzaklaştırmalı.</t>
  </si>
  <si>
    <t>ZAFER_MELEGI</t>
  </si>
  <si>
    <t>Efsanevi Kutsal Yemin</t>
  </si>
  <si>
    <t>KADIM_SIFACI; OLUMSUZ_KALKANLI_ASKER; GOKYUZU_HAKIMI; GOLGE; YASAM_TANRISI; EVREN_KORUYUCUSU; BUYU_TANRISI; GOLGELER_EFENDISI</t>
  </si>
  <si>
    <t>Kadim Şifacı zaferin yaralarını gösterdi. Kılıcı düşmanı biçerken dostunu iyileştirir; barışta silahsız mucize deneyecek.</t>
  </si>
  <si>
    <t>Efsanevi Kutsal Yemin düğümünde Savaşçı sınıfının evren bağlantısı güçlendirildi.</t>
  </si>
  <si>
    <t>KIYAMET_SAVASCISI</t>
  </si>
  <si>
    <t>ISIK_LORDU; Kara_Zirhli_Ejderha; Buz_Prensi; GOLGE_LORDU; ZAMAN_BUKUCU; Zirh_Tanrisi; EVREN_BUYUCUSU; OLUM_TANRISI</t>
  </si>
  <si>
    <t>Zaman Bükücü'nün sakladığı son savaşı hatırlar. Canı tükendikçe kıyamet uyanır; dünyayı yaşatmak için kahramanca ölmemeli.</t>
  </si>
  <si>
    <t>Efsanevi Kaos Tacı düğümünde Savaşçı sınıfının evren bağlantısı güçlendirildi.</t>
  </si>
  <si>
    <t>EFSANE_GLADYATOR</t>
  </si>
  <si>
    <t>Efsanevi Kan Meydanı</t>
  </si>
  <si>
    <t>YASAM_EFENDISI; Yikim_Tanrisi; KADIM_BUYUCU; KIYAMET_SUIKASTCISI; IYILESTIRME_TANRISI; EVREN_KORUYUCUSU; BUYU_TANRISI; GOLGELER_EFENDISI</t>
  </si>
  <si>
    <t>Yaşam Efendisi'nin önünde son zincirini kırdı. Tanrılar arenaya çağırır; kazanmak için değil, kimse savaşmasın diye gider.</t>
  </si>
  <si>
    <t>Efsanevi Kan Meydanı düğümünde Savaşçı sınıfının evren bağlantısı güçlendirildi.</t>
  </si>
  <si>
    <t>Karanlik_Savasci</t>
  </si>
  <si>
    <t>Butunlestirici; EJDER_PULLU_SOVALYE; Eski_Kitap_Ustasi; BOYUT_KATILI; YASAM_TANRISI; Zirh_Tanrisi; EVREN_BUYUCUSU; OLUM_TANRISI</t>
  </si>
  <si>
    <t>Bütünleştirici'nin boşa çıkan yeminini saklar. Her zafer gölgesini büyütür; bir gün halkını da altında bırakacağını bilir.</t>
  </si>
  <si>
    <t>Efsanevi Gölge Fermanı düğümünde Savaşçı sınıfının evren bağlantısı güçlendirildi.</t>
  </si>
  <si>
    <t>SAVAS_TANRISI</t>
  </si>
  <si>
    <t>Tanrısal Kan Meydanı</t>
  </si>
  <si>
    <t>IYILESTIRME_TANRISI; EVREN_KORUYUCUSU; BUYU_TANRISI; GOLGELER_EFENDISI; YASAM_TANRISI; YASAM_EFENDISI; Yikim_Tanrisi; KADIM_BUYUCU; KIYAMET_SUIKASTCISI; EFSANE_GLADYATOR</t>
  </si>
  <si>
    <t>İyileştirme Tanrısı'yla savaşın ilk bedelini paylaştı. Her dua gazabını büyütür; barış isteyenler onun sonunu da isteyecek.</t>
  </si>
  <si>
    <t>Tanrısal Kan Meydanı düğümünde Savaşçı sınıfının evren bağlantısı güçlendirildi.</t>
  </si>
  <si>
    <t>KAOS_SAMPIYONU</t>
  </si>
  <si>
    <t>YASAM_TANRISI; Zirh_Tanrisi; EVREN_BUYUCUSU; OLUM_TANRISI; ZAMAN_BUKUCU; Butunlestirici; EJDER_PULLU_SOVALYE; Eski_Kitap_Ustasi; BOYUT_KATILI; Karanlik_Savasci</t>
  </si>
  <si>
    <t>Zaman Bükücü'nün düzeltemediği andan doğdu. Herkes düzeni onarmasını ister; dünya kusursuz olursa varlığının silineceğini bilir.</t>
  </si>
  <si>
    <t>Tanrısal Kaos Tacı düğümünde Savaşçı sınıfının evren bağlantısı güçlendirildi.</t>
  </si>
  <si>
    <t>KARAKTER PROJESİ — YÖNETİM VE DEVAM DOSYASI</t>
  </si>
  <si>
    <t>Sürüm: V1 / 56 kart • Son kontrol: 23.09.2026 • Bu sayfa dosyanın başlangıç noktasıdır.</t>
  </si>
  <si>
    <t>Toplam Karakter</t>
  </si>
  <si>
    <t>V1 Kart</t>
  </si>
  <si>
    <t>Hazır Görsel</t>
  </si>
  <si>
    <t>Üretilecek Görsel</t>
  </si>
  <si>
    <t>DOSYAYI NASIL KULLANMALIYIZ?</t>
  </si>
  <si>
    <t>Ana veri kaynağı</t>
  </si>
  <si>
    <t>Tum_Karakterler_311 tüm 311 karakter için tek doğruluk kaynağıdır. Karakter bilgilerini önce burada güncelleyin.</t>
  </si>
  <si>
    <t>V1 kararı</t>
  </si>
  <si>
    <t>V1_Kadro_56 yalnızca onaylı 56 kartı içerir. Kadro değişirse denge ve üretim listelerini yeniden kontrol edin.</t>
  </si>
  <si>
    <t>Sınıf sekmeleri</t>
  </si>
  <si>
    <t>Destek, Ninja, Tank, Büyücü ve Savaşçı sekmeleri aynadır. Ana sayfadaki değişiklikleri aynı ID satırına senkronlayın.</t>
  </si>
  <si>
    <t>Görsel üretimi</t>
  </si>
  <si>
    <t>V1_Uretilecek_14 lansman öncesi açık görsel işleridir. Takip Durumu sütununu ekip güncelleyebilir.</t>
  </si>
  <si>
    <t>Teknik geçmiş</t>
  </si>
  <si>
    <t>Gizli teknik sekmeler karar geçmişini korur; günlük kullanım için gerekli değildir. Gerektiğinde gösterilebilir.</t>
  </si>
  <si>
    <t>Bilgi</t>
  </si>
  <si>
    <t>Her karakterin %2 kritik vuruş şansı vardır</t>
  </si>
  <si>
    <t>V1 ONAY ÖZETİ</t>
  </si>
  <si>
    <t>Nadirlik planı</t>
  </si>
  <si>
    <t>20 Yaygın • 16 Nadir • 10 Ender • 5 Efsanevi • 5 Multi</t>
  </si>
  <si>
    <t>Onaylı</t>
  </si>
  <si>
    <t>Sınıf planı</t>
  </si>
  <si>
    <t>Destek 11 • Ninja 11 • Tank 11 • Büyücü 11 • Savaşçı 12</t>
  </si>
  <si>
    <t>Irk sözlüğü</t>
  </si>
  <si>
    <t>14 ana ırk; element, meslek ve unvanlar ana ırk değildir.</t>
  </si>
  <si>
    <t>Görsel durumu</t>
  </si>
  <si>
    <t>42 hazır • 14 üretilecek • V1’de hafif düzenleme veya çakışmalı görsel yok.</t>
  </si>
  <si>
    <t>14 açık iş</t>
  </si>
  <si>
    <t>Hikâye limiti</t>
  </si>
  <si>
    <t>311 hikâye dolu; ID 192 düzeltildi ve 130 karaktere indirildi.</t>
  </si>
  <si>
    <t>BİLİNEN NOTLAR VE GÜVENLİ DEVAM KURALLARI</t>
  </si>
  <si>
    <t>• Kara_Pence adı iki ayrı karakterde bulunur (ID 104 ve ID 264). Otomatik birleştirmeyin; ID anahtardır.</t>
  </si>
  <si>
    <t>• ID 135 için tam görsel yenileme kararı vardır; V1 kadrosunda olmadığı için lansman engeli değildir.</t>
  </si>
  <si>
    <t>• Yeni ırk eklemeyin. Ana ırk değerleri yalnızca Irk_Sozlugu sayfasındaki 14 değerden biri olmalıdır.</t>
  </si>
  <si>
    <t>• Bu dosyada eski 54 kartlık V1 planı kaldırılmıştır; yalnızca V1_Kadro_56 günceldir.</t>
  </si>
  <si>
    <t>HIZLI SAYFA REHBERİ</t>
  </si>
  <si>
    <t>V1_Kadro_56</t>
  </si>
  <si>
    <t>Onaylı 56 kart</t>
  </si>
  <si>
    <t>V1_Uretilecek_14</t>
  </si>
  <si>
    <t>Görsel backlog</t>
  </si>
  <si>
    <t>V1_Sinif_Nadirlik</t>
  </si>
  <si>
    <t>Denge matrisi</t>
  </si>
  <si>
    <t>Gorsel_Durum_311</t>
  </si>
  <si>
    <t>Tüm görsel denetimi</t>
  </si>
  <si>
    <t>Irk_Sozlugu</t>
  </si>
  <si>
    <t>14 ırk kuralı</t>
  </si>
  <si>
    <t>Tum_Karakterler_311</t>
  </si>
  <si>
    <t>311 ana kayıt</t>
  </si>
  <si>
    <t>QA_KONTROL</t>
  </si>
  <si>
    <t>Canlı kalite kontrolleri</t>
  </si>
  <si>
    <t>KAYNAK_VE_KURALLAR</t>
  </si>
  <si>
    <t>Ekip çalışma sözlüğü</t>
  </si>
  <si>
    <t>V1 KADROSU — 56 KART</t>
  </si>
  <si>
    <t>Onaylı ve dengeli lansman kadrosu • Filtreleri kullanın • Kadro kararı değişirse denge sayfalarını kontrol edin</t>
  </si>
  <si>
    <t>Görsel Durumu</t>
  </si>
  <si>
    <t>Görsel Sayısı</t>
  </si>
  <si>
    <t>Görsel Dosyaları</t>
  </si>
  <si>
    <t>Karar Güveni</t>
  </si>
  <si>
    <t>V1 Notu</t>
  </si>
  <si>
    <t>Hazır</t>
  </si>
  <si>
    <t>ATES CIRAGI.jpg | ATES_CIRAGI_erkek.jpg | ATES_CIRAGI_KIZ.jpg</t>
  </si>
  <si>
    <t>Mevcut görselle V1’e hazır.</t>
  </si>
  <si>
    <t>BUZ OGRENCISI.jpg | BUZ_OGRENCISI_KIZ.jpg</t>
  </si>
  <si>
    <t>Kita_Buyucusu.jpg</t>
  </si>
  <si>
    <t>Galaktik_Bilgisi.png</t>
  </si>
  <si>
    <t>CIRAK SIFACI.png</t>
  </si>
  <si>
    <t>RUH BEKCISI.png</t>
  </si>
  <si>
    <t>Sonsuz Sifaci.png</t>
  </si>
  <si>
    <t>Evren Sifacisi.png</t>
  </si>
  <si>
    <t>Gölge Çırağı - Gölge.jpg</t>
  </si>
  <si>
    <t>Gölgelerin Ustası - Gölge.jpg</t>
  </si>
  <si>
    <t>Karabasan - Gölge.jpg</t>
  </si>
  <si>
    <t>Gizli Yıkıcı - Cüce.jpg</t>
  </si>
  <si>
    <t>DEMİR MUHAFIZ.jpg</t>
  </si>
  <si>
    <t>Kaya Bekçisi - Hayvan.jpg</t>
  </si>
  <si>
    <t>Ates_Tasi_Ejderhasi_Ejdersoy.jpg</t>
  </si>
  <si>
    <t>Demir Zırh - Ejdersoy.jpg</t>
  </si>
  <si>
    <t>Kizil_Savasci</t>
  </si>
  <si>
    <t>KIZIL SAVASCI.png</t>
  </si>
  <si>
    <t>Zirve Pencesi.png</t>
  </si>
  <si>
    <t>Yildiz Savascisi.png</t>
  </si>
  <si>
    <t>Kutsal Asker.png</t>
  </si>
  <si>
    <t>RÜN USTASI_buyucusu.jpg</t>
  </si>
  <si>
    <t>Vahsi_Elementalist.jpg</t>
  </si>
  <si>
    <t>Mistik_Ogretmen.jpg</t>
  </si>
  <si>
    <t>DOGA SIFACISI.png</t>
  </si>
  <si>
    <t>KORUYUCU MELEK.jpg</t>
  </si>
  <si>
    <t>Evrenin Iyilestiricisi.png</t>
  </si>
  <si>
    <t>Kanlı Gölge - Gölge.jpg</t>
  </si>
  <si>
    <t>Zehirli İntikamcı - Cüce.jpg</t>
  </si>
  <si>
    <t>Yıkıcı Sinsi - Cüce.jpg</t>
  </si>
  <si>
    <t>Tüyles Savunma - Ejdersoy.jpg</t>
  </si>
  <si>
    <t>Ölümsüz Kaya - Mutant Gelişim.jpg | Ölümsüz Kaya - Mutant.jpg</t>
  </si>
  <si>
    <t>Fırtına Savunması - Tanrısal Ölümsüz.jpg</t>
  </si>
  <si>
    <t>Alev_Kilici</t>
  </si>
  <si>
    <t>—</t>
  </si>
  <si>
    <t>Yeni görsel V1 öncesi üretilmeli.</t>
  </si>
  <si>
    <t>Firtina_Dovuscusu</t>
  </si>
  <si>
    <t>Zaman_BUyUcUsU.jpg</t>
  </si>
  <si>
    <t>Firtina_Cildirani.jpg</t>
  </si>
  <si>
    <t>ZAMAN SIFACISI.jpg</t>
  </si>
  <si>
    <t>Kadim Yasam Efendisi.png</t>
  </si>
  <si>
    <t>Ruh_Bicici</t>
  </si>
  <si>
    <t>Titanyum Şövalye, son derece dayanıklı, neredeyse yok edilemez bir ölümsüz anime.jpg</t>
  </si>
  <si>
    <t>Kutsal Muhafız Cüce, kısa ama heybetli, Gümüş zırhı kutsal sembollerle işli, baltası ışık saçar. Tapınağı korurken gözleri ateş gibi parlayan bir anime__.jpg</t>
  </si>
  <si>
    <t>Kara_Sovalye</t>
  </si>
  <si>
    <t>Kadim_Sifaci</t>
  </si>
  <si>
    <t>Golge_Lordu</t>
  </si>
  <si>
    <t>Kara Zırhlı Ejderha, devasa ve korku salan bir anime karakteri; pulları simsiyah, her biri metalik bir parlaklıkla zırh gibi ışıldıyor. Kanatları geniş, uçları keskin ve dumanlı bir gölge yayıyor. Gözleri koyu kırm.jpg</t>
  </si>
  <si>
    <t>Kadim Büyücü.png | Kadim_buyucu.jpg</t>
  </si>
  <si>
    <t>Zafer_Melegi</t>
  </si>
  <si>
    <t>Iyilestirme_Tanrisi</t>
  </si>
  <si>
    <t>Olum_Tanrisi</t>
  </si>
  <si>
    <t>Zırh Tanrısı - Ejdersoy.jpg</t>
  </si>
  <si>
    <t>Büyü_Tanrisi.jpg</t>
  </si>
  <si>
    <t>Kaos_Sampiyonu</t>
  </si>
  <si>
    <t>V1 GÖRSEL ÜRETİM LİSTESİ — 14</t>
  </si>
  <si>
    <t>Bu listedeki işler V1 lansmanının tek açık görsel üretim backlog’udur.</t>
  </si>
  <si>
    <t>Sıra</t>
  </si>
  <si>
    <t>İş</t>
  </si>
  <si>
    <t>V1 Engeli</t>
  </si>
  <si>
    <t>Takip Durumu</t>
  </si>
  <si>
    <t>Yeni görsel üret</t>
  </si>
  <si>
    <t>Evet</t>
  </si>
  <si>
    <t>Bekliyor</t>
  </si>
  <si>
    <t>V1 SINIF × NADİRLİK DENGESİ</t>
  </si>
  <si>
    <t>Matematiksel olarak mümkün olan en yakın denge: 56 kart / 5 sınıf.</t>
  </si>
  <si>
    <t>Toplam</t>
  </si>
  <si>
    <t>ONAYLI KOTALAR</t>
  </si>
  <si>
    <t>V1 SINIF × IRK DAĞILIMI</t>
  </si>
  <si>
    <t>V1 kadrosundaki ırksal çeşitliliğin sınıflara dağılımı.</t>
  </si>
  <si>
    <t>V1 IRK DAĞILIMI</t>
  </si>
  <si>
    <t>14 ana ırk sözlüğüne göre V1 toplamları.</t>
  </si>
  <si>
    <t>V1 Kart Sayısı</t>
  </si>
  <si>
    <t>Pay</t>
  </si>
  <si>
    <t>QA KONTROL PANELİ</t>
  </si>
  <si>
    <t>Tüm sonuçlar “GEÇTİ” olmalıdır. “HATA” görünürse ilgili kararı yeniden doğrulayın.</t>
  </si>
  <si>
    <t>Kontrol</t>
  </si>
  <si>
    <t>Beklenen</t>
  </si>
  <si>
    <t>Sonuç</t>
  </si>
  <si>
    <t>Durum</t>
  </si>
  <si>
    <t>Ana kadro satırı</t>
  </si>
  <si>
    <t>V1 benzersiz ID</t>
  </si>
  <si>
    <t>Yaygın kart</t>
  </si>
  <si>
    <t>Nadir kart</t>
  </si>
  <si>
    <t>Ender kart</t>
  </si>
  <si>
    <t>Efsanevi kart</t>
  </si>
  <si>
    <t>Multi kart</t>
  </si>
  <si>
    <t>V1 üretilecek görsel</t>
  </si>
  <si>
    <t>Ana karakter sayısı</t>
  </si>
  <si>
    <t>130 karakteri aşan hikâye</t>
  </si>
  <si>
    <t>ID 192 hikâye uzunluğu</t>
  </si>
  <si>
    <t>Kara_Pence bilinen ad tekrarı</t>
  </si>
  <si>
    <t>KAYNAK VE ÇALIŞMA KURALLARI</t>
  </si>
  <si>
    <t>Ekip devrinde hangi sayfanın ne için kullanılacağını açıklayan veri sözlüğü.</t>
  </si>
  <si>
    <t>Sayfa / Kaynak</t>
  </si>
  <si>
    <t>Rol</t>
  </si>
  <si>
    <t>Güncelleme Kuralı</t>
  </si>
  <si>
    <t>311 karakterin tek doğruluk kaynağı</t>
  </si>
  <si>
    <t>Karakter alanlarını önce burada güncelleyin; ID anahtardır.</t>
  </si>
  <si>
    <t>Aktif</t>
  </si>
  <si>
    <t>Onaylı V1 seçimi</t>
  </si>
  <si>
    <t>Yalnızca yönetim kararıyla kadro değiştirin; ardından QA_KONTROL’e bakın.</t>
  </si>
  <si>
    <t>Tüm proje görsel denetimi</t>
  </si>
  <si>
    <t>Yeni görsel geldikçe dosya adı, sayı ve durum alanlarını güncelleyin.</t>
  </si>
  <si>
    <t>Lansman görsel backlog’u</t>
  </si>
  <si>
    <t>Takip Durumu alanını üretim akışında güncelleyin.</t>
  </si>
  <si>
    <t>14 ana ırk veri sözlüğü</t>
  </si>
  <si>
    <t>Yeni ana ırk açmayın; alt tür/elementi ırk alanına taşımayın.</t>
  </si>
  <si>
    <t>Ana listenin sınıf bazlı aynaları</t>
  </si>
  <si>
    <t>Önce ana listeyi, sonra aynı ID satırını güncelleyin.</t>
  </si>
  <si>
    <t>Ayna</t>
  </si>
  <si>
    <t>Yetenek sekmeleri</t>
  </si>
  <si>
    <t>Sınıf yetenek havuzları</t>
  </si>
  <si>
    <t>Karakter ana verisinden ayrı içerik havuzudur.</t>
  </si>
  <si>
    <t>Gizli teknik sekmeler</t>
  </si>
  <si>
    <t>Karar ve denge geçmişi</t>
  </si>
  <si>
    <t>Günlük çalışma için değil; denetim geçmişi için saklanır.</t>
  </si>
  <si>
    <t>Arşiv</t>
  </si>
  <si>
    <t>Yeni Irk</t>
  </si>
  <si>
    <t>Görselde Görünen</t>
  </si>
  <si>
    <t>Gerekçe</t>
  </si>
  <si>
    <t>İnsan görünümlü</t>
  </si>
  <si>
    <t>Görsel morfolojisi yeni ırkla uyumlu.</t>
  </si>
  <si>
    <t>UMUT TASIYICI.png</t>
  </si>
  <si>
    <t>Hafif düzenleme</t>
  </si>
  <si>
    <t>Karakter kullanılabilir; ırk işaretleri arka plan, kulak, kanat, doku veya efektle güçlendirilmeli.</t>
  </si>
  <si>
    <t>Sifa Yildizi.png</t>
  </si>
  <si>
    <t>Umut Alevi.png</t>
  </si>
  <si>
    <t>Elf görünümlü</t>
  </si>
  <si>
    <t>Hayat Akisi.png</t>
  </si>
  <si>
    <t>Kutsal Isik.png</t>
  </si>
  <si>
    <t>Isik Yoldasi.png</t>
  </si>
  <si>
    <t>Doga Efendisi.png</t>
  </si>
  <si>
    <t>Zihinsel Sifaci.png</t>
  </si>
  <si>
    <t>Kullanıcı tarafından görsel/ırk uyumu doğrulandı.</t>
  </si>
  <si>
    <t>Hayat Koruyucusu.png</t>
  </si>
  <si>
    <t>Sifa Isigi.png</t>
  </si>
  <si>
    <t>Ruh Diriltici.png</t>
  </si>
  <si>
    <t>Efsanevi Sifaci.png</t>
  </si>
  <si>
    <t>Hayat Rehberi.png</t>
  </si>
  <si>
    <t>Astral görünümlü</t>
  </si>
  <si>
    <t>Isik Vekili.png</t>
  </si>
  <si>
    <t>Mistik Sifaci.png</t>
  </si>
  <si>
    <t>Hayat Fisildayicisi.png</t>
  </si>
  <si>
    <t>Kadim Ruh Samani.png</t>
  </si>
  <si>
    <t>Isigin Efendisi.png</t>
  </si>
  <si>
    <t>Hayat Armonisti.png</t>
  </si>
  <si>
    <t>Zamanin Yoldasi.png</t>
  </si>
  <si>
    <t>Kutsal Sifaci.png</t>
  </si>
  <si>
    <t>Evrenin Korumacisi.png</t>
  </si>
  <si>
    <t>Yasamin Bekcisi.png</t>
  </si>
  <si>
    <t>Felsefe Sifacisi.png</t>
  </si>
  <si>
    <t>Enerji Dagiticisi.png</t>
  </si>
  <si>
    <t>Doga Ustasi.png</t>
  </si>
  <si>
    <t>Dengenin Koruyucusu.png</t>
  </si>
  <si>
    <t>Isik Mimar.png</t>
  </si>
  <si>
    <t>ISIK RAHIBI.jpg</t>
  </si>
  <si>
    <t>Melek/kanatlı insansı</t>
  </si>
  <si>
    <t>Zihinsel Iyilestirici.jpg</t>
  </si>
  <si>
    <t>Doganin Rehberi.jpg</t>
  </si>
  <si>
    <t>Zamanin Sifacisi.png</t>
  </si>
  <si>
    <t>Ruh Hekimi.jpg</t>
  </si>
  <si>
    <t>Sonsuz Umut.png</t>
  </si>
  <si>
    <t>Isigin Murekkep.jpg</t>
  </si>
  <si>
    <t>Mistik Hayat.png</t>
  </si>
  <si>
    <t>Kadim Ruh Koruyucusu.png</t>
  </si>
  <si>
    <t>Yasamin Isigi.jpg</t>
  </si>
  <si>
    <t>Mistik Yoldas.jpg</t>
  </si>
  <si>
    <t>Isigin Yukselisi.jpg</t>
  </si>
  <si>
    <t>Tanrisal Sifaci.png</t>
  </si>
  <si>
    <t>RUH SAMANI.jpg</t>
  </si>
  <si>
    <t>YASAM USTASI.jpg</t>
  </si>
  <si>
    <t>Zamanin Rehberi.jpg</t>
  </si>
  <si>
    <t>Doğa/bitki-insansı</t>
  </si>
  <si>
    <t>Efsanevi Iyilestirici.jpg</t>
  </si>
  <si>
    <t>Tam zırhlı, türü belirsiz</t>
  </si>
  <si>
    <t>Sonsuz Yasamin Bekcisi.jpg</t>
  </si>
  <si>
    <t>Görsel mevcut; ırk Tanrısal olarak onaylandı</t>
  </si>
  <si>
    <t>Görsel yok</t>
  </si>
  <si>
    <t>Güvenli eşleşen görsel bulunamadı.</t>
  </si>
  <si>
    <t>Gölge/ruh-insansı</t>
  </si>
  <si>
    <t>Zehir Bıçağı - İnsan.jpg</t>
  </si>
  <si>
    <t>Hızlı Bıçak - İnsan.jpg</t>
  </si>
  <si>
    <t>Zehirli Pençe - Gölge.jpg</t>
  </si>
  <si>
    <t>Kritik Gölge - Gölge.jpg</t>
  </si>
  <si>
    <t>Cüce görünümlü</t>
  </si>
  <si>
    <t>Karanlık Vekil - Gölge.jpg</t>
  </si>
  <si>
    <t>Şafak Sinsi - İnsan.jpg</t>
  </si>
  <si>
    <t>Yüksek Savaşçı - İnsan.jpg</t>
  </si>
  <si>
    <t>Kapüşonlu/belirsiz insansı</t>
  </si>
  <si>
    <t>Gizli Gözcü - Gölge.jpg</t>
  </si>
  <si>
    <t>Ölümsüz Gölge - Gölge.jpg</t>
  </si>
  <si>
    <t>Sessiz Yıkıcı - İnsan.jpg</t>
  </si>
  <si>
    <t>Gölge Avcısı - Cüce.jpg</t>
  </si>
  <si>
    <t>Korku İmparatoru - Gölge.jpg</t>
  </si>
  <si>
    <t>Savaş Fısıldayıcısı - İnsan.jpg</t>
  </si>
  <si>
    <t>Kritik Fırtına - İnsan.jpg</t>
  </si>
  <si>
    <t>Karabüyü Suikastçı - Gölge.jpg</t>
  </si>
  <si>
    <t>Ölümlü Gölge - Gölge.jpg</t>
  </si>
  <si>
    <t>Gölgeler Arasında - Gölge.jpg</t>
  </si>
  <si>
    <t>Fısıldayan Hançer- İnsan.jpg</t>
  </si>
  <si>
    <t>Gizlilik Tanrısı - İnsan.jpg</t>
  </si>
  <si>
    <t>Sonsuz Bıçak - İnsan.jpg</t>
  </si>
  <si>
    <t>Yılan/sürüngen-insansı</t>
  </si>
  <si>
    <t>Gece Yılanı - Sürüngensoy.jpg</t>
  </si>
  <si>
    <t>Karanlık Fısıldayıcı - Gölge.jpg</t>
  </si>
  <si>
    <t>Kritik Kara Pençe - Gölge.jpg</t>
  </si>
  <si>
    <t>Hayalet Avcısı - Gölge.jpg</t>
  </si>
  <si>
    <t>Sinsi Kılıç - Gölge.jpg</t>
  </si>
  <si>
    <t>Zehirli Savaşçı - İnsan.jpg</t>
  </si>
  <si>
    <t>Fırtınalı Gölge- Gölge.jpg</t>
  </si>
  <si>
    <t>Sessiz Avcı - İnsan.jpg</t>
  </si>
  <si>
    <t>Gece Avcısı - İnsan.jpg</t>
  </si>
  <si>
    <t>Büyük Tehlike- İnsan.jpg</t>
  </si>
  <si>
    <t>Efsanevi Fısıldayıcı - İnsan.jpg</t>
  </si>
  <si>
    <t>Hayalet Kafalı - Gölge.jpg</t>
  </si>
  <si>
    <t>Hayvan/kanatlı hayvan-insansı</t>
  </si>
  <si>
    <t>Zincir Koruyucu.jpg</t>
  </si>
  <si>
    <t>Ejderha</t>
  </si>
  <si>
    <t>Demir Asker - Tanrısal Ölümsüz.jpg</t>
  </si>
  <si>
    <t>Mutant/golem-insansı</t>
  </si>
  <si>
    <t>Taş Yürekli - Tanrısal Ölümsüz.jpg</t>
  </si>
  <si>
    <t>Çelik Muhafız- Tanrısal Ölümsüz.jpg</t>
  </si>
  <si>
    <t>Kalkan Kraliçesi - Tanrısal Ölümsüz.jpg</t>
  </si>
  <si>
    <t>İblis/kanatlı insansı</t>
  </si>
  <si>
    <t>Kara Zırhlı Bayan - Tanrısal Ölümsüz.jpg</t>
  </si>
  <si>
    <t>Ejder/kanatlı sürüngen-insansı</t>
  </si>
  <si>
    <t>Yeniden üret</t>
  </si>
  <si>
    <t>Görselde görünen tür yeni ırkla açıkça çelişiyor.</t>
  </si>
  <si>
    <t>Gölge Kalkanı Nam-ı Diğer Ölümsüz Tanrıçası - Tanrısal Ölümsüz.jpg</t>
  </si>
  <si>
    <t>Kalkan Titanı - Tanrısal Ölümsüz.jpg</t>
  </si>
  <si>
    <t>Zırhlı Dev - Ejdersoy.jpg</t>
  </si>
  <si>
    <t>Gümüş Kol- Ejdersoy.jpg</t>
  </si>
  <si>
    <t>Gece Kalkanı - Ejdersoy.jpg</t>
  </si>
  <si>
    <t>Buz_Zirhi_Ejdersoy.jpg</t>
  </si>
  <si>
    <t>Yelkenli  Zırh -İnsan.jpg</t>
  </si>
  <si>
    <t>Zırh Kralı - Cüce.jpg</t>
  </si>
  <si>
    <t>Kutsal Savunma - Cüce.jpg</t>
  </si>
  <si>
    <t>Kum Zırhlı - Cüce.jpg</t>
  </si>
  <si>
    <t>Alev_Kalkani_Cuce.jpg</t>
  </si>
  <si>
    <t>Gümüş Zırh - Cüce.jpg</t>
  </si>
  <si>
    <t>Savaş Tanrısı - Tanrısal Ölümsüz.jpg</t>
  </si>
  <si>
    <t>Fırtına Zırhı - Cüce.jpg</t>
  </si>
  <si>
    <t>Hançer Zırhı - Cüce.jpg</t>
  </si>
  <si>
    <t>Şimşek Kalkanı - Cüce.jpg</t>
  </si>
  <si>
    <t>AgirZirh_insan.jpg</t>
  </si>
  <si>
    <t>Ejderha Zırhlı - Ejdersoy.jpg</t>
  </si>
  <si>
    <t>Demir Kafes - İnsan.jpg | Taş Kafes - İnsan.jpg</t>
  </si>
  <si>
    <t>Gölge Zırhı - Tanrısal Ölümsüz.jpg</t>
  </si>
  <si>
    <t>Çelik Gardiyan - Mutant.jpg</t>
  </si>
  <si>
    <t>Böcek/araknid varlık; Tam zırhlı, türü belirsiz</t>
  </si>
  <si>
    <t>Obsidyen Kalkan - Böcek.jpg | OBSİDYEN KALKAN.jpg</t>
  </si>
  <si>
    <t>Enerji/soyut varlık</t>
  </si>
  <si>
    <t>Kristal Koruyucu - Tanrısal Ölümsüz.jpg</t>
  </si>
  <si>
    <t>Çelik Vucut - İnsan.jpg</t>
  </si>
  <si>
    <t>Büyük Kalkan - İnsan.jpg</t>
  </si>
  <si>
    <t>Savunma Prensesi - İnsan.jpg</t>
  </si>
  <si>
    <t>Demir Zırhlı Asker.jpg</t>
  </si>
  <si>
    <t>Kutsal Volkanik Asker - Ejdersoy.jpg</t>
  </si>
  <si>
    <t>Kara Çelik - Ejdersoy.jpg</t>
  </si>
  <si>
    <t>Demir Beden - Ejdersoy.jpg</t>
  </si>
  <si>
    <t>İnsan görünümlü; Kapüşonlu/belirsiz insansı</t>
  </si>
  <si>
    <t>Karanlik_Savunucu_Cuce.jpg | Karanlik_Savunucu_Gelisim.jpg</t>
  </si>
  <si>
    <t>Işık Savunucu - İnsan.jpg</t>
  </si>
  <si>
    <t>Uçan Zırh - Elf.jpg</t>
  </si>
  <si>
    <t>Tam zırhlı dev/titan görünümlü</t>
  </si>
  <si>
    <t>Magma Koruyucu Ejderha, devasa ve korkutucu, Pulları erimiş lav gibi parlar, her nefesi alev saçar. Kanatları dumanlı, kuyruğu yerleri parçalar. Mağarasında bir volkan gibi bekler, hazinesini koruyan bir anime_.jpg</t>
  </si>
  <si>
    <t>Abis Gardiyanı.jpg</t>
  </si>
  <si>
    <t>Fırtına Gücü Cüce, kompakt ama patlayıcı bir enerjiye sahip , Elektrik yüklü çekiç taşır, sakalı şimşek çakarken kıvılcım saçan anime.jpg</t>
  </si>
  <si>
    <t>Yıldırım Muhafızı, çevik ve ölümcül bir savaşçı ,Parlak, gümüş zırhı şimşek desenli; elinde elektrik yüklü bir mızraklı bir anime.jpg</t>
  </si>
  <si>
    <t>Buzların Efendisi.jpg</t>
  </si>
  <si>
    <t>Sonsuz_Savunma.jpg</t>
  </si>
  <si>
    <t>EJDER_PULLU_SOVALYE.jpg</t>
  </si>
  <si>
    <t>Yıkım Tanrısı, korku ve güçle dolu bir anime karakteri; uzun, karışık koyu kahverengi saçları rüzgârda vahşice dalgalanıyor, gözleri ateş gibi kırmızı, öfkeyle parlıyor. Zırhı kırık ve yıkık binaların molozlarıyla .jpg</t>
  </si>
  <si>
    <t>evren koruyucu .jpg | Evren Koruyucusu, majestik ve gizemli bir anime karakteri; uzun, gümüşi saçları yıldız tozuyla parlıyor, gözleri galaksi gibi derin, sonsuz mavilikte. Zırhı koyu mor ve altın tonlarında, yıldız haritalarıyla işlenm.jpg</t>
  </si>
  <si>
    <t>ATES_CIRAGI</t>
  </si>
  <si>
    <t>YILDIRIM ADEPTI.jpg | YILDIRIM_ADEPTI_ERKEK.jpg | YILDIRIM_DEPTI_KIZ.jpg</t>
  </si>
  <si>
    <t>GOLGE_BUYUCUSU.jpg</t>
  </si>
  <si>
    <t>Ruzgar_Efendisi.jpg</t>
  </si>
  <si>
    <t>Zaman_Efendisi.jpg</t>
  </si>
  <si>
    <t>Arkan Büyücüsü.jpg</t>
  </si>
  <si>
    <t>Efsanevi_Arcanist.jpg</t>
  </si>
  <si>
    <t>Aetherian_Adept.jpg</t>
  </si>
  <si>
    <t>Gece_Isiginin_Efendisi.jpg</t>
  </si>
  <si>
    <t>Yikim_Meclisi.png</t>
  </si>
  <si>
    <t>Astral_Hukumdar.png</t>
  </si>
  <si>
    <t>Kara_Ruh_Buyucusu.png</t>
  </si>
  <si>
    <t>Beyaz_Buyucu.png</t>
  </si>
  <si>
    <t>Mistik_Kral.png</t>
  </si>
  <si>
    <t>Zamanin_Bukucusu.png</t>
  </si>
  <si>
    <t>Gok_Tanricesi.png</t>
  </si>
  <si>
    <t>Karanlik_Kader.png</t>
  </si>
  <si>
    <t>Isigin_Yikicisi.png</t>
  </si>
  <si>
    <t>Elemental_Tanri.png</t>
  </si>
  <si>
    <t>Buyulu_Zirve.png</t>
  </si>
  <si>
    <t>Goklerin_Efendisi.jpg</t>
  </si>
  <si>
    <t>Yuce_Akil.png</t>
  </si>
  <si>
    <t>Kadim_Guc.png</t>
  </si>
  <si>
    <t>Felsefe_Buyucusu.png</t>
  </si>
  <si>
    <t>Kehanetci.png</t>
  </si>
  <si>
    <t>Buyuk_Arcana.png</t>
  </si>
  <si>
    <t>Astral_Savunucu.png</t>
  </si>
  <si>
    <t>Gölge/ruh yaratığı</t>
  </si>
  <si>
    <t>Hayalet_Ustasi.png</t>
  </si>
  <si>
    <t>KARA_BUYUCUSU.jpg</t>
  </si>
  <si>
    <t>ATES_LORDU.jpg</t>
  </si>
  <si>
    <t>KIYAMET_BUYUCUSU.jpg</t>
  </si>
  <si>
    <t>Böcek/araknid varlık</t>
  </si>
  <si>
    <t>Donusum_Ustasi.jpg</t>
  </si>
  <si>
    <t>Karanlik_Adept.jpg</t>
  </si>
  <si>
    <t>Ruh_Yoneticisi.jpg</t>
  </si>
  <si>
    <t>Yildiz_Yucelten.jpg</t>
  </si>
  <si>
    <t>Kiyamet_Bilgini.jpg</t>
  </si>
  <si>
    <t>Gok_Yuce.jpg</t>
  </si>
  <si>
    <t>Kozmik Aether yaratığı</t>
  </si>
  <si>
    <t>Aetherin_Efendisi.jpg</t>
  </si>
  <si>
    <t>Zifiri_Buyucu.jpg</t>
  </si>
  <si>
    <t>Ateş/element varlığı</t>
  </si>
  <si>
    <t>Buyusel_Baslangic.jpg</t>
  </si>
  <si>
    <t>Isik_Ustasi.jpg</t>
  </si>
  <si>
    <t>BOYUT_USTASi_bukucu.jpg</t>
  </si>
  <si>
    <t>Zehirli_Ruya.jpg</t>
  </si>
  <si>
    <t>Kader_OrgUsU_Arkan_bUyUcUsU.jpg</t>
  </si>
  <si>
    <t>Alev_Krali.jpg</t>
  </si>
  <si>
    <t>Ruh_Atesi.jpg</t>
  </si>
  <si>
    <t>Efsanevi _Bilge.jpg</t>
  </si>
  <si>
    <t>Elf görünümlü; İnsan görünümlü</t>
  </si>
  <si>
    <t>Eski Kitap Ustası.png | Eski_Kitap_Ustasi.png</t>
  </si>
  <si>
    <t>Gokyuzu_Hakimi.jpg | Gökyüzü Hakimi.png</t>
  </si>
  <si>
    <t>Buz Prensesi.png | Buz_prensi.jpg</t>
  </si>
  <si>
    <t>CELIK KILIC.png</t>
  </si>
  <si>
    <t>SAVAS CIRAGI.png</t>
  </si>
  <si>
    <t>Kurt-insansı</t>
  </si>
  <si>
    <t>Savasin Efendisi.png</t>
  </si>
  <si>
    <t>Kanli Kalkan.png</t>
  </si>
  <si>
    <t>Yikim Avcisi.png</t>
  </si>
  <si>
    <t>Firtina Celik.png</t>
  </si>
  <si>
    <t>Altin Yildiz.png</t>
  </si>
  <si>
    <t>Olumsuz Kilic.png</t>
  </si>
  <si>
    <t>Simsek Askeri.png</t>
  </si>
  <si>
    <t>Buyuk Celik Avci.png</t>
  </si>
  <si>
    <t>Intikamci Kilic.png</t>
  </si>
  <si>
    <t>Aslan-insansı</t>
  </si>
  <si>
    <t>Kara Aslan.png</t>
  </si>
  <si>
    <t>Ejderha Savascisi.png</t>
  </si>
  <si>
    <t>Taht Kilici.png</t>
  </si>
  <si>
    <t>Firtina Zirhli.png</t>
  </si>
  <si>
    <t>Alevli Savasci.jpg</t>
  </si>
  <si>
    <t>Guclu Savas Efendisi.png</t>
  </si>
  <si>
    <t>Minotor</t>
  </si>
  <si>
    <t>Yikici Gladyator.png</t>
  </si>
  <si>
    <t>Kutsal Zirh.png</t>
  </si>
  <si>
    <t>Ejderha Kafali.png</t>
  </si>
  <si>
    <t>Buyuk Kanli Asker.png</t>
  </si>
  <si>
    <t>Zirhli Efendi.png</t>
  </si>
  <si>
    <t>Firtina Kilici.png</t>
  </si>
  <si>
    <t>Kutsal Pence.png</t>
  </si>
  <si>
    <t>Zirve Efendisi.png</t>
  </si>
  <si>
    <t>Firtina Lordu.jpg</t>
  </si>
  <si>
    <t>Celik Savasci.png</t>
  </si>
  <si>
    <t>Ana Irk</t>
  </si>
  <si>
    <t>Tanım</t>
  </si>
  <si>
    <t>Alt tür/köken örnekleri</t>
  </si>
  <si>
    <t>Kural</t>
  </si>
  <si>
    <t>Temel insansı ırk.</t>
  </si>
  <si>
    <t>Alevsoy, Buzsoy, Arkan, Zaman, Işık vb. köken olabilir.</t>
  </si>
  <si>
    <t>Meslek, element ve sınıf ırk değildir.</t>
  </si>
  <si>
    <t>Tüm elf türlerinin ortak ana ırkı.</t>
  </si>
  <si>
    <t>Ormanelfi ve Suelfi köken/alt tür olarak saklanabilir.</t>
  </si>
  <si>
    <t>Ana ırkta yalnızca Elf yazılır.</t>
  </si>
  <si>
    <t>Cüce fiziksel yapısına sahip ırk.</t>
  </si>
  <si>
    <t>Ocak, dağ veya fırtına kökenleri ayrı alanda tutulur.</t>
  </si>
  <si>
    <t>Görsel ve isim önceliklidir.</t>
  </si>
  <si>
    <t>Ejderha veya ejder-insansı soy.</t>
  </si>
  <si>
    <t>Ateş, buz, gölge gibi bağlar element/kökendir.</t>
  </si>
  <si>
    <t>Ejder görseli güçlü kanıttır.</t>
  </si>
  <si>
    <t>Tüm gölge varlıklarının ortak ırkı.</t>
  </si>
  <si>
    <t>Gölgedoğan ve Gölge İnsan eski etiketleridir.</t>
  </si>
  <si>
    <t>Ana ırkta yalnızca Gölge yazılır.</t>
  </si>
  <si>
    <t>Kozmik, yıldızsal veya Aether varlıkları.</t>
  </si>
  <si>
    <t>Yıldızdoğan, Yıldızsoylu, Aetherian köken olabilir.</t>
  </si>
  <si>
    <t>İnsan görünümlü karakterde görsel ve hikâye birlikte değerlendirilir.</t>
  </si>
  <si>
    <t>Dönüşmüş, deneysel veya fiziksel olarak değişmiş varlık.</t>
  </si>
  <si>
    <t>Golem/hibrit görünüşler dahil olabilir.</t>
  </si>
  <si>
    <t>Büyücülerde böcek/ejderimsi özel dönüşümler Mutant olabilir.</t>
  </si>
  <si>
    <t>Gerçek ilahi varlık; çok nadir.</t>
  </si>
  <si>
    <t>Tanrı unvanı tek başına yeterli değildir.</t>
  </si>
  <si>
    <t>Nadir tutulur, hikâye kanıtı gerekir.</t>
  </si>
  <si>
    <t>Yılan veya sürüngen temelli varlık.</t>
  </si>
  <si>
    <t>Boss büyücülerde çok nadir kullanılabilir.</t>
  </si>
  <si>
    <t>Belirgin sürüngen görünümü gerekir.</t>
  </si>
  <si>
    <t>Böcek/araknid bedenli varlık.</t>
  </si>
  <si>
    <t>Kitin, örümcek ve böcek özellikleri.</t>
  </si>
  <si>
    <t>Belirgin görsel kanıt gerekir.</t>
  </si>
  <si>
    <t>Hayvansı, minotor, kurt veya aslan-insansı varlık.</t>
  </si>
  <si>
    <t>Hayvan alt türü ayrıca yazılabilir.</t>
  </si>
  <si>
    <t>İnsan görünümünde kullanılmaz.</t>
  </si>
  <si>
    <t>Ölümsüzlüğü biyolojik durumunun parçası olan varlık.</t>
  </si>
  <si>
    <t>Tanrısal Ölümsüz eski etiketi bu çatıya taşınır.</t>
  </si>
  <si>
    <t>Ana ırkta yalnızca Ölümsüz yazılır.</t>
  </si>
  <si>
    <t>Melek veya açıkça meleksoylu varlık.</t>
  </si>
  <si>
    <t>Işık kökeni ayrıca saklanabilir.</t>
  </si>
  <si>
    <t>Meleksoylu etiketi Melek olarak güncellenir.</t>
  </si>
  <si>
    <t>Devasa bedenli, titan veya kolos kökenli insansı ırk.</t>
  </si>
  <si>
    <t>Titan, ağır zırhlı dev ve taş dev kökenleri.</t>
  </si>
  <si>
    <t>Yalnızca büyük ölçek, isim veya hikâye kanıtı varsa kullanılır.</t>
  </si>
  <si>
    <t>Ateş Lordu'na gücü dizginlemeyi öğretti. Öğrencisi bir şehri yakınca derslerini bıraktı; önce neden savaşılacağını anlatır.</t>
  </si>
  <si>
    <t>Ana Tema</t>
  </si>
  <si>
    <t>Kullanım Amacı</t>
  </si>
  <si>
    <t>Ton Notu</t>
  </si>
  <si>
    <t>İlk cephe yarası, askerî dayanıklılık</t>
  </si>
  <si>
    <t>CELIK_KILIC, DEMIR_MUHAFIZ, KIZIL_SAVASCI, Kutsal_Savunma, ATES_CIRAGI, Zehir_Bicagi_Insan, KANLI_GOLGE, Kaya_Bekcisi_hayvan</t>
  </si>
  <si>
    <t>Yaygın desteklerin savaş alanına inandırıcı giriş noktası</t>
  </si>
  <si>
    <t>Bedel, sancak, yemin ve cephe dili</t>
  </si>
  <si>
    <t>Ölümsüzlük, ruh borcu, yarım kalan yeminler</t>
  </si>
  <si>
    <t>Olumsuz_Kilic, Demir_Asker_Tanrisal_Olumsuz, Tas_Yurekli_Tanrisal_Olumsuz, KARA_BUYUCUSU, Ruh_Yoneticisi, RUH_BICICI, Immortal_Shadow_golge, OLUMSUZ_KALKANLI_ASKER, Hayalet_Asker</t>
  </si>
  <si>
    <t>Ruh tabanlı destekleri ninja ve ölümsüz tanklarla bağlar</t>
  </si>
  <si>
    <t>Karanlık ama melodramdan uzak</t>
  </si>
  <si>
    <t>Taht, kutsal hüküm, zaferin ahlaki bedeli</t>
  </si>
  <si>
    <t>Kutsal_Asker, Kutsal_Zirh, Tacsiz_Muhafiz, KUTSAL_KILIC, ZAFER_MELEGI, GOKYUZU_HAKIMI, ISIK_USTASI, Savunma_Prensesi_Insan, KUTSAL_MUHAFIZ</t>
  </si>
  <si>
    <t>Işık desteklerini savaşçı liderliği ve büyücü otoritesine bağlar</t>
  </si>
  <si>
    <t>Mahkeme, ferman, tanıklık</t>
  </si>
  <si>
    <t>Astral yarık, kozmik yasa, evren borcu</t>
  </si>
  <si>
    <t>Altin_Yildiz, Gok_Yildizi, Galaktik_Bilgisi, Astral_Savunucu, EVREN_BUYUCUSU, EVREN_KORUYUCUSU, Aetherin_Efendisi, BUYU_TANRISI, SAVAS_TANRISI, KAOS_SAMPIYONU</t>
  </si>
  <si>
    <t>Üst seviye büyücüler ve Multi evren karakterleriyle köprü kurar</t>
  </si>
  <si>
    <t>Kozmik ama anlaşılır</t>
  </si>
  <si>
    <t>Ateş, ejder kanı, kül ve savaş yasası</t>
  </si>
  <si>
    <t>Alevli_Savasci, ALEV_KILICI, Atesli_Kilic, Ates_Lordu, Alev_Krali, MAGMA_KORUYUCU, EJDER_PULLU_SOVALYE, Ejderha_Savascisi, Ejderha_Pencesi, ATES_CIRAGI</t>
  </si>
  <si>
    <t>Ateş/ejder karakterlerle iyileştirme değil dönüşüm ilişkisi kurar</t>
  </si>
  <si>
    <t>Kıvılcım, kül, yasa</t>
  </si>
  <si>
    <t>Doğa savunması, geçitler, av ve iz</t>
  </si>
  <si>
    <t>Zirve_Pencesi, Zirve_Kilici, Zirve_Efendisi, Kaya_Bekcisi_hayvan, Kum_Zirhli_Cuce, Gece_Yilani_Surungensoy, Vahsi_Elementalist, DOVUS_USTASI, Zirhli_Dev_Ejdersoy</t>
  </si>
  <si>
    <t>Doğa desteklerini tank/warrior/ninja geçişlerine bağlar</t>
  </si>
  <si>
    <t>Orman, çöl, zirve, iz</t>
  </si>
  <si>
    <t>Işık-gölge dengesi, yok etmek yerine sınır çizmek</t>
  </si>
  <si>
    <t>KARA_SOVALYE, Karanlik_Savasci, Golge_Kalkani, GOLGE_LORDU, GOLGELER_EFENDISI, GOLGE_BUYUCUSU, Zifiri_Buyucu, ABIS_GARDIYANI_golge, Kara_Pence, Kritik_Golge_Golge</t>
  </si>
  <si>
    <t>Gölge ninjaları ve karanlık savaşçılarla profesyonel çatışma kurar</t>
  </si>
  <si>
    <t>Antlaşma, kapı, taç, yemin</t>
  </si>
  <si>
    <t>Zaman pazarlığı, kader kartı, boyut kapısı</t>
  </si>
  <si>
    <t>Zaman_Efendisi, ZAMAN_BUYUCUSU, Kader_Orgusu_Arkan_buyucusu, BOYUT_USTASI_bukucu, BOYUT_KATILI, KIYAMET_BUYUCUSU, Kiyamet_Askeri, SAVAS_LORDU, Kehanetci, Buyuk_Arcana</t>
  </si>
  <si>
    <t>Zaman ve Arkan desteklerini Büyücü/Ninja olaylarına bağlar</t>
  </si>
  <si>
    <t>Saat, kart, geçit</t>
  </si>
  <si>
    <t>Enerji dağılımı, fırtına ritmi, savaş temposu</t>
  </si>
  <si>
    <t>Firtina_Celik, Simsek_Askeri, FIRTINA_DOVUSCUSU, Yildirim_Muhafizi, Ruzgar_Efendisi, YILDIRIM_ADEPTI, Kritik_Firtina_INSAN, Firtina_Yikici, Firtina_Aslani, Firtina_Efendisi</t>
  </si>
  <si>
    <t>Fırtına karakterlerini ekip uyumuyla bağlar</t>
  </si>
  <si>
    <t>Ritim, yük, tempo</t>
  </si>
  <si>
    <t>Kıyametleri tek ana toplama, kaos bedeli</t>
  </si>
  <si>
    <t>KIYAMET_SAVASCISI, KIYAMET_BUYUCUSU, KIYAMET_SUIKASTCISI, Kiyamet_Askeri, KAOS_GOLGESI, Karanlik_Kader, Yikim_Tanrisi, Yikim_Avcisi, Yikici_Sovalye, EFSANE_GLADYATOR</t>
  </si>
  <si>
    <t>Efsanevi ve Multi olay örgüsüne kapı açar</t>
  </si>
  <si>
    <t>Seçim, bedel, düğüm</t>
  </si>
  <si>
    <t>Yaşam-ölüm masası, antlaşma, tanrısal denge</t>
  </si>
  <si>
    <t>YASAM_TANRISI, IYILESTIRME_TANRISI, OLUM_TANRISI, Sonsuz_Savunma, Kanli_Kalkan, YASAM_EFENDISI, Kadim_Yasam_Efendisi, KADIM_SIFACI, Efsanevi_Iyilestirici, Sonsuz_Yasamin_Bekcisi</t>
  </si>
  <si>
    <t>Destek sınıfının en büyük mitolojik ağı</t>
  </si>
  <si>
    <t>Silmek değil dengelemek</t>
  </si>
  <si>
    <t>Korku, zihin, soru ve hüküm</t>
  </si>
  <si>
    <t>Felsefe_Buyucusu, Yuce_Akil, Korku_Imparatoru_golge, Korgoz_Suikastci_Cuce, Buyuk_Tehlike, Karanlik_Kader, Kader_Orgusu_Arkan_buyucusu, SAVAS_TANRISI</t>
  </si>
  <si>
    <t>Zihinsel destekleri felsefi büyücüler ve suikastçılarla bağlar</t>
  </si>
  <si>
    <t>Düşünce gücü, sır, mahkeme</t>
  </si>
  <si>
    <t>Zehir, karşı-ritüel, gizli savaş</t>
  </si>
  <si>
    <t>Zehir_Bicagi_Insan, Zehirli_Ruya, Zehirli_Intikamci, Poisoned_Knife_Insan, Gece_Yilani_Surungensoy, Kara_Pence, Kritik_Kara_Pence_Golge, Yikici_Sovalye</t>
  </si>
  <si>
    <t>Şifa karakterlerini ninja zehir hattına bağlar</t>
  </si>
  <si>
    <t>Zehri yok etmek değil dönüştürmek</t>
  </si>
  <si>
    <t>İhanet, sessiz hüküm</t>
  </si>
  <si>
    <t>Ninja, Savaşçı, Büyücü, Tank</t>
  </si>
  <si>
    <t>Gizli kararların cepheyi değiştirdiği ağ.</t>
  </si>
  <si>
    <t>Profesyonel kısa bağlantı dili</t>
  </si>
  <si>
    <t>Bedel, miras, sinsilik</t>
  </si>
  <si>
    <t>Dengenin_Koruyucusu; Hayalet_Ustasi; CELIK_KILIC; Kaya_Bekcisi_hayvan; Poisoned_Knife_Insan</t>
  </si>
  <si>
    <t>Öldürmeyen ama kaderi zehirleyen antlaşma.</t>
  </si>
  <si>
    <t>Savunma, direniş</t>
  </si>
  <si>
    <t>Tank, Savaşçı</t>
  </si>
  <si>
    <t>Geri çekilmenin yasaklandığı savaş yemini.</t>
  </si>
  <si>
    <t>Büyü yasası</t>
  </si>
  <si>
    <t>Büyücü, Destek</t>
  </si>
  <si>
    <t>Büyünün tarih değil hüküm olarak yazıldığı kayıt.</t>
  </si>
  <si>
    <t>Işık, tanıklık</t>
  </si>
  <si>
    <t>Destek, Savaşçı, Tank</t>
  </si>
  <si>
    <t>Kurtuluşun bedelle dengelendiği kutsal söz.</t>
  </si>
  <si>
    <t>Kıyamet, yıkım</t>
  </si>
  <si>
    <t>Tüm sınıflar</t>
  </si>
  <si>
    <t>Zaferin değil dengenin parçalandığı krallık düğümü.</t>
  </si>
  <si>
    <t>Kader, tekrar</t>
  </si>
  <si>
    <t>Büyücü, Destek, Ninja</t>
  </si>
  <si>
    <t>Geçmiş kararların gelecek savaşı mühürlediği ağ.</t>
  </si>
  <si>
    <t>Astral düzen</t>
  </si>
  <si>
    <t>Evren bilgisinin savaş alanına indiği eşik.</t>
  </si>
  <si>
    <t>Ruh Mahkemesi</t>
  </si>
  <si>
    <t>Ölümsüzlük, yargı</t>
  </si>
  <si>
    <t>Tank, Destek, Büyücü</t>
  </si>
  <si>
    <t>Ölenlerin borcunun canlılardan tahsil edildiği yer.</t>
  </si>
  <si>
    <t>Hız, isyan</t>
  </si>
  <si>
    <t>Savaşçı, Ninja, Tank</t>
  </si>
  <si>
    <t>Kılıç, zırh ve gölgenin aynı anda hüküm verdiği divan.</t>
  </si>
  <si>
    <t>Ateş, intikam</t>
  </si>
  <si>
    <t>Savaşçı, Tank, Büyücü</t>
  </si>
  <si>
    <t>Kan ve alevle mühürlenen savaş kararı.</t>
  </si>
  <si>
    <t>Sükunet, hapis</t>
  </si>
  <si>
    <t>Tank, Büyücü</t>
  </si>
  <si>
    <t>Yıkımı geciktiren ama bedeli büyüten mühür.</t>
  </si>
  <si>
    <t>Dayanıklılık</t>
  </si>
  <si>
    <t>Toprağa yazılan ve savaş bitmeden silinmeyen ahit.</t>
  </si>
  <si>
    <t>Savaşın çıplak hükmü</t>
  </si>
  <si>
    <t>Sözlerin bittiği, borcun kılıçla ödendiği alan.</t>
  </si>
  <si>
    <t>YAYGIN BÜYÜCÜLER</t>
  </si>
  <si>
    <t>ATEŞ ÇIRAĞI</t>
  </si>
  <si>
    <t>Pasif: "Alev Özü" (Büyüler %10 yanma hasarı ekler)</t>
  </si>
  <si>
    <t>Aktif: "Alev Topu" (Tek hedefe yüksek yanma hasarı)</t>
  </si>
  <si>
    <t>BUZ ÖĞRENCİSİ</t>
  </si>
  <si>
    <t>Pasif: "Dondurucu Dokunuş" (%15 yavaşlatma şansı)</t>
  </si>
  <si>
    <t>Aktif: "Buz Dikenleri" (3 hedefe buz hasarı)</t>
  </si>
  <si>
    <t>YILDIRIM ADEPTI</t>
  </si>
  <si>
    <t>Pasif: "Statik Yük" (Her büyü %5 enerji yeniler)</t>
  </si>
  <si>
    <t>Aktif: "Şok Dalgası" (Çevreye elektrik hasarı)</t>
  </si>
  <si>
    <t>Gölge Büyücüsü</t>
  </si>
  <si>
    <t>- Aktif Yetenek: "Gölge Kapanması" – Kendini geçici olarak bir gölgeye dönüştürür ve düşmanlardan %50 daha az hasar alır.</t>
  </si>
  <si>
    <t>- Pasif Yetenek: "Gölge Yansıması" – Saldırılara karşı %20 daha az hasar alır ve her 3 saniyede bir, gölgelerden hasar alır.</t>
  </si>
  <si>
    <t>Kıta Büyücüsü</t>
  </si>
  <si>
    <t>- Aktif Yetenek: "Toprak Çöküşü" – Kendisinin çevresindeki toprak hareketlenir, düşmanları yere düşürür ve %40 hasar verir.</t>
  </si>
  <si>
    <t>- Pasif Yetenek: "Doğanın Direnci" – Toprak ve doğa temalı hasarlara karşı %30 direnç sağlar.</t>
  </si>
  <si>
    <t>Rüzgar Efendisi</t>
  </si>
  <si>
    <t>- Aktif Yetenek: "Hızlı Rüzgar" – Rüzgarla çevresindeki düşmanları savurur, hızlarını %50 azaltır ve %30 hasar verir.</t>
  </si>
  <si>
    <t>- Pasif Yetenek: "Havanın Hızlılığı" – Her 5 saniyede bir, hareket hızı %10 artar.</t>
  </si>
  <si>
    <t>Zaman Efendisi</t>
  </si>
  <si>
    <t>- Aktif Yetenek: "Zamanı Dondurma" – 2 Tur olarak durdurur ve tüm düşmanları hareketsiz bırakır.</t>
  </si>
  <si>
    <t>- Pasif Yetenek: "Zaman Hızlandırması" – Her saldırı sonrası, kritik vuruş şansı %5 artar.</t>
  </si>
  <si>
    <t>ARKAN BÜYÜCÜSÜ</t>
  </si>
  <si>
    <t>Pasif: "Arkan Bilgi" (Her büyü %5 güçlenir, sınırsız)</t>
  </si>
  <si>
    <t>Aktif: "Arkan Patlaması" (Biriken gücü büyük hasara çevirir)</t>
  </si>
  <si>
    <t>ELEMENTALİST</t>
  </si>
  <si>
    <t>Pasif: "Element Döngüsü" (Her büyü farklı element)</t>
  </si>
  <si>
    <t>Aktif: "Element Füzyonu" (Tüm elementlerden hasar)</t>
  </si>
  <si>
    <t>Efsanevi Arcanist</t>
  </si>
  <si>
    <t>- Pasif Yetenek: Gizli Arcanist – Gizemli büyüler, rakiplerin defi %10 azaltır.</t>
  </si>
  <si>
    <t>- Aktif Yetenek: Arcane Patlaması – Aniden çevredeki tüm düşmanlara yüksek hasar verir, aynı zamanda düşmanların def gücünü %15 oranında düşürür.</t>
  </si>
  <si>
    <t>Aetherian Adept</t>
  </si>
  <si>
    <t>- Pasif Yetenek: Etherin Havası – Her saldırı sonrası karakter, %2 daha güçlenir.</t>
  </si>
  <si>
    <t>- Aktif Yetenek: Aether Fırtınası – Eterik güçlerden büyük bir fırtına yaratır, düşmanlara ciddi hasar verir ve savunmalarını %20 azaltır.</t>
  </si>
  <si>
    <t>Gece Işığının Efendisi</t>
  </si>
  <si>
    <t>- Pasif Yetenek: Gece ve Işık – Düşmanlar gece olduğunda %15 daha düşük hasar alır.</t>
  </si>
  <si>
    <t>- Aktif Yetenek: Gece Işığı Patlaması – Gece ışığından yararlanarak, düşmanlara yoğun bir ışık dalgası gönderir. Hasarın dışında, rakiplerin görüşünü kısıtlar.</t>
  </si>
  <si>
    <t>Yıkım Meclisi</t>
  </si>
  <si>
    <t>- Pasif Yetenek: Yıkım Yükselişi – Her 3. saldırıdan sonra, düşmanlara verilen hasar %10 artar.</t>
  </si>
  <si>
    <t>- Aktif Yetenek: Yıkım Patlaması – Düşmanlarına büyük bir yıkım dalgası gönderir, bu dalga tüm düşmanları sersemletir ve %30 hasar verir.</t>
  </si>
  <si>
    <t>Astral Hükümdar</t>
  </si>
  <si>
    <t>- Pasif Yetenek: Astral Görüş – Hükümdarın her hareketi, rakiplerin bir sonraki hamlesini %20 daha geç yapmasına neden olur.</t>
  </si>
  <si>
    <t>- Aktif Yetenek: Astral Vuruş – Büyük bir astral enerji salarak, tüm düşmanlarına yüksek miktarda hasar verir ve savunmalarını %25 düşürür.</t>
  </si>
  <si>
    <t>Kara Ruh Büyücüsü</t>
  </si>
  <si>
    <t>- Pasif Yetenek: Karanlık Ruh – Kara ruh güçleri, her saldırı sonrası düşmanların hızını %10 yavaşlatır.</t>
  </si>
  <si>
    <t>- Aktif Yetenek: Karanlık Alevler – Karanlık enerjiler gönderir, hedefi %30 sağlık kaybına uğratırken, düşmanların güçlerini %10 azaltır.</t>
  </si>
  <si>
    <t>Beyaz Büyücü</t>
  </si>
  <si>
    <t>- Pasif Yetenek: Beyaz Işık – Müttefiklerine sürekli bir koruma kalkanı sağlar, her 3 turda %5 iyileştirme yapar.</t>
  </si>
  <si>
    <t>- Aktif Yetenek: Beyaz Fırtına – Beyaz büyü enerjisi ile geniş bir alanı etkiler, düşmanlara yüksek hasar verir ve hızlarını %20 yavaşlatır.</t>
  </si>
  <si>
    <t>Mistik Kral</t>
  </si>
  <si>
    <t>- Pasif Yetenek: Kraliyet Gücü – Müttefiklerinin her saldırısının gücünü %10 artırır.</t>
  </si>
  <si>
    <t>- Aktif Yetenek: Mistik Patlama – Mistik bir güç dalgası gönderir, düşmanlarına hasar verir ve onları 3 tur sersemletir.</t>
  </si>
  <si>
    <t>Zamanın Bükücüsü</t>
  </si>
  <si>
    <t>- Pasif Yetenek: Zamanın Yavaşlaması – Her 3. saldırı sonrası, düşmanın hasarını %15 azaltır.</t>
  </si>
  <si>
    <t>- Aktif Yetenek: Zaman Bükme – Zamanı bükerek, düşmanların saldırılarından kaçma şansını %50 artırır ve saldırılarına %20 bonus verir.</t>
  </si>
  <si>
    <t>Gök Tanrı</t>
  </si>
  <si>
    <t>- Pasif Yetenek: Göklerin Egemenliği – Saldırılarının gücü %10 artar ve her 5. saldırı sonrası yeni bir elementsel güç kazanır.</t>
  </si>
  <si>
    <t>- Aktif Yetenek: Fırtına Tanrısı – Yüksek göklerden dev bir fırtına indirir ve tüm düşmanları yavaşlatır ve %25 sağlık kaybı yaşatır.</t>
  </si>
  <si>
    <t>Karanlık Kader</t>
  </si>
  <si>
    <t>- Pasif Yetenek: Kaderin Oyunu – Rakiplerin saldırıları %5 daha düşük bir hasar verir.</t>
  </si>
  <si>
    <t>- Aktif Yetenek: Karanlık İntikam – Karakter, düşmanına korkunç bir karanlık patlaması gönderir, her bir hedefe %40 sağlık kaybı yaşatır.</t>
  </si>
  <si>
    <t>Işığın Yıkıcısı</t>
  </si>
  <si>
    <t>- Pasif Yetenek: Işığın Yıkımı – Işık saldırıları, her 2. turda kritik vurma şansı kazanır.</t>
  </si>
  <si>
    <t>- Aktif Yetenek: Yıkıcı Işık – Geniş alan etkili ışık dalgası gönderir, düşmanları kör eder ve %20 sağlık kaybına neden olur.</t>
  </si>
  <si>
    <t>Elemental Tanrı</t>
  </si>
  <si>
    <t>- Pasif Yetenek: Elementsel Güç – Farklı elementlere bağlı olarak her saldırı sonrası kendini iyileştirir.</t>
  </si>
  <si>
    <t>- Aktif Yetenek: Elemental Felaket – 4 elementin birleşmesiyle büyük bir felaket yaratır, bu da tüm düşmanlarına ciddi hasar verir.</t>
  </si>
  <si>
    <t>Büyülü Zirve</t>
  </si>
  <si>
    <t>- Pasif Yetenek: Zirve Gücü – Her 4. saldırı sonrası, tüm saldırı gücü %15 artar.</t>
  </si>
  <si>
    <t>- Aktif Yetenek: Büyülü Çarpma – Büyüsel enerjiler kullanarak rakipleri paralize eder ve %25 sağlık kaybı yaşatır.</t>
  </si>
  <si>
    <t>Göklerin Efendisi</t>
  </si>
  <si>
    <t>- Pasif Yetenek: Gökyüzü Hakimiyeti – Göklerin gücü ile her 5. saldırı sonrası düşmanların savunmasını %10 azaltır.</t>
  </si>
  <si>
    <t>- Aktif Yetenek: Gökyüzü Patlaması – Hava gücüyle düşmanlarını etkileyen büyük bir patlama yaratır.</t>
  </si>
  <si>
    <t>Yüce Akıl</t>
  </si>
  <si>
    <t>- Pasif Yetenek: Zihinsel Keskinlik – Zihinsel büyüler, her saldırı sonrası rakiplerin savunmalarını %5 azaltır.</t>
  </si>
  <si>
    <t>- Aktif Yetenek: Akıl Oyunları – Düşmanın saldırı düzenini bozarak, tüm düşmanların savunmalarını %20 oranında azaltır.</t>
  </si>
  <si>
    <t>Kadim Güç</t>
  </si>
  <si>
    <t>- Pasif Yetenek: Kadim Büyü – Her 3. saldırı sonrası düşmanın gücünü %10 azaltır.</t>
  </si>
  <si>
    <t>- Aktif Yetenek: Kadim Patlama – Kadim güçle dev bir patlama yaparak düşmanları sersemletir ve %30 sağlık kaybı yaşatır.</t>
  </si>
  <si>
    <t>Felsefe Büyücüsü</t>
  </si>
  <si>
    <t>- Pasif Yetenek: Felsefi Güç – Felsefi bilgisi sayesinde düşmanlara karşı %5 daha dayanıklıdır.</t>
  </si>
  <si>
    <t>- Aktif Yetenek: Büyüsel Felsefe – Düşmanlarının zihinlerini etkileyerek onların stratejik planlarını bozar ve savunmalarını %15 azaltır.</t>
  </si>
  <si>
    <t>Kehanetçi</t>
  </si>
  <si>
    <t>- Pasif Yetenek: Kehanetin Etkisi – Her 5. saldırıdan sonra düşmanlarının gelecek hareketlerini sezerek, %20 daha fazla hasar verir.</t>
  </si>
  <si>
    <t>- Aktif Yetenek: Kehanet Patlaması – Zihinsel bir güçle düşmanın hareketlerini engeller ve %30 hasar verir.</t>
  </si>
  <si>
    <t>Büyük Arcana</t>
  </si>
  <si>
    <t>- Pasif Yetenek: Arcana'nın Gücü – Her 5. saldırı sonrası, büyüsel yeteneklerin etkisi %10 artar.</t>
  </si>
  <si>
    <t>- Aktif Yetenek: Arcana Patlaması – Büyük bir Arcana büyüsü gönderir ve tüm düşmanlarına yüksek hasar verir.</t>
  </si>
  <si>
    <t>Galaktik Bilgisi</t>
  </si>
  <si>
    <t>- Pasif Yetenek: Galaktik Güç – Evrenin gücünden ilham alarak her saldırı sonrası düşmanların hızını %10 yavaşlatır.</t>
  </si>
  <si>
    <t>- Aktif Yetenek: Galaktik Fırtına – Evrenin derinliklerinden bir fırtına yaratır, tüm düşmanları etkiler ve %25 sağlık kaybı yaşatır.</t>
  </si>
  <si>
    <t>Astral Savunucu</t>
  </si>
  <si>
    <t>- Pasif Yetenek: Astral Kalkan – Her saldırı sonrası kendini %5 oranında def gücüyle korur.</t>
  </si>
  <si>
    <t>- Aktif Yetenek: Astral def – Müttefikleri için güçlü</t>
  </si>
  <si>
    <t>Hayalet Ustası</t>
  </si>
  <si>
    <t>- Pasif Yetenek: Görünmeyen Ruh – Hayalet Ustası, her 3. saldırı sonrası %10 oranında görünmezlik kazanır. Bu, düşmanların onu hedef almasını zorlaştırır ve ilk saldırıya kadar hasar almaz.</t>
  </si>
  <si>
    <t>- Aktif Yetenek: Hayalet İntikamı – Hayalet Ustası, aniden rakiplerinin arasına dalar ve tüm düşmanlara yüksek miktarda hasar verir. Saldırının ardından, rakiplerin savunmalarını %15 azaltır ve saldırıyı takiben Hayalet Ustası  3 tur daha görünmez kalır.</t>
  </si>
  <si>
    <t>NADİR BÜYÜCÜLER</t>
  </si>
  <si>
    <t>KARA BÜYÜCÜ</t>
  </si>
  <si>
    <t>Pasif: "Karanlık Bilgi" (Büyü hasarı gece artar +%20)</t>
  </si>
  <si>
    <t>Aktif: "Karanlık Nova" (Alan karanlık hasarı)</t>
  </si>
  <si>
    <t>RÜN USTASI</t>
  </si>
  <si>
    <t>Pasif: "Rün Bilgisi" (Her 3 büyüde 1 rün kazanır, 3 rün = güçlü büyü)</t>
  </si>
  <si>
    <t>Aktif: "Rün Patlaması" (Tüm rünleri harcayarak hasar)</t>
  </si>
  <si>
    <t xml:space="preserve"> Ateş Lordu</t>
  </si>
  <si>
    <t>- Aktif Yetenek: "Alev Patlaması" – Düşmanlara yoğun bir ateş dalgası gönderir, çevredeki tüm düşmanlara %50 hasar verir.</t>
  </si>
  <si>
    <t>- Pasif Yetenek: "Alevin Koruması" – Ateş temalı hasarlar %20 daha güçlüdür.</t>
  </si>
  <si>
    <t>KIYAMET BÜYÜCÜSÜ</t>
  </si>
  <si>
    <t>Pasif: "Kaos Enerjisi" (Düşman ölümlerinden enerji toplar)</t>
  </si>
  <si>
    <t>Aktif: "Kıyamet Çağrısı" (Toplanan enerjiyle yıkıcı hasar)</t>
  </si>
  <si>
    <t>Dönüşüm Ustası</t>
  </si>
  <si>
    <t>- Aktif Yetenek: "Metamorfoz" – Kendisini geçici olarak başka bir yaratığa dönüştürerek saldırı gücünü %50 artırır.</t>
  </si>
  <si>
    <t>- Pasif Yetenek: "Form Değiştirme" – Her 15 saniyede bir, bir defaya mahsus olarak def %20 artar.</t>
  </si>
  <si>
    <t>Karanlık Adept</t>
  </si>
  <si>
    <t>- Aktif Yetenek: "Karanlık Varlık" – Karanlık enerjisi ile düşmanlarının zihnini kontrol eder, %30 hasar almasını sağlar.</t>
  </si>
  <si>
    <t>- Pasif Yetenek: "Karanlık Güç" – Karanlık saldırılara karşı %20 daha güçlüdür.</t>
  </si>
  <si>
    <t>Ruh Yöneticisi</t>
  </si>
  <si>
    <t>- Aktif Yetenek: "Ruhsal Bağ" – Etrafındaki ruhları çağırarak, hedefe %50 hasar veren bir saldırı yapar.</t>
  </si>
  <si>
    <t>- Pasif Yetenek: "Ruhsal İyileşme" – Her 10 saniyede bir, %5 can iyileşmesi yapar.</t>
  </si>
  <si>
    <t>Yıldız Yücelten</t>
  </si>
  <si>
    <t>- Aktif Yetenek: "Yıldız Patlaması" – Yıldızları toplar ve düşmanlara yıldız yağı sürer, %40 hasar verir.</t>
  </si>
  <si>
    <t>- Pasif Yetenek: "Yıldız Koruması" – Yıldız temalı saldırılara karşı %30 direnciniz artar.</t>
  </si>
  <si>
    <t>Vahşi Elementalist</t>
  </si>
  <si>
    <t>- Aktif Yetenek: "Elementsel Çılgınlık" – Doğal elementlerden vahşi bir patlama yapar, düşmanları savurur ve hasar verir.</t>
  </si>
  <si>
    <t>- Pasif Yetenek: "Element Gücü" – Her elementsel saldırı sonrası def %10 artar.</t>
  </si>
  <si>
    <t>Kıyamet Bilgini</t>
  </si>
  <si>
    <t>- Aktif Yetenek: "Kıyamet Savaşı" – Kıyameti çağırarak düşmanlarına dev bir felaket getirir, büyük hasar verir.</t>
  </si>
  <si>
    <t>- Pasif Yetenek: "Kıyamet Gücü" – Kıyamet sonrası her saldırı, düşmanların canını %5 azaltır.</t>
  </si>
  <si>
    <t>Gök Yüce</t>
  </si>
  <si>
    <t>- Aktif Yetenek: "Fırtına Çığlığı" – Yüksek sesle gökyüzünü çığlıklarla sallar, düşmanları sarsar ve %30 hasar verir.</t>
  </si>
  <si>
    <t>- Pasif Yetenek: "Yüksek İrtifa" – Her 5 saniyede bir, def %5 artar.</t>
  </si>
  <si>
    <t>Aether'in Efendisi</t>
  </si>
  <si>
    <t>- Aktif Yetenek: "Aether Yıkımı" – Aether'in gücünü kullanarak düşmanlara büyük bir patlama yapar, %50 hasar verir.</t>
  </si>
  <si>
    <t>- Pasif Yetenek: "Aether Gücü" – Aether saldırıları, def gücünü %25 artırır.</t>
  </si>
  <si>
    <t>Zifiri Büyücü</t>
  </si>
  <si>
    <t>- Aktif Yetenek: "Zifiri Karanlık" – Etrafında yoğun karanlık bir alan oluşturur, düşmanları yavaşlatır ve savunmalarını düşürür.</t>
  </si>
  <si>
    <t>- Pasif Yetenek: "Karanlık Tanrı" – Karanlık hasarlara karşı %50 daha fazla dayanıklıdır.</t>
  </si>
  <si>
    <t>Büyüsel Başlangıç</t>
  </si>
  <si>
    <t>- Pasif Yetenek: Yeni Başlangıç – Her seviyede, büyüsel yeteneklerin etkisi %5 artar.</t>
  </si>
  <si>
    <t>- Aktif Yetenek: Başlangıç Patlaması – Hedefin büyüsel savunmasını %10 oranında azaltır ve büyük bir patlama ile hasar verir.</t>
  </si>
  <si>
    <t>Mistik Öğretmen</t>
  </si>
  <si>
    <t>- Aktif Yetenek: "Zihinsel Yükseliş" – Öğretilerini kullanarak tüm takımın savunmasını %30 artırır.</t>
  </si>
  <si>
    <t>- Pasif Yetenek: "Bilgelik Gücü" – Her 15 saniyede bir, savunmanız %10 artar.</t>
  </si>
  <si>
    <t>Işık Ustası</t>
  </si>
  <si>
    <t>- Aktif Yetenek: "Işığın Alevi" – Etrafındaki tüm karanlık güçleri yok eder ve düşmanlara yoğun ışık hasarı verir.</t>
  </si>
  <si>
    <t>- Pasif Yetenek: "Işığın Yansıması" – Her saldırıdan sonra etrafındaki düşmanlara %10 daha fazla hasar verir.</t>
  </si>
  <si>
    <t>ENDER BÜYÜCÜLER</t>
  </si>
  <si>
    <t>ZAMAN BÜYÜCÜSÜ</t>
  </si>
  <si>
    <t>Pasif: "Zaman Akışı" (Cooldown'lar %20 hızlı dolar)</t>
  </si>
  <si>
    <t>Aktif: "Zaman Durması" (2 düşmanı dondurur)</t>
  </si>
  <si>
    <t>BOYUT USTASI</t>
  </si>
  <si>
    <t>Pasif: "Boyut Yarığı" (Büyüler %20 şansla 2 kez vurur)</t>
  </si>
  <si>
    <t>Aktif: "Boyut Kapısı" (Takım arkadaşlarının yerini değiştirir)</t>
  </si>
  <si>
    <t>Zehirli Rüya</t>
  </si>
  <si>
    <t>- Aktif Yetenek: "Zehrin Kanı" – Düşmanlara zehirli bir enerji gönderir, zamanla hasar verir ve onları yavaşlatır.</t>
  </si>
  <si>
    <t>- Pasif Yetenek: "Zehirli Huzur" – Her saldırı, düşmanları zehirleyerek zamanla %5 hasar verir.</t>
  </si>
  <si>
    <t>Fırtına Çıldıranı</t>
  </si>
  <si>
    <t>- Aktif Yetenek: "Fırtına Çığlığı" – Düşmanları dev bir yıldırım fırtınası ile sarar, %40 hasar verir ve etrafı karıştırır.</t>
  </si>
  <si>
    <t>Pasif Yetenek: "Fırtına Gücü" – Havanın durumu her zaman Fırtına seviyesinde olduğu için savunması %15 artar.</t>
  </si>
  <si>
    <t>Kader Örgüsü</t>
  </si>
  <si>
    <t>- Aktif Yetenek: "Kaderin Fırtınası" – Her düşmana farklı bir kaderi çeker, savunmalarını %30 zayıflatır.</t>
  </si>
  <si>
    <t>- Pasif Yetenek: "Kader Çevrimi" – Her düşman öldüğünde %15 can iyileşmesi sağlar.</t>
  </si>
  <si>
    <t>Alev Kralı</t>
  </si>
  <si>
    <t>- Aktif Yetenek: "Kızgın Alev" – Tüm düşmanları çevrelerindeki ateşle sarar, %40 hasar verir.</t>
  </si>
  <si>
    <t>- Pasif Yetenek: "Alevsel Güç" – Ateş temalı saldırılara karşı %30 direnciniz artar.</t>
  </si>
  <si>
    <t>Ruh Ateşi</t>
  </si>
  <si>
    <t>- Aktif Yetenek: "Ateşin Külleri" – Kendini ateşle sarar, etrafındaki düşmanlara %25 hasar verir ve onları ateşe boğar.</t>
  </si>
  <si>
    <t>- Pasif Yetenek: "Ateşin Sönmeyen Gücü" – Her ateş temalı saldırı %10 daha güçlüdür.</t>
  </si>
  <si>
    <t>Efsanevi Bilge</t>
  </si>
  <si>
    <t>- Pasif Yetenek: Efsanevi Bilgelik – Her 5. saldırı sonrası, karakterin enerji gücü %15 artar.</t>
  </si>
  <si>
    <t>- Aktif Yetenek: Bilgeliğin Akışı – Müttefiklerine büyüsel koruma sağlarken, düşmanlara %20 hasar veren bir aydınlık dalgası gönderir.</t>
  </si>
  <si>
    <t>EFSANEVİ BÜYÜCÜLER</t>
  </si>
  <si>
    <t>KADİM BÜYÜCÜ</t>
  </si>
  <si>
    <t>Pasif: "Kadim Bilgelik" (Tüm büyüler %30 güçlü)</t>
  </si>
  <si>
    <t>Aktif: "Kadim Güç" (Ultimate yeteneği sıfırlar)</t>
  </si>
  <si>
    <t>Eski Kitap Ustası</t>
  </si>
  <si>
    <t>- Aktif Yetenek: "Kadim Bilgelik" – Eski kitaplardan öğretilerini çağırarak düşmanlarının savunmasını %50 azaltır.</t>
  </si>
  <si>
    <t>Pasif Yetenek: "Gizli Bilgiler" – Her 10 saniyede bir, def gücü %10 artar.</t>
  </si>
  <si>
    <t>GÖKYÜZÜ HAKİMİ</t>
  </si>
  <si>
    <t>Pasif: "Göksel Güç" (Havadaki hedeflere %50 fazla hasar)</t>
  </si>
  <si>
    <t>Aktif: "Meteor Yağmuru" (Büyük alan hasarı)</t>
  </si>
  <si>
    <t>Buz Prensi</t>
  </si>
  <si>
    <t>- Aktif Yetenek: "Buz Fırtınası" – Etrafındaki düşmanları dondurarak %10 def'lerini azaltır ve 2 tur boyunca 250 hasar verir.</t>
  </si>
  <si>
    <t>- Pasif Yetenek: "Buz Direnci" – Buz temalı saldırılara karşı %25 dayanıklılık sağlar.</t>
  </si>
  <si>
    <t>MULTİ  BÜYÜCÜLER</t>
  </si>
  <si>
    <t>BÜYÜ TANRISI</t>
  </si>
  <si>
    <t>Pasif: "Sınırsız Güç" (Her tur rastgele müttefikine büyü yapar, kritik şansı +%5 artar)</t>
  </si>
  <si>
    <t>Aktif: "Tanrısal Büyü" (Tüm arenaya 2000 hasar)</t>
  </si>
  <si>
    <t>EVREN BÜYÜCÜSÜ</t>
  </si>
  <si>
    <t>Pasif: "Evrenin Sırları" (Tüm büyü etkilerini ikiye katlar)</t>
  </si>
  <si>
    <t>Aktif: "Evren Çöküşü" (Rakipleri kara deliğe çeker)</t>
  </si>
  <si>
    <t xml:space="preserve">YAYGIN DESTEK </t>
  </si>
  <si>
    <t>ÇIRAK ŞİFACI</t>
  </si>
  <si>
    <t>Pasif: "İyileştirme Özü" (İyileştirmeler %10 güçlü)</t>
  </si>
  <si>
    <t>Aktif: "Yaşam Dokunuşu" (Tek hedefe anlık iyileştirme)</t>
  </si>
  <si>
    <t>RUH BEKÇİSİ</t>
  </si>
  <si>
    <t>Pasif: "Ruh Bağı" (Bağlandığı takım arkadaşıyla HP paylaşımı)</t>
  </si>
  <si>
    <t>Aktif: "Ruh Kalkanı" (Tek hedefe hasar kalkanı)</t>
  </si>
  <si>
    <t>UMUT TAŞIYICI</t>
  </si>
  <si>
    <t>Pasif: "Umut Işığı" (Takım HP'si düşükken iyileştirmeler güçlenir)</t>
  </si>
  <si>
    <t>Aktif: "Cesaret Aurası" (Takıma moral bonusu, saldırı +2)</t>
  </si>
  <si>
    <t>Şifa Yıldızı</t>
  </si>
  <si>
    <t>- Pasif Yetenek: Yıldız Işığı – Şifa Yıldızı, savaşın her turunda, kendisi ve yakınındaki tüm dostlara %5 sağlık iyileştirir. Bu iyileştirme, savaşın gidişatına göre artabilir.</t>
  </si>
  <si>
    <t>- Aktif Yetenek: Kutsal Yıldız – Şifa Yıldızı, düşman takımına büyük hasar vermek için bir kutsal yıldız gönderir. Aynı anda, takımındaki en zayıf oyuncuya %50 sağlık iyileştirmesi yapar.</t>
  </si>
  <si>
    <t>Umut Alevi</t>
  </si>
  <si>
    <t>- Pasif Yetenek: Alevli Kalkan – Her 4 turda bir, Umut Alevi, kendisi ve en yakın takım arkadaşına bir miktar kalkan sağlar. Kalkan, alınan hasarın %20'sini engeller.</t>
  </si>
  <si>
    <t>- Aktif Yetenek: Umut Patlaması – Umut Alevi, etrafındaki düşmanlara alevli saldırılar gönderir ve tüm takım üyelerine %30 oranında sağlık yeniler.</t>
  </si>
  <si>
    <t>Hayat Akışı</t>
  </si>
  <si>
    <t>- Pasif Yetenek: Hayatın Damarları – Her turda, Hayat Akışı, takımına %3 sağlık iyileştirir. Bu iyileştirme, her yeni turda %1 artar.</t>
  </si>
  <si>
    <t>- Aktif Yetenek: Can Dalgası – Hayat Akışı, tüm takım üyelerini güçlü bir hayat dalgası ile iyileştirir. Ayrıca, bu dalga, düşmanları %10 yavaşlatır.</t>
  </si>
  <si>
    <t>Kutsal Işık</t>
  </si>
  <si>
    <t>- Pasif Yetenek: Işık Kalkanı – Kutsal Işık her turda 1 defa, rastgele bir takım arkadaşını %25 oranında iyileştirir ve geçici bir kalkan oluşturur.</t>
  </si>
  <si>
    <t>- Aktif Yetenek: Işığın Kutsal Patlaması – Kutsal Işık, tüm düşmanlara ışık patlaması gönderir, bu patlama %40 hasar verir ve düşmanların iyileştirme şanslarını %50 oranında azaltır.</t>
  </si>
  <si>
    <t>Sonsuz Şifacı</t>
  </si>
  <si>
    <t>- Pasif Yetenek: Şifalı Aura – Sonsuz Şifacı, her 5 saniyede bir, yakınındaki her takım arkadaşına %3 sağlık iyileştirmesi yapar. Bu iyileştirme, her yeni turda artar.</t>
  </si>
  <si>
    <t>- Aktif Yetenek: Sonsuz Umut – Sonsuz Şifacı, tüm takım üyelerini iyileştiren güçlü bir şifa dalgası gönderir. Ayrıca, takımdaki tüm oyuncuların sağlıklarını %40 oranında yeniler.</t>
  </si>
  <si>
    <t>Işık Yoldaşı</t>
  </si>
  <si>
    <t>- Pasif Yetenek: Işığın Gücü – Işık Yoldaşı, her turda bir kez, kendisi ve yakınındaki bir oyuncunun sağlıklarını %10 oranında iyileştirir.</t>
  </si>
  <si>
    <t>- Aktif Yetenek: Işığın Kılavuzu – Işık Yoldaşı, takımındaki en zayıf oyuncuya %50 sağlık iyileştirir ve ayrıca, o oyuncunun alacağı hasarın %20’sini azaltır.</t>
  </si>
  <si>
    <t>Doğa Efendisi</t>
  </si>
  <si>
    <t>- Pasif Yetenek: Doğal Yük – Doğa Efendisi, her 4 turda bir, takımının rastgele bir oyuncusuna doğanın gücüyle %15 sağlık iyileştirir.</t>
  </si>
  <si>
    <t>- Aktif Yetenek: Doğanın Huzuru – Doğa Efendisi, bir oyuncuyu doğa enerjisiyle iyileştirirken, aynı zamanda o oyuncunun savunma gücünü %25 artırır.</t>
  </si>
  <si>
    <t>Zihinsel Şifacı</t>
  </si>
  <si>
    <t>- Pasif Yetenek: Zihinsel Dayanıklılık – Zihinsel Şifacı, takımındaki herhangi bir oyuncuya saldırıdan sonra %10 daha hızlı iyileşme sağlar.</t>
  </si>
  <si>
    <t>- Aktif Yetenek: Bilinçsel Yeniden Canlanma – Zihinsel Şifacı, ölen bir takım arkadaşını hayata döndürür ve ona %30 sağlık verir. Ayrıca, geri getirdiği karakter, iyileştirme şansını %20 artırır.</t>
  </si>
  <si>
    <t>Hayat Koruyucusu</t>
  </si>
  <si>
    <t>- Pasif Yetenek: Hayat Kalkanı – Hayat Koruyucusu, her 3 turda bir takım arkadaşlarından rastgele birine %10 sağlık kalkanı sağlar.</t>
  </si>
  <si>
    <t>- Aktif Yetenek: Koruyucu Canlanma – Hayat Koruyucusu, savaş alanındaki tüm takım arkadaşlarını büyük bir iyileştirme dalgasıyla iyileştirir ve onları geçici olarak %15 kalkanla korur.</t>
  </si>
  <si>
    <t>Şifa Işığı</t>
  </si>
  <si>
    <t>- Pasif Yetenek: Işığın Koruması – Şifa Işığı, her turda bir oyuncuya %5 sağlık iyileştirme sağlar. Ayrıca, iyileştirilen oyuncuların alacağı hasar %10 azalır.</t>
  </si>
  <si>
    <t>- Aktif Yetenek: Işığın Zafere Doğru – Şifa Işığı, tüm takım arkadaşlarına büyük bir iyileştirme sağlar ve ayrıca, takımı savaşta %15 hızla iyileşmesini sağlar.</t>
  </si>
  <si>
    <t>Ruh Diriltici</t>
  </si>
  <si>
    <t>- Pasif Yetenek: Ruhsal Diriliş – Ruh Diriltici, öldükten sonra takım arkadaşlarının %10 sağlıkla yeniden doğmalarını sağlar. Bu özellik her 3 turda bir kullanılabilir.</t>
  </si>
  <si>
    <t>- Aktif Yetenek: Diriltici Işık – Ruh Diriltici, bir ölü takım arkadaşını hayata döndürür ve ona %50 sağlık sağlar. Ayrıca, dirilttiği oyuncu, kritik vuruş şansını %25 artırır.</t>
  </si>
  <si>
    <t>Efsanevi Şifacı</t>
  </si>
  <si>
    <t>- Pasif Yetenek: Efsanevi İyileştirme – Efsanevi Şifacı, her 6 saniyede bir tüm takım arkadaşlarının sağlıklarını %4 oranında iyileştirir.</t>
  </si>
  <si>
    <t>- Aktif Yetenek: Işığın Yükselişi – Efsanevi Şifacı, takımındaki tüm oyuncuları iyileştirir ve ayrıca tüm oyuncuların kritik vuruş şansını %20 artırır.</t>
  </si>
  <si>
    <t>Hayat Rehberi</t>
  </si>
  <si>
    <t>- Pasif Yetenek: Hayat Desteği – Hayat Rehberi, takım arkadaşlarına her 3 turda bir, %8 sağlık iyileştirir ve savunmalarını %5 artırır.</t>
  </si>
  <si>
    <t>- Aktif Yetenek: Yaşam Rehberliği – Hayat Rehberi, bir takım arkadaşını %60 oranında iyileştirir ve ona ekstra %25 savunma gücü sağlar.</t>
  </si>
  <si>
    <t>Evren Şifacısı</t>
  </si>
  <si>
    <t>- Pasif Yetenek: Evrenin Gücü – Evren Şifacısı, her 3 turda bir tüm takımına %5 sağlık iyileştirir ve her yeni turda bu oran %5 artar.</t>
  </si>
  <si>
    <t>- Aktif Yetenek: Evrenin Gücünden Gelen Şifa – Evren Şifacısı, tüm takım üyelerine büyük bir iyileştirme sağlar ve aynı zamanda tüm düşmanların savunmalarını %30 zayıflatır.</t>
  </si>
  <si>
    <t>Işık Vekili</t>
  </si>
  <si>
    <t>- Pasif Yetenek: Işığın Kutsaması – Işık Vekili, her turda tüm takım üyelerinin sağlıklarını %5 artırır ve alacakları hasarın %10’unu engeller.</t>
  </si>
  <si>
    <t>- Aktif Yetenek: Kutsal Varlık – Işık Vekili, takımındaki en güçlü oyuncuya ekstra %30 sağlık iyileştirir ve ona %20 ekstra savunma gücü verir.</t>
  </si>
  <si>
    <t>Mistik Şifacı</t>
  </si>
  <si>
    <t>- Pasif Yetenek: Mistik Aura – Mistik Şifacı, her 4 saniyede bir takımına %6 sağlık iyileştirir.</t>
  </si>
  <si>
    <t>- Aktif Yetenek: Ruhsal Arınma – Mistik Şifacı, tüm takım arkadaşlarını iyileştirir ve ayrıca her birini %15 daha fazla savunma gücüyle donatır.</t>
  </si>
  <si>
    <t>Hayat Fısıldayıcısı</t>
  </si>
  <si>
    <t>- Pasif Yetenek: Fısıldanan Şifa – Hayat Fısıldayıcısı, her 5 saniyede bir takım arkadaşlarının sağlıklarını %4 oranında iyileştirir.</t>
  </si>
  <si>
    <t>- Aktif Yetenek: Yaşamın Fısıldadığı Güç – Hayat Fısıldayıcısı, takımındaki tüm oyuncuları iyileştirir ve her birine %10 ekstra can verir.</t>
  </si>
  <si>
    <t>Kadim Ruh Şamanı</t>
  </si>
  <si>
    <t>- Pasif Yetenek: Kadim Ruh Desteği – Kadim Ruh Şamanı, her turda bir oyuncuya %5 sağlık iyileştirir ve o oyuncuya geçici bir kalkan verir.</t>
  </si>
  <si>
    <t>- Aktif Yetenek: Ruhun Uyanışı – Kadim Ruh Şamanı, tüm takımını büyük bir iyileştirme dalgası ile iyileştirir ve her birine %20 ekstra savunma sağlar.</t>
  </si>
  <si>
    <t>Işığın Efendisi</t>
  </si>
  <si>
    <t>- Pasif Yetenek: Işığın Izdırapla Birleşimi – Işığın Efendisi, her 5 saniyede bir, takımındaki tüm oyunculara %5 sağlık iyileştirir.</t>
  </si>
  <si>
    <t>- Aktif Yetenek: Işığın Patlaması – Işığın Efendisi, tüm takım arkadaşlarını büyük bir iyileştirme dalgası ile iyileştirirken, aynı zamanda tüm düşmanların alacağı hasarı %20 artırır.</t>
  </si>
  <si>
    <t>Hayat Armonisti</t>
  </si>
  <si>
    <t>- Pasif Yetenek: Yaşam Armonisi – Hayat Armonisti, her 4 saniyede bir takımına %4 sağlık iyileştirir ve her oyuncunun alacağı hasarı %5 azaltır.</t>
  </si>
  <si>
    <t>- Aktif Yetenek: Hayatın Armonisi – Hayat Armonisti, tüm takım üyelerini iyileştirir ve ayrıca her birine %10 daha fazla iyileşme gücü verir.</t>
  </si>
  <si>
    <t>Zamanın Yoldaşı</t>
  </si>
  <si>
    <t>- Pasif Yetenek: Zamanın Koruması – Zamanın Yoldaşı, her 6 saniyede bir takım arkadaşlarının sağlıklarını %6 artırır ve onlara geçici kalkan sağlar.</t>
  </si>
  <si>
    <t>- Aktif Yetenek: Zamanı Yavaşlatma – Zamanın Yoldaşı, düşman takımının hızını %30 oranında yavaşlatırken, takım arkadaşlarının sağlıklarını %40 iyileştirir.</t>
  </si>
  <si>
    <t>Kutsal Şifacı</t>
  </si>
  <si>
    <t>- Pasif Yetenek: Kutsal Işık – Kutsal Şifacı, her 5 saniyede bir takım arkadaşlarına %6 sağlık iyileştirmesi sağlar. Ayrıca, her oyuncu, alacağı hasarın %10'unu engeller.</t>
  </si>
  <si>
    <t>- Aktif Yetenek: Kutsal Canlanma – Kutsal Şifacı, ölü bir takım arkadaşını hayata döndürür ve ona %50 sağlık kazandırır. Ayrıca, dirilttiği karakterin alacağı hasar %20 azalır.</t>
  </si>
  <si>
    <t>Evrenin Korumacısı</t>
  </si>
  <si>
    <t>- Pasif Yetenek: Evrenin Kalkanı – Evrenin Korumacısı, her 4 turda bir takım arkadaşlarından rastgele birine %10 sağlık kalkanı sağlar.</t>
  </si>
  <si>
    <t>- Aktif Yetenek: Evrenin Koruyucu Işığı – Evrenin Korumacısı, tüm takımını büyük bir iyileştirme dalgası ile iyileştirir ve takımındaki her karakterin savunmasını %25 artırır.</t>
  </si>
  <si>
    <t>Yaşamın Bekçisi</t>
  </si>
  <si>
    <t>- Pasif Yetenek: Doğal Denge – Yaşamın Bekçisi, her 3 saniyede bir, takımındaki oyunculara %4 sağlık iyileştirir ve alacakları hasarı %5 azaltır.</t>
  </si>
  <si>
    <t>- Aktif Yetenek: Yaşamın Gücü – Yaşamın Bekçisi, tüm takım üyelerine %50 sağlık iyileştirir ve her birine %10 ekstra savunma sağlar.</t>
  </si>
  <si>
    <t>Felsefe Şifacısı</t>
  </si>
  <si>
    <t>- Pasif Yetenek: Felsefi Yenilenme – Felsefe Şifacısı, her turda bir takım arkadaşını %5 iyileştirir ve o oyuncunun becerilerini %10 hızlandırır.</t>
  </si>
  <si>
    <t>- Aktif Yetenek: Bütünsel İyileşme – Felsefe Şifacısı, tüm takım üyelerini büyük bir iyileştirme dalgası ile iyileştirir ve her birine %15 savunma gücü kazandırır.</t>
  </si>
  <si>
    <t>Enerji Dağıtıcısı</t>
  </si>
  <si>
    <t>- Pasif Yetenek: Enerji Aktarımı – Enerji Dağıtıcısı, her 6 saniyede bir tüm takım üyelerinin güçlerini %5 artırır ve iyileştirilen karakterlerin alacağı hasarı %10 azaltır.</t>
  </si>
  <si>
    <t>- Aktif Yetenek: Büyük Enerji Patlaması – Enerji Dağıtıcısı, tüm takım üyelerinin sağlıklarını %40 iyileştirirken, her oyuncuya %25 ekstra savunma ve %15 güç bonusu verir.</t>
  </si>
  <si>
    <t>Doğa Ustası</t>
  </si>
  <si>
    <t>- Pasif Yetenek: Doğal Yenilenme – Doğa Ustası, her 4 saniyede bir takımındaki rastgele bir oyuncuya %5 sağlık iyileştirir ve ona %5 geçici kalkan sağlar.</t>
  </si>
  <si>
    <t>- Aktif Yetenek: Doğanın Kudreti – Doğa Ustası, tüm takım arkadaşlarını büyük bir doğa enerjisi ile iyileştirir ve ayrıca takımdaki tüm karakterlerin savunmalarını %20 artırır.</t>
  </si>
  <si>
    <t>Dengenin Koruyucusu</t>
  </si>
  <si>
    <t>- Pasif Yetenek: Dengeyi Koruma – Dengenin Koruyucusu, her 5 saniyede bir takımındaki oyunculara %3 sağlık iyileştirir ve her karakterin alacağı hasarı %10 azaltır.</t>
  </si>
  <si>
    <t>- Aktif Yetenek: Dengenin Kuvveti – Dengenin Koruyucusu, takımındaki her bir oyuncuyu %40 sağlıkla iyileştirir ve onlara %15 geçici kalkan sağlar.</t>
  </si>
  <si>
    <t>Işık Mimar</t>
  </si>
  <si>
    <t>- Pasif Yetenek: Işık Yapıları – Işık Mimar, her 4 turda bir, takımındaki tüm oyunculara %5 sağlık iyileştirir ve savunmalarını %10 artırır.</t>
  </si>
  <si>
    <t>- Aktif Yetenek: Işığın Mimarlığı – Işık Mimar, takımındaki oyuncuların her birini %50 oranında iyileştirir ve her oyuncuya %20 ekstra savunma kazandırır.</t>
  </si>
  <si>
    <t>NADİR ŞİFACILAR</t>
  </si>
  <si>
    <t>DOĞA ŞİFACISI</t>
  </si>
  <si>
    <t>Pasif: "Doğanın Gücü" (Her tur takıma 2 HP regen)</t>
  </si>
  <si>
    <t>Aktif: "Doğa Patlaması" (Alan iyileştirme)</t>
  </si>
  <si>
    <t>IŞIK RAHİBİ</t>
  </si>
  <si>
    <t>Pasif: "Kutsal Işık" (Zehir ve lanetleri temizler)</t>
  </si>
  <si>
    <t>Aktif: "Işık Patlaması" (İyileştirme + düşmanlara hasar)</t>
  </si>
  <si>
    <t>KORUYUCU MELEK</t>
  </si>
  <si>
    <t>Pasif: "Melek Kanadı" (Kritik hasar alan takım arkadaşını korur)</t>
  </si>
  <si>
    <t>Aktif: "Kutsal Koruma" (Bir hedefe ölümsüzlük)</t>
  </si>
  <si>
    <t>Zihinsel İyileştirici</t>
  </si>
  <si>
    <t>- Pasif Yetenek: Zihinsel Bağ – Zihinsel İyileştirici, herhangi bir oyuncunun sağlık seviyesi %30’un altına düştüğünde, o oyuncuya %10 daha hızlı iyileştirme sağlamak için zihin gücünü kullanır.</t>
  </si>
  <si>
    <t>- Aktif Yetenek: Bilinçsel Yeniden Canlanma – Zihinsel İyileştirici, bir oyuncunun zihnini uyandırarak, tüm takım arkadaşlarına bir tur boyunca %25 daha fazla iyileştirme yapar.</t>
  </si>
  <si>
    <t>Doğanın Rehberi</t>
  </si>
  <si>
    <t>- Pasif Yetenek: Doğal Uyanış – Doğanın Rehberi, her turda bir kez takım arkadaşlarının kaybettiği %5 sağlıklarını geri kazanmasını sağlar.</t>
  </si>
  <si>
    <t>- Aktif Yetenek: Doğanın Kutsaması – Doğanın Rehberi, tüm takım arkadaşlarına doğanın gücünden gelen iyileştirici bir enerji gönderir. Ayrıca, düşmanların savunma gücünü %10 zayıflatır.</t>
  </si>
  <si>
    <t>Zamanın Şifacısı</t>
  </si>
  <si>
    <t>- Pasif Yetenek: Zamanın Yenileyici Gücü – Zamanın Şifacısı, her 5 saniyede bir takımına %4 sağlık yeniler. Yenileme süresi azalmaya başlar, zamanla daha etkili hale gelir.</t>
  </si>
  <si>
    <t>Aktif Yetenek: Zamanın İyileştiren Akışı – Zamanın Şifacısı, takımındaki tüm oyunculara belirli bir süre boyunca geçici bir kalkan ve iyileştirme sağlar. Ayrıca, tüm iyileştirme etkileri %25 oranında artar.</t>
  </si>
  <si>
    <t>Ruh Hekimi</t>
  </si>
  <si>
    <t>- Pasif Yetenek: Ruhsal İyileşme – Ruh Hekimi, her zaman düşman saldırılarına karşı ruhsal savunma yapar, böylece takımdaki herhangi bir oyuncunun alacağı hasarın %10'unu azaltır.</t>
  </si>
  <si>
    <t>- Aktif Yetenek: Ruhsal Yeniden Doğuş – Ruh Hekimi, bir takım arkadaşının ölümünden sonra onu hayata döndürür, ancak geri getirdiği oyuncu %50 sağlıkla başlar ve saldırılarından %25 daha fazla hasar alır.</t>
  </si>
  <si>
    <t>Sonsuz Umut</t>
  </si>
  <si>
    <t>- Pasif Yetenek: Umudun Gücü – Sonsuz Umut, her turda, takımındaki en düşük sağlığa sahip 3 oyuncuya %10 sağlık iyileştirmesi yapar.</t>
  </si>
  <si>
    <t>- Aktif Yetenek: İleriye Umutla Bak – Sonsuz Umut, düşmanları %20 oranında zayıflatırken, tüm takım arkadaşlarına geçici bir iyileşme sağlar. Ayrıca, bu yetenek, düşmanların kritik vuruş şansını %25 azaltır.</t>
  </si>
  <si>
    <t>Işığın Mürekkep</t>
  </si>
  <si>
    <t>- Pasif Yetenek: Işığın Büyüsü – Işığın Mürekkep, her 4 turda bir, takımının bir oyuncusuna %10 ekstra hasar bağışlar ve bu hasarın bir kısmı sağlık olarak geri gelir.</t>
  </si>
  <si>
    <t>- Aktif Yetenek: Işığın Patlaması – Işığın Mürekkep, güçlü bir ışık patlaması başlatarak rakiplerin savunmalarını %30 azaltır. Ayrıca, tüm takım arkadaşlarını %20 oranında iyileştirir.</t>
  </si>
  <si>
    <t>Mistik Hayat</t>
  </si>
  <si>
    <t>- Pasif Yetenek: Doğal Güç – Mistik Hayat, her 5 saniyede bir takım arkadaşlarına %4 sağlık yeniler.</t>
  </si>
  <si>
    <t>- Aktif Yetenek: Hayatın Kökleri – Mistik Hayat, düşman takımına büyük hasar veren bir yaşam dalgası fırlatırken, aynı zamanda takımına %25 sağlık yeniler.</t>
  </si>
  <si>
    <t>Kadim Ruh Koruyucusu</t>
  </si>
  <si>
    <t>- Pasif Yetenek: Kadim Ruh – Kadim Ruh Koruyucusu, kendisini veya yakınındaki birini her 5 turda bir kez %15 oranında iyileştirir.</t>
  </si>
  <si>
    <t>- Aktif Yetenek: Koruma Kalkanı – Kadim Ruh Koruyucusu, tüm takım üyelerine büyük bir koruma kalkanı verir ve savunma gücünü %30 artırır.</t>
  </si>
  <si>
    <t>Yaşamın Işığı</t>
  </si>
  <si>
    <t>- Pasif Yetenek: Hayatın Baharı – Yaşamın Işığı, her turda kendisine ve en yakın takım arkadaşına %5 sağlık iyileştirir.</t>
  </si>
  <si>
    <t>- Aktif Yetenek: Yaşam Patlaması – Yaşamın Işığı, tüm takım arkadaşlarına bir ışık dalgası gönderir ve tüm takımın sağlığını %40 iyileştirir.</t>
  </si>
  <si>
    <t>Mistik Yoldaş</t>
  </si>
  <si>
    <t>- Pasif Yetenek: Mistik Bağ – Mistik Yoldaş, her 6 saniyede bir, takımındaki oyunculara %4 sağlık iyileştirir ve onların alacağı hasarın %5’ini engeller.</t>
  </si>
  <si>
    <t>- Aktif Yetenek: Ruhsal Güç – Mistik Yoldaş, tüm takım üyelerinin sağlıklarını %30 oranında iyileştirir ve her birine %15 savunma kazandırır.</t>
  </si>
  <si>
    <t>Evrenin İyileştiricisi</t>
  </si>
  <si>
    <t>- Pasif Yetenek: Evrenin Işığı – Evrenin İyileştiricisi, her 4 saniyede bir tüm takım üyelerinin sağlıklarını %5 iyileştirir ve onların saldırı hızlarını %10 artırır.</t>
  </si>
  <si>
    <t>- Aktif Yetenek: Evrenin Dalgası – Evrenin İyileştiricisi, takımındaki tüm oyunculara büyük bir şifa dalgası gönderir ve tüm düşmanların alacağı hasarı %15 artırır.</t>
  </si>
  <si>
    <t>Işığın Yükselişi</t>
  </si>
  <si>
    <t>- Pasif Yetenek: Işığın Gücü – Işığın Yükselişi, her 5 saniyede bir takımındaki bir oyuncuya %4 sağlık iyileştirir ve o oyuncunun kritik vuruş şansını %10 artırır.</t>
  </si>
  <si>
    <t>- Aktif Yetenek: Işığın Armağanı – Işığın Yükselişi, tüm takım üyelerine %30 sağlık iyileştirir ve her birine %15 savunma sağlar.</t>
  </si>
  <si>
    <t>Tanrısal Şifacı</t>
  </si>
  <si>
    <t>- Pasif Yetenek: Tanrısal Koruma – Tanrısal Şifacı, her turda rastgele bir takım arkadaşına %8 sağlık iyileştirmesi sağlar ve ona geçici kalkan verir.</t>
  </si>
  <si>
    <t>- Aktif Yetenek: Tanrısal Diriliş – Tanrısal Şifacı, ölen bir takım arkadaşını hayata döndürür ve ona %70 sağlık verir. Ayrıca, geri getirdiği oyuncunun alacağı hasar %30 azalır.</t>
  </si>
  <si>
    <t>ENDER ŞİFACILAR</t>
  </si>
  <si>
    <t>ZAMAN ŞİFACISI</t>
  </si>
  <si>
    <t>Pasif: "Zamanın Akışı" (İyileştirmeler zamana yayılır, %50 güçlü)</t>
  </si>
  <si>
    <t>Aktif: "Zaman Geri Sarma" (Bir karakteri 3 tur önceki haline döndürür)</t>
  </si>
  <si>
    <t>RUH ŞAMANI</t>
  </si>
  <si>
    <t>Pasif: "Ruh Çağrısı" (Her tur ölen takım arkadaşını hayalet olarak çağırır, çağrılan karakterlerin Def'lerin %10u Ruh şamanına eklenir)</t>
  </si>
  <si>
    <t>Aktif: "Ruhsal Patlama" (Takımı +%80 iyileştirir + %5 güç verir )</t>
  </si>
  <si>
    <t>YAŞAM USTASI</t>
  </si>
  <si>
    <t>Pasif: "Yaşam Döngüsü" (Verilen hasarın %30'u takıma iyileştirme)</t>
  </si>
  <si>
    <t>Aktif: "Yaşam Patlaması" (Tüm takımı maksimum HP'ye çıkarır)</t>
  </si>
  <si>
    <t>Zamanın Rehberi</t>
  </si>
  <si>
    <t>- Pasif Yetenek: Zamanın Akışı</t>
  </si>
  <si>
    <t xml:space="preserve">  - Zamanın Rehberi, her 5 saniyede bir takımındaki bir oyuncuya %4 sağlık iyileştirir. Ayrıca, bu oyuncunun alacağı hasarın %10'unu engeller ve iyileştirmelerin etkisi %10 artar.</t>
  </si>
  <si>
    <t>- Aktif Yetenek: Zamanın Hızlandırılması</t>
  </si>
  <si>
    <t xml:space="preserve">  - Zamanın Rehberi, takımındaki tüm oyuncuların iyileşme hızını %30 oranında artırır ve saldırı hızlarını %20 artırır. Ayrıca, Zamanın Rehberi, takımındaki her bir oyuncuyu %25 oranında iyileştirir. Bu etkiler, 3 tur boyunca devam eder.</t>
  </si>
  <si>
    <t>Kadim Yaşam Efendisi</t>
  </si>
  <si>
    <t>- Pasif Yetenek: Kadim Yaşam Gücü – Kadim Yaşam Efendisi, her 6 saniyede bir takımındaki oyunculara %5 sağlık iyileştirir ve onlara %10 geçici kalkan sağlar.</t>
  </si>
  <si>
    <t>- Aktif Yetenek: Kadim Yaşam Işığı – Kadim Yaşam Efendisi, tüm takım üyelerini %50 sağlıkla iyileştirir ve her birine %20 savunma kazandırır.</t>
  </si>
  <si>
    <t>Efsanevi İyileştirici</t>
  </si>
  <si>
    <t>- Pasif Yetenek: Efsanevi Işık – Efsanevi İyileştirici, her 6 saniyede bir tüm takım üyelerine %6 sağlık iyileştirir ve ayrıca onların savunmalarını %10 artırır.</t>
  </si>
  <si>
    <t>- Aktif Yetenek: Efsanevi Şifa – Efsanevi İyileştirici, tüm takım üyelerine %50 sağlık iyileştirir ve her birine %25 savunma kazandırır.</t>
  </si>
  <si>
    <t>Sonsuz Yaşamın Bekçisi</t>
  </si>
  <si>
    <t>- Pasif Yetenek: Sonsuz Yenilenme – Sonsuz Yaşamın Bekçisi, her 5 saniyede bir takımındaki her oyuncuya %5 sağlık iyileştirir ve savunmalarını %5 artırır.</t>
  </si>
  <si>
    <t>- Aktif Yetenek: Yaşamın Sonsuz Işığı – Sonsuz Yaşamın Bekçisi, tüm takım üyelerini %60 sağlıkla iyileştirir ve her birine %30 geçici kalkan sağlar.</t>
  </si>
  <si>
    <t>Işığın Yücesi</t>
  </si>
  <si>
    <t>- Pasif Yetenek: Işığın Zaferi – Işığın Yücesi, her 4 saniyede bir takımındaki oyuncuların sağlıklarını %4 artırır ve onların alacağı hasarı %5 azaltır.</t>
  </si>
  <si>
    <t>- Aktif Yetenek: Işığın Sonsuz Yükselişi – Işığın Yücesi, tüm takım üyelerine %50 sağlık iyileştirir ve her birine %25 savunma gücü sağlar.</t>
  </si>
  <si>
    <t>EFSANEVİ ŞİFACILAR</t>
  </si>
  <si>
    <t>KADİM ŞİFACI</t>
  </si>
  <si>
    <t>Pasif: "Kadim Bilgelik" (Tüm iyileştirmeler %40 güçlü)</t>
  </si>
  <si>
    <t>Aktif: "Kadim Diriliş" (Ölü bir karakteri tam HP ile diriltir)</t>
  </si>
  <si>
    <t>IŞIK LORDU</t>
  </si>
  <si>
    <t>Pasif: "Kutsal Aura" (Sürekli alan iyileştirme + zırh bonusu)</t>
  </si>
  <si>
    <t>Aktif: "Tanrısal Müdahale" (Tüm olumsuz etkileri temizler + bağışıklık)</t>
  </si>
  <si>
    <t>YAŞAM EFENDİSİ</t>
  </si>
  <si>
    <t>Pasif: "Yaşam Hakimiyeti" (Takımdaki her iyileştirme %20 güçlenir)</t>
  </si>
  <si>
    <t>Aktif: "Yaşam ve Ölüm" (Düşmanlardan çaldığı canı takıma dağıtır)</t>
  </si>
  <si>
    <t>Bütünleştirici</t>
  </si>
  <si>
    <t>- Pasif Yetenek: Birlikte Güçlüyüz – Bütünleştirici, her takım arkadaşı bir saldırı aldığında, bu takım arkadaşının alacağı hasarın %10'unu kendisi üstlenir.</t>
  </si>
  <si>
    <t>- Aktif Yetenek: Birleştirici Işık – Bütünleştirici, tüm takım üyelerini birleştirerek onlara ekstra savunma gücü sağlar ve her biri %15 oranında sağlık iyileştirmesi alır.</t>
  </si>
  <si>
    <t>MULTI ŞİFACILAR</t>
  </si>
  <si>
    <t>İYİLEŞTİRME TANRISI</t>
  </si>
  <si>
    <t>Pasif: "Ölümsüz Dokunuş" (İyileştirmeler ek zırh sağlar)</t>
  </si>
  <si>
    <t>Aktif: "Tanrısal Şifa" (Tüm takıma süper iyileştirme + ölümsüzlük)</t>
  </si>
  <si>
    <t>YAŞAM TANRISI</t>
  </si>
  <si>
    <t>Pasif: "Sonsuz Yaşam" (Takım ölümsüzlük sınırını aşabilir)</t>
  </si>
  <si>
    <t>Aktif: "Yaşam Tekrar Yazımı" (Tüm takımı tam güç ve canla yeniler)</t>
  </si>
  <si>
    <t>ZAMAN BÜKÜCÜ</t>
  </si>
  <si>
    <t>- Pasif Yetenek: Zamanın Döngüsü</t>
  </si>
  <si>
    <t xml:space="preserve">  - Zaman Bükücü, her 3. saldırısından sonra bir hedefin zamanını bükerek, o hedefin alacağı hasarı %20 oranında azaltır. Bu etkinin süresi 2 tur sürer. Ayrıca, Zaman Bükücü'nün kendisine uygulanan hasar %10 oranında azalır.</t>
  </si>
  <si>
    <t>- Aktif Yetenek: Zamanın Durması</t>
  </si>
  <si>
    <t xml:space="preserve">  - Zaman Bükücü, tüm rakipleri 1 tur boyunca dondurur, yani rakipler bu turda hiçbir hareket yapamaz. Aynı zamanda Zaman Bükücü'nün tüm takımındaki oyuncular, bu 1 tur boyunca %25 daha fazla iyileşir. Zaman Bükücü'nün bu yeteneği her 5 turda bir kullanılabilir.</t>
  </si>
  <si>
    <t>---</t>
  </si>
  <si>
    <t>Bu yetenekler, Zaman Bükücü karakterinin savaşta rakiplerini kontrol etme ve takımını iyileştirme yeteneklerine odaklanır. Zamanı kontrol ederek rakiplerin hareketlerini kısıtlamak ve kendi takımının hayatta kalma şansını artırmak, Zaman Bükücü'nün güçlü yönlerinden biridir.</t>
  </si>
  <si>
    <t>YAYGIN SAVAŞÇILAR</t>
  </si>
  <si>
    <t>ÇELİK KILIÇ:</t>
  </si>
  <si>
    <t>Pasif: "Keskin Göz" (İlk saldırı %15 ekstra hasar)</t>
  </si>
  <si>
    <t>Aktif: "Çelik Kasırga" (Çevresine 3 vuruş yapar)</t>
  </si>
  <si>
    <t>KIZIL SAVAŞÇI</t>
  </si>
  <si>
    <t>Pasif: "Kan Ateşi" (HP azaldıkça saldırı gücü artar, max +%15)</t>
  </si>
  <si>
    <t>Aktif: "Kızıl Öfke" (2 tur boyunca saldırı hızı artar)</t>
  </si>
  <si>
    <t>SAVAŞ ÇIRAĞI</t>
  </si>
  <si>
    <t>Pasif: "Hızlı Öğrenme" (Her 5 turda bir saldırı +2)</t>
  </si>
  <si>
    <t>Aktif: "Usta Tekniği" (Bir sonraki saldırı garantili kritik)</t>
  </si>
  <si>
    <t>Zirve Pençesi</t>
  </si>
  <si>
    <t xml:space="preserve">   - Pasif Yetenek: Pençe Gücü – Her saldırıda, hedefin savunması %10 azalır. </t>
  </si>
  <si>
    <t xml:space="preserve">   - Aktif Yetenek: Zirve Darbesi – Bir hedefe devasa bir pençe darbesi indirir, hedefe %30 ek hasar verir ve birkaç saniye boyunca hızını %20 yavaşlatır.</t>
  </si>
  <si>
    <t>Savaşın Efendisi</t>
  </si>
  <si>
    <t xml:space="preserve">   - Pasif Yetenek: Stratejik Zeka – Takım arkadaşlarına %15 hasar azaltma bonusu verir.</t>
  </si>
  <si>
    <t xml:space="preserve">   - Aktif Yetenek: Savaşçı İnisiyatifi – Bir düşman hedefini işaret eder ve tüm takımına hedefe yönelik kritik vuruş şansı verir.</t>
  </si>
  <si>
    <t>Yıldız Savaşçısı</t>
  </si>
  <si>
    <t>- Pasif Yetenek: Yıldız Işığı – Yıldızlı bir ruhla savaşarak, her başarıyla yapılan saldırıda saldırı gücünü %5 artırır.</t>
  </si>
  <si>
    <t xml:space="preserve">   - Aktif Yetenek: Yıldız Fırtınası – Etrafa yanan yıldızlar saçar, çevredeki düşmanlara hasar verir ve onları birkaç saniyeliğine kör eder.</t>
  </si>
  <si>
    <t>Kutsal Asker</t>
  </si>
  <si>
    <t xml:space="preserve">   - Pasif Yetenek: Kutsal Savunma – Her 5 saniyede bir, kendisini %10 oranında iyileştirir.</t>
  </si>
  <si>
    <t xml:space="preserve">   - Aktif Yetenek: İlahi Kalkan – Kutsal bir kalkan oluşturur, tüm takımı 5 saniye boyunca %30 hasar engeller.</t>
  </si>
  <si>
    <t>Kanlı Kalkan</t>
  </si>
  <si>
    <t xml:space="preserve">   - Pasif Yetenek: Kanlı Direnç – Yediği her darbenin %5'ini geri yansıtır.</t>
  </si>
  <si>
    <t xml:space="preserve">   - Aktif Yetenek: Kızıl Kalkan – Tüm hasarı %50 oranında engeller, ancak aldığı hasarın %20’si düşmanlara yansır.</t>
  </si>
  <si>
    <t>Yıkım Avcısı</t>
  </si>
  <si>
    <t>- Pasif Yetenek: Avcı'nın Furyası – Düşmanları her öldürdüğünde saldırı hızını %10 artırır.</t>
  </si>
  <si>
    <t xml:space="preserve">   - Aktif Yetenek: Yıkım Çığlığı – Hedefi korkutur, düşmanın savunmasını %30 azaltır ve bir süre hareketsiz bırakır.</t>
  </si>
  <si>
    <t>Fırtına Çelik</t>
  </si>
  <si>
    <t xml:space="preserve">   - Pasif Yetenek: Fırtına Direnci – Elektrik ve rüzgar etkilerine karşı %25 direnç sağlar.</t>
  </si>
  <si>
    <t xml:space="preserve">   - Aktif Yetenek: Fırtına Yıkımı – Etrafındaki düşmanları şiddetli bir fırtına ile savurur, onları sersemletir ve %20 ekstra hasar verir.</t>
  </si>
  <si>
    <t>Altın Yıldız</t>
  </si>
  <si>
    <t xml:space="preserve">   - Pasif Yetenek: Yıldız Işığı – Yıldızın koruması altında, aldığı hasarın %10'unu geri kazandığı bir iyileştirme sağlar.</t>
  </si>
  <si>
    <t xml:space="preserve">   - Aktif Yetenek: Altın Işın – Altın bir ışık huzmesi ile hedefe yüksek hasar verir ve çevresindeki düşmanları parçalara ayırır.</t>
  </si>
  <si>
    <t xml:space="preserve"> Ölümsüz Kılıç</t>
  </si>
  <si>
    <t xml:space="preserve">   - Pasif Yetenek: Ölümsüzlük – Her öldürdüğü düşmandan sonra, %10'luk bir sağlık yenileme sağlar.</t>
  </si>
  <si>
    <t xml:space="preserve">   - Aktif Yetenek: Kılıç Yücelmesi – Kılıcını kutsar ve tüm saldırılarına ek %50 hasar verir.</t>
  </si>
  <si>
    <t>Şimşek Askeri</t>
  </si>
  <si>
    <t xml:space="preserve">   - Pasif Yetenek: Fırtına Hızı – Şimşek hızıyla hareket eder, hareket hızını %20 artırır.</t>
  </si>
  <si>
    <t xml:space="preserve">   - Aktif Yetenek: Şimşek Yıldırımı – Düşmanlarına şimşekle çarpar, hem hasar verir hem de etrafındaki düşmanları 3 saniye boyunca sersemletir.</t>
  </si>
  <si>
    <t>Büyük Çelik Avcı</t>
  </si>
  <si>
    <t xml:space="preserve">   - Pasif Yetenek: Çelik Savunma – Saldırı aldıkça savunma gücünü artırır, her hasar sonrası %5 oranında savunma artırır.</t>
  </si>
  <si>
    <t xml:space="preserve">   - Aktif Yetenek: Çelik Avcı Vuruşu – Güçlü bir çelik darbesiyle tek bir hedefe yüksek miktarda hasar verir.</t>
  </si>
  <si>
    <t>Kara Pençe</t>
  </si>
  <si>
    <t xml:space="preserve">   - Pasif Yetenek: Pençe Savunması – Savunmada %20 artış sağlar, özellikle yakın dövüşlerde güçlüdür.</t>
  </si>
  <si>
    <t xml:space="preserve">   - Aktif Yetenek: Kara Pençe İntikamı – Pençesini karanlık bir şekilde büyüterek hedefe büyük bir darbe indirir ve düşmanı 2 saniye boyunca sersemletir.</t>
  </si>
  <si>
    <t>İntikamcı Kılıç</t>
  </si>
  <si>
    <t xml:space="preserve">   - Pasif Yetenek: İntikam İradesi – Düşmanları öldürdükçe saldırı hızını artırır.</t>
  </si>
  <si>
    <t xml:space="preserve">   - Aktif Yetenek: Kılıç İntikamı – Tüm düşmanlara karşı kritik vuruş oranını %30 artıran ve yüksek hasar veren bir saldırı yapar.</t>
  </si>
  <si>
    <t>Kara Aslan</t>
  </si>
  <si>
    <t xml:space="preserve">   - Pasif Yetenek: Aslanın Yürek Gücü – Güçlü ve cesur bir kalp, her %20 can kaybında saldırı gücünü %15 artırır.</t>
  </si>
  <si>
    <t>Aktif Yetenek: Aslan Pençesi – Bir aslan pençesi gibi hızlı bir saldırı yaparak düşmana %40 ek hasar verir.</t>
  </si>
  <si>
    <t>Ejderha Savaşçısı</t>
  </si>
  <si>
    <t xml:space="preserve">   - Pasif Yetenek: Ejderha Direnci – Ejderhanın gücüyle, ateşe karşı %30 direnç sağlar.</t>
  </si>
  <si>
    <t xml:space="preserve">   - Aktif Yetenek: Ejderha Kükremesi – Hedefi büyük bir ateş dalgasıyla vurur ve çevredeki düşmanları ateşe verir.</t>
  </si>
  <si>
    <t>Taçsız Muhafız</t>
  </si>
  <si>
    <t xml:space="preserve">   - Pasif Yetenek: Kraliyet Gücü – Taht kılıcı, her saldırıda rakipten bir miktar can çalar.</t>
  </si>
  <si>
    <t xml:space="preserve">   - Aktif Yetenek: Taçsız Muhafız Darbesi – Kraliyet kılıcıyla hedefe müthiş bir darbe indirir, ekstra hasar vererek rakibi zayıflatır.</t>
  </si>
  <si>
    <t>Fırtına Zırhlı</t>
  </si>
  <si>
    <t xml:space="preserve">   - Pasif Yetenek: Fırtına Direnci – Yıldırım ve rüzgar etkilerine karşı direnç sağlar ve bu saldırılar %50 daha az hasar verir.</t>
  </si>
  <si>
    <t>Aktif Yetenek: Fırtına Kalkanı – Fırtına kalkanı açarak tüm takımı 5 saniyeliğine %40 daha az hasar almasını sağlar.</t>
  </si>
  <si>
    <t>Alevli Savaşçı</t>
  </si>
  <si>
    <t xml:space="preserve">   - Pasif Yetenek: Alev Direnci – Ateşe karşı %25 daha az hasar alır.</t>
  </si>
  <si>
    <t xml:space="preserve">   - Aktif Yetenek: Alev Kılıcı – Kılıcını alevle sararak her saldırısında ekstra yanıcı hasar verir.</t>
  </si>
  <si>
    <t>Güçlü Savaş Efendisi</t>
  </si>
  <si>
    <t xml:space="preserve">   - Pasif Yetenek: Güç Artışı – Gücü arttıkça saldırı hızı da %10 artar.</t>
  </si>
  <si>
    <t xml:space="preserve">   - Aktif Yetenek: Efendi'nin Gazabı – Çevredeki tüm düşmanlara güçlü bir darbeyle hasar verir ve onları kısa süreliğine hareketsiz bırakır.</t>
  </si>
  <si>
    <t>Yıkıcı Gladyatör</t>
  </si>
  <si>
    <t xml:space="preserve">   - Pasif Yetenek: Gladyatör Yıkımı – Düşmanı her öldürdüğünde saldırı gücü %5 artar.</t>
  </si>
  <si>
    <t>Aktif Yetenek: Yıkıcı Darbe – Gladyatör, tek bir darbeyle tüm düşmanlara büyük bir hasar verir.</t>
  </si>
  <si>
    <t>Kutsal Zırh</t>
  </si>
  <si>
    <t xml:space="preserve">   - Pasif Yetenek: Kutsal Koruma – Her 5 saniyede bir, kendisini %5 oranında iyileştirir. Ayrıca tüm takımına %10 savunma artırıcı bir pasif sağlar.</t>
  </si>
  <si>
    <t xml:space="preserve">   - Aktif Yetenek: Kutsal Kalkan – Kutsal bir zırh çağırarak, çevredeki tüm takım arkadaşlarını 5 saniyeliğine %50 hasar engeller.</t>
  </si>
  <si>
    <t>Ejderha Kafalı</t>
  </si>
  <si>
    <t xml:space="preserve">   - Pasif Yetenek: Ejderha Gücü – Saldırı gücü ve savunması, her öldürdüğü düşman başına %3 artar.</t>
  </si>
  <si>
    <t xml:space="preserve">   - Aktif Yetenek: Ejderha Kükremesi – Ejderha kafasını kullanarak büyük bir alev dalgası fırlatır. Hedefe %40 hasar verir ve düşmanı birkaç saniye boyunca yanık etkisiyle hasar almaya devam eder.</t>
  </si>
  <si>
    <t>Büyük Kanlı Asker</t>
  </si>
  <si>
    <t>- Pasif Yetenek: Kanlı Direnç – Her aldığı hasarın %15'ini geri yansıtır. Ayrıca öldürdüğü her düşman sonrası sağlık barı %5 iyileşir.</t>
  </si>
  <si>
    <t xml:space="preserve">   - Aktif Yetenek: Kanlı Yıkım – Büyü gücüyle rakibini kanla yavaşlatır ve %50 ekstra hasar verir. Ayrıca yakınındaki düşmanlara da küçük bir kanlı darbe ile hasar verir.</t>
  </si>
  <si>
    <t>Zırhlı Efendi</t>
  </si>
  <si>
    <t xml:space="preserve">   - Pasif Yetenek: Zırh Ustalığı – Zırh kullanarak savunması %20 artar. Ayrıca, her öldürdüğü düşman sonrası zırhı %5 daha güçlenir.</t>
  </si>
  <si>
    <t xml:space="preserve">   - Aktif Yetenek: Zırh Kalkanı – Kendisini büyük bir zırh kalkanı ile sarar ve 10 saniyeliğine %30 daha az hasar almasını sağlar.</t>
  </si>
  <si>
    <t>Fırtına Kılıcı</t>
  </si>
  <si>
    <t>- Pasif Yetenek: Fırtına Hızı – Saldırı hızını %20 artırır ve her saldırıda küçük bir elektriksel patlama meydana gelir, çevresindeki düşmanlara %10 hasar verir.</t>
  </si>
  <si>
    <t xml:space="preserve">   - Aktif Yetenek: Fırtına Kılıcı Yıldırımı – Kılıcını şimşeklerle çevreler, hedefe %50 ekstra hasar verir ve yakındaki düşmanlara şimşek darbeleri gönderir.</t>
  </si>
  <si>
    <t>Kutsal Pençe</t>
  </si>
  <si>
    <t xml:space="preserve">   - Pasif Yetenek: Kutsal Güç – Pençeleri kutsal bir güçle sarılıdır, her saldırıda %15 ek hasar verir. Ayrıca her 10 saniyede bir, canını %5 yeniler.</t>
  </si>
  <si>
    <t xml:space="preserve">   - Aktif Yetenek: Kutsal Pençe Darbesi – Pençeleriyle güçlü bir darbe yapar, hedefe %40 hasar verir ve 2 saniye boyunca rakibi savunmasız bırakır.</t>
  </si>
  <si>
    <t>Zirve Efendisi</t>
  </si>
  <si>
    <t>- Pasif Yetenek: Zirve Direnci – Yüksek zirvede savaşmanın verdiği yetenekle, aldığı hasarın %20'sini savunma gücüne dönüştürür. Ayrıca her seviyede savunması artar.</t>
  </si>
  <si>
    <t xml:space="preserve">   - Aktif Yetenek: Zirve Darbesi – Zirveden gelen kuvvetle, düşmanına büyük bir darbeyle saldırır, %50 ekstra hasar verir ve rakibin hareket hızını %30 azaltır.</t>
  </si>
  <si>
    <t xml:space="preserve"> Fırtına Lordu</t>
  </si>
  <si>
    <t xml:space="preserve">   - Pasif Yetenek: Fırtına Egemenliği – Hava elemanlarıyla bağlantılıdır, her 10 saniyede bir, etrafındaki düşmanlara %10 rüzgar hasarı verir.</t>
  </si>
  <si>
    <t xml:space="preserve">   - Aktif Yetenek: Fırtına İmparatorluğu – Fırtına lordu, etrafındaki tüm düşmanlara büyük bir fırtına yaratır, %40 hasar verir ve 2 saniye boyunca düşmanları yavaşlatır.</t>
  </si>
  <si>
    <t>Çelik Savaşçı</t>
  </si>
  <si>
    <t>- Pasif Yetenek: Çelik Direnci – Savunma gücü %25 artar ve aldığı darbenin %10'u geri yansır.</t>
  </si>
  <si>
    <t xml:space="preserve">   - Aktif Yetenek: Çelik Darbesi – Kendisini çelik bir kalkanla sarar, ardından düşmanına %50 çelik hasarı verir ve etrafındaki düşmanları savunmasız bırakır.</t>
  </si>
  <si>
    <t>NADİR SAVAŞÇILAR</t>
  </si>
  <si>
    <t>ALEV KILICI:</t>
  </si>
  <si>
    <t>Pasif: "Yakıcı Darbe" (Saldırılar %20 yanma hasarı ekler)</t>
  </si>
  <si>
    <t>Aktif: "Alev Patlaması" (Çevreye alan hasarı ve yanma)</t>
  </si>
  <si>
    <t>FIRTINA DÖVÜŞÇÜSÜ</t>
  </si>
  <si>
    <t>Pasif: "Rüzgar Adımı" (Kaçınma şansı +%15)</t>
  </si>
  <si>
    <t>Aktif: "Fırtına Darbesi" (3 hedefe zincirleme saldırı)</t>
  </si>
  <si>
    <t>DÖVÜŞ USTASI</t>
  </si>
  <si>
    <t>Pasif: "Dövüş Sanatı" (Combo başına hasar +%5, max 5 stack)</t>
  </si>
  <si>
    <t>Aktif: "Usta Vuruşu" (Tüm comboları harcayarak güçlü vuruş)</t>
  </si>
  <si>
    <t>Şimşek Dövüşçüsü</t>
  </si>
  <si>
    <t xml:space="preserve">   - Pasif Yetenek: Elektrik Hızı – Her saldırısı, %15 ekstra elektriksel hasar verir. Ayrıca her saldırı sonrasında hareket hızı %10 artar (5 saniyeliğine).</t>
  </si>
  <si>
    <t xml:space="preserve">   - Aktif Yetenek: Şimşek Çığlığı – Şimşek ile dolu bir saldırı yapar, hedefe %50 hasar verir ve çevresindeki düşmanları kısa bir süre için (%2 saniye) sersemletir.</t>
  </si>
  <si>
    <t>Büyük Çelik Lordu</t>
  </si>
  <si>
    <t xml:space="preserve">   - Pasif Yetenek: Çelik Yıkımı – Çelikten yapılmış vücut her aldığı hasarın %20'sini geri yansıtır. Ayrıca her öldürdüğü düşman sonrası savunma gücü %10 artar.</t>
  </si>
  <si>
    <t>- Aktif Yetenek: Çelik Fırtınası – Çelikten bir şok dalgası yayar, tüm düşmanlara %40 hasar verir ve onları 2 saniye boyunca yavaşlatır.</t>
  </si>
  <si>
    <t>Altın Pençe</t>
  </si>
  <si>
    <t xml:space="preserve">   - Pasif Yetenek: Altın Saldırı – Her kritik vuruş, %25 ek altın hasarı verir. Ayrıca her saldırıda altın parıltısı yayarak düşmanları yavaşlatır.</t>
  </si>
  <si>
    <t xml:space="preserve">   - Aktif Yetenek: Pençe Yıkımı – Altın pençelerini hızla düşmanına saplar ve %60 hasar verir, ayrıca rakipleri 2 saniyeliğine sersemletir.</t>
  </si>
  <si>
    <t>Savaş Ruhlu</t>
  </si>
  <si>
    <t xml:space="preserve">   - Pasif Yetenek: Ruh Direnci – Her aldığı hasarın %10'unu bağışıklık olarak geri alır. Ayrıca öldürdüğü her düşman, ruh gücünü %5 artırır.</t>
  </si>
  <si>
    <t xml:space="preserve">   - Aktif Yetenek: Ruhsal Çığlık – Savaş ruhunun gücünü serbest bırakır, hedefe %50 hasar verir ve çevredeki düşmanları sersemletir.</t>
  </si>
  <si>
    <t>Zirve Kılıcı</t>
  </si>
  <si>
    <t xml:space="preserve">   - Pasif Yetenek: Zirve Gücü – Saldırı ve savunma gücü her 5 saniyede bir %5 artar. Bu bonus, her öldürdüğü düşmanla %3 daha fazla olur.</t>
  </si>
  <si>
    <t xml:space="preserve">   - Aktif Yetenek: Zirve Darbesi – Kılıcını zirveden gelen güçle vurur ve %70 hasar verir. Hedefi savunmasız bırakır ve 2 saniye boyunca kritik vuruş şansı %20 artar.</t>
  </si>
  <si>
    <t>Kıyamet Askeri</t>
  </si>
  <si>
    <t xml:space="preserve">   - Pasif Yetenek: Kıyamet Hızı – Savaş başladığında saldırı hızı %20 artar. Her öldürdüğü düşmanla bu hız artışı %5 daha fazla olur.</t>
  </si>
  <si>
    <t xml:space="preserve">   - Aktif Yetenek: Kıyamet Çöküşü – Kıyamet gücünü serbest bırakır ve düşmanına %80 hasar verir. Ayrıca düşmanlarının hareket hızı %30 azalır.</t>
  </si>
  <si>
    <t>Gök Yıldızı</t>
  </si>
  <si>
    <t>Pasif Yetenek: Yıldız Işığı – Saldırıları, hedefin savunmasını %15 azaltır. Ayrıca her 5 saniyede bir kendisini %5 iyileştirir.</t>
  </si>
  <si>
    <t xml:space="preserve">   - Aktif Yetenek: Yıldız Patlaması – Gökyüzünden bir yıldız düşürür, hedefe %60 hasar verir ve çevresindeki düşmanları sersemletir.</t>
  </si>
  <si>
    <t>Ejderha Pençesi</t>
  </si>
  <si>
    <t xml:space="preserve">   - Pasif Yetenek: Ejderha Vuruşu – Her kritik vuruş, %30 ekstra ateş hasarı verir. Ayrıca her öldürdüğü düşman sonrası ateş savunması %10 artar.</t>
  </si>
  <si>
    <t xml:space="preserve">   - Aktif Yetenek: Ejderha Pençesi Saldırısı – Pençelerini güçlendirir ve düşmanına büyük bir darbeyle saldırır. Hedefe %50 hasar verir ve çevresindeki düşmanları 2 saniye boyunca ateşe verir.</t>
  </si>
  <si>
    <t>Fırtına Efendisi</t>
  </si>
  <si>
    <t>Pasif Yetenek: Fırtına Koruması – Her 10 saniyede bir, etrafındaki düşmanlara küçük bir fırtına darbesi gönderir ve onlara %10 hasar verir.</t>
  </si>
  <si>
    <t xml:space="preserve">   - Aktif Yetenek: Fırtına Yıkımı – Güçlü bir fırtına çağırarak tüm düşmanlara %60 hasar verir ve onları yavaşlatır.</t>
  </si>
  <si>
    <t>Çelik Yıldız</t>
  </si>
  <si>
    <t xml:space="preserve">   - Pasif Yetenek: Yıldız Savunması – Her aldığı hasarın %20'sini geri çevirir. Ayrıca her öldürdüğü düşman sonrası, bir süreliğine savunma gücü %10 artar.</t>
  </si>
  <si>
    <t xml:space="preserve">   - Aktif Yetenek: Yıldız Darbesi – Çelikten yapılmış bir yıldız savurur, düşmana %50 hasar verir ve onları 1 saniyeliğine sersemletir.</t>
  </si>
  <si>
    <t>Alev Yürekli</t>
  </si>
  <si>
    <t xml:space="preserve">   - Pasif Yetenek: Alev Direnci – Her 5 saniyede bir, kendisini %10 ateş hasarına karşı korur. Ayrıca ateş saldırılarının %20'sini geri yansıtır.</t>
  </si>
  <si>
    <t>- Aktif Yetenek: Alev Patlaması – Büyük bir ateş patlaması meydana getirir, düşmanlarına %60 hasar verir ve 3 saniye boyunca yanmalarına neden olur.</t>
  </si>
  <si>
    <t>Kanlı Şövalye</t>
  </si>
  <si>
    <t xml:space="preserve">   - Pasif Yetenek: Kanlı Direnç – Her öldürdüğü düşman için sağlık kazanır ve her saldırıda %15 ek hasar verir.</t>
  </si>
  <si>
    <t xml:space="preserve">   - Aktif Yetenek: Kanlı Zırh – Kendisini kanla sararak %50 hasar engeller. Ayrıca çevresindeki düşmanlara %20 hasar verir.</t>
  </si>
  <si>
    <t>Güçlü Savaşçı</t>
  </si>
  <si>
    <t xml:space="preserve">   - Pasif Yetenek: Güçlü Vuruş – Saldırı gücü %15 artar ve her 10 saniyede bir ekstra güç kazanır.</t>
  </si>
  <si>
    <t xml:space="preserve">   - Aktif Yetenek: Güçlü Saldırı – Kendisini tamamen güçlendirir, hedefe %60 hasar verir ve 3 saniye boyunca kritik vuruş şansı %25 artar.</t>
  </si>
  <si>
    <t>ENDER SAVAŞÇILAR</t>
  </si>
  <si>
    <t>KARA ŞÖVALYE</t>
  </si>
  <si>
    <t>Pasif: "Karanlık Güç" (Gece vakti hasar +%30)</t>
  </si>
  <si>
    <t>Aktif: "Karanlık Patlama" (Çevreye karanlık hasarı)</t>
  </si>
  <si>
    <t>KUTSAL KILIÇ</t>
  </si>
  <si>
    <t>Pasif: "Kutsal Darbe" (Her 3. vuruş kutsal hasar)</t>
  </si>
  <si>
    <t>Aktif: "Tanrı Kılıcı" (Büyük tek vuruş kutsal hasarı)</t>
  </si>
  <si>
    <t>SAVAŞ LORDU</t>
  </si>
  <si>
    <t>Pasif: "Savaş Deneyimi" (Kritik şansı +%20)</t>
  </si>
  <si>
    <t>Aktif: "Komutan Emri" (Takıma 2 tur saldırı bonusu)</t>
  </si>
  <si>
    <t>Efsanevi Zırhlı</t>
  </si>
  <si>
    <t xml:space="preserve">   - Pasif Yetenek: Efsanevi Direnç – Her aldığı hasarın %25’ini kalkanına yansıtır. Ayrıca, zırhı sayesinde her 10 saniyede bir %5 ekstra can yeniler.</t>
  </si>
  <si>
    <t xml:space="preserve">   - Aktif Yetenek: Zırh Kalkanı – Zırhını güçlendirir ve kendisini 5 saniye boyunca %50 hasar engellemeye alır. Ayrıca, çevresindeki tüm düşmanları yavaşlatır (%20).</t>
  </si>
  <si>
    <t>Fırtına Aslanı</t>
  </si>
  <si>
    <t xml:space="preserve">   - Pasif Yetenek: Aslanın Öfkesi – Savaş başladığında saldırı gücü %15 artar. Her öldürdüğü düşman sonrasında bu bonus %5 daha fazla artar.</t>
  </si>
  <si>
    <t>- Aktif Yetenek: Fırtına Pençesi – Hızla fırtına gibi hareket eder ve düşmanlarına %60 hasar verir. Bu saldırı, bir süreliğine düşmanları yavaşlatır (%30).</t>
  </si>
  <si>
    <t>Ateşli Kılıç</t>
  </si>
  <si>
    <t xml:space="preserve">   - Pasif Yetenek: Alevin Öfkesi – Her saldırı, hedefe %20 ateş hasarı verir. Ayrıca, her kritik vuruş, düşmanları %10 daha uzun süre yanma etkisi altında bırakır.</t>
  </si>
  <si>
    <t xml:space="preserve">   - Aktif Yetenek: Alev Kılıcı – Kılıcını alevle kuşatarak rakiplerine %80 ateş hasarı verir ve onları 3 saniyeliğine alevle yakar.</t>
  </si>
  <si>
    <t>Yıkıcı Şövalye</t>
  </si>
  <si>
    <t xml:space="preserve">   - Pasif Yetenek: Yıkıcı Direnç – Saldırılar %10 daha fazla hasar verir ve her öldürdüğü düşman sonrasında kendisini %5 iyileştirir.</t>
  </si>
  <si>
    <t>- Aktif Yetenek: Şövalye'nin Yıkımı – Büyük bir zıplama yaparak düşmanlarına %70 hasar verir ve onları yere serer. Bu hareket çevresindeki tüm düşmanlara da %25 hasar verir.</t>
  </si>
  <si>
    <t>Gölge Kalkanı</t>
  </si>
  <si>
    <t xml:space="preserve">   - Pasif Yetenek: Gölge Savunması – Her 5 saniyede bir, aldığı hasarın %10'unu geçici kalkan olarak geri alır. Ayrıca, kalkanı hasar aldıkça büyür.</t>
  </si>
  <si>
    <t xml:space="preserve">   - Aktif Yetenek: Gölge Kalkanı – Kendini gölgelere sararak %70 hasar engellemeye alır. Kalkan, birkaç saniye sonra etrafındaki düşmanlara %30 hasar verir ve onları yavaşlatır.</t>
  </si>
  <si>
    <t>EFSANEVİ SAVAŞÇILAR</t>
  </si>
  <si>
    <t>ZAFER MELEĞİ:</t>
  </si>
  <si>
    <t>Pasif: "Zafer Aurası" (Takıma +%10 saldırı)</t>
  </si>
  <si>
    <t>Aktif: "Melek Kılıcı" (Büyük alan hasarı ve iyileştirme)</t>
  </si>
  <si>
    <t>KIYAMET SAVAŞÇISI:</t>
  </si>
  <si>
    <t>Pasif: "Son Savaş" (HP azaldıkça hasar artar, max +%50)</t>
  </si>
  <si>
    <t>Aktif: "Kıyamet Çağrısı" (Tüm düşmanlara +%25 hasar)</t>
  </si>
  <si>
    <t>EFSANE GLADYATÖR:</t>
  </si>
  <si>
    <t>Pasif: "Arena Ustası" (Her öldürme sonrası güç +%10)</t>
  </si>
  <si>
    <t>Aktif: "Gladyatör Öfkesi" (3 tur süper güçlenme)</t>
  </si>
  <si>
    <t>Karanlık Savaşçı</t>
  </si>
  <si>
    <t xml:space="preserve">Pasif Yetenek: Karanlık Hırsı  </t>
  </si>
  <si>
    <t>- Açıklama: Her başarılı öldürme sonrası Karanlık Savaşçı, saldırı gücünü %10 artırır. Bu etki, ardışık öldürmelerle kademeli olarak %50'ye kadar çıkabilir. Bu pasif, savaş boyunca karakterin saldırı gücünü güçlendirerek hızlı bir şekilde daha ölümcül hale gelmesini sağlar.</t>
  </si>
  <si>
    <t>Aktif Yetenek: Gölge Patlaması</t>
  </si>
  <si>
    <t>- Açıklama: Karanlık Savaşçı, etrafındaki düşmanlara yoğun bir gölge enerjisi patlaması gönderir. Bu patlama, tüm rakiplere %100 fiziksel hasar verir ve onları 1 tur boyunca susturur (yetenek kullanmalarını engeller). Kullanım süresi 5 turda bir yenilenir. Bu yetenek, Karanlık Savaşçı'nın savaşın gidişatını değiştirebilmesi için büyük bir fırsat yaratır.</t>
  </si>
  <si>
    <t>MULTI SAVAŞÇILAR</t>
  </si>
  <si>
    <t>SAVAŞ TANRISI:</t>
  </si>
  <si>
    <t>Pasif: "Tanrısal Öfke" (Hasar ve hız sürekli artar)</t>
  </si>
  <si>
    <t>Aktif: "Tanrı Gazabı" (Tüm arenaya yıkıcı hasar)</t>
  </si>
  <si>
    <t>KAOS ŞAMPIYONU:</t>
  </si>
  <si>
    <t>Pasif: "Kaos Gücü" (Rastgele güçlü efektler)</t>
  </si>
  <si>
    <t>Aktif: "Kaos Fırtınası" (Kontrol edilemez yıkım alanı)</t>
  </si>
  <si>
    <t>YAYGIN SUİKASTÇILAR</t>
  </si>
  <si>
    <t>GÖLGE ÇIRAĞI:</t>
  </si>
  <si>
    <t>Pasif: "Karanlıkta Görüş" (Arkadan saldırılar %15 güçlü)</t>
  </si>
  <si>
    <t>Aktif: "Gölge Adımı" (Kısa mesafe ışınlanma)</t>
  </si>
  <si>
    <t>ZEHİR BIÇAĞI:</t>
  </si>
  <si>
    <t>Pasif: "Zehirli Darbe" (Saldırılar %10 zehir hasarı ekler)</t>
  </si>
  <si>
    <t>Aktif: "Zehir Bulutu" (Alan zehir hasarı)</t>
  </si>
  <si>
    <t>HIZLI BIÇAK</t>
  </si>
  <si>
    <t>Pasif: "Çeviklik" (İlk saldırıda %20 kaçınma şansı)</t>
  </si>
  <si>
    <t>Aktif: "Hızlı Kesim" (3 hızlı saldırı)</t>
  </si>
  <si>
    <t>Zehirli Pençe</t>
  </si>
  <si>
    <t>Pasif: "Kan Zehri" – Yakın dövüş saldırıları, 5 saniye boyunca hedefi zehirler (%8 ekstra hasar).</t>
  </si>
  <si>
    <t>Aktif: "Zehirli Saldırı" – Pençelerini zehirle kaplayarak 3 saldırı boyunca %20 ekstra zehir hasarı verir.</t>
  </si>
  <si>
    <t>Kritik Gölge</t>
  </si>
  <si>
    <t>Pasif: "Gölge Keskinliği" – Kritik vuruş şansı %10 artar.</t>
  </si>
  <si>
    <t>Aktif: "Ölümcül Darbe" – Kritik vuruş yapıldığında hedefi 2 saniye yavaşlatır.</t>
  </si>
  <si>
    <t>Karabasan</t>
  </si>
  <si>
    <t>Pasif: "Kabusun Çağrısı" – Düşmana vurduğunda %5 ihtimalle onu 1 saniyeliğine korkutur.</t>
  </si>
  <si>
    <t>Aktif: "Kabus Çöküşü" – Düşmana kabus göstererek 3 saniyeliğine sersemletir.</t>
  </si>
  <si>
    <t>Gizli Yıkıcı</t>
  </si>
  <si>
    <t>Pasif: "Örtülü Tehdit" – Saldırılardan sonra görünmezlik süresi 1 saniye uzar.</t>
  </si>
  <si>
    <t>Aktif: "Ani Yok Oluş" – Kısa süreliğine görünmez olur, bir sonraki saldırısı %30 fazla hasar verir.</t>
  </si>
  <si>
    <t>Karanlık Vekil</t>
  </si>
  <si>
    <t>Pasif: "Gölge Direnci" – Gölge hasarına karşı %15 direnç kazanır.</t>
  </si>
  <si>
    <t>Aktif: "Vekil Çağrısı" – Kendisinin karanlık bir kopyasını oluşturup dikkat dağıtır.</t>
  </si>
  <si>
    <t>Şafak Sinsi</t>
  </si>
  <si>
    <t>Pasif: "Gece Avcısı" – Geceleri saldırı gücü %10 artar.</t>
  </si>
  <si>
    <t>Aktif: "Sessiz Adım" – Çevredeki düşmanları uyarılmadan arkadan saldırabilir.</t>
  </si>
  <si>
    <t>Yüksek Savaşçı</t>
  </si>
  <si>
    <t>Pasif: "Elit Eğitimi" – Silah ustalığı %10 artar.</t>
  </si>
  <si>
    <t>Aktif: "Ölüm Darbesi" – Hedefin zayıf noktasına vurarak %150 hasar verir.</t>
  </si>
  <si>
    <t>Gizli Gözcü</t>
  </si>
  <si>
    <t>Pasif: "İz Sürücü" – Gizli düşmanları %20 daha kolay fark eder.</t>
  </si>
  <si>
    <t>Aktif: "Gözcü Bıçağı" – Uzak mesafeden düşman konumlarını açığa çıkarır.</t>
  </si>
  <si>
    <t>Ölümsüz Gölge</t>
  </si>
  <si>
    <t>Pasif: "Gölge Yenilenmesi" – Öldürdüğü her düşmanda %5 can yeniler.</t>
  </si>
  <si>
    <t>Aktif: "Gölge Kayması" – Hasar aldığında gölgeye dönüşüp 2 saniye boyunca zarar görmez.</t>
  </si>
  <si>
    <t>Sessiz Yıkıcı</t>
  </si>
  <si>
    <t>Pasif: "Ölüm Sessizliği" – İlk saldırısı %15 daha fazla hasar verir.</t>
  </si>
  <si>
    <t>Aktif: "Ani Katliam" – Düşmanın arkasına ışınlanarak güçlü bir darbe indirir.</t>
  </si>
  <si>
    <t>Gölge Avcısı</t>
  </si>
  <si>
    <t>Pasif: "Avcının Duyuları" – Yakındaki düşük cana sahip düşmanları hisseder.</t>
  </si>
  <si>
    <t>Aktif: "Gölge Saldırısı" – Uzaktaki düşmana gölgelerle saldırıp %120 hasar verir.</t>
  </si>
  <si>
    <t>Korku İmparatoru</t>
  </si>
  <si>
    <t>Pasif: "Baskı Gölgesi" – Yakınındaki düşmanların saldırı gücü %5 azalır.</t>
  </si>
  <si>
    <t>Aktif: "Mutlak Korku" – Tüm düşmanları 3 saniyeliğine korkutur.</t>
  </si>
  <si>
    <t>Savaş Fısıldayıcısı</t>
  </si>
  <si>
    <t>Pasif: "Zihinsel Üstünlük" – Kritik vuruş hasarı %10 artar.</t>
  </si>
  <si>
    <t>Aktif: "Kan Fısıltısı" – Düşmanın zihnine saldırarak sersemletir.</t>
  </si>
  <si>
    <t>Kritik Fırtına</t>
  </si>
  <si>
    <t>Pasif: "Keskin Hançer" – Kritik vuruş ihtimali %12 artar.</t>
  </si>
  <si>
    <t>Aktif: "Ölüm Yağmuru" – 5 hançeri aynı anda fırlatarak çoklu saldırı yapar.</t>
  </si>
  <si>
    <t>Karabüyücü Suikastçı</t>
  </si>
  <si>
    <t>Pasif: "Kara Lanet" – Büyü saldırılarında %8 ekstra gölge hasarı ekler.</t>
  </si>
  <si>
    <t>Aktif: "Ruh Yırtıcı" – Büyü enerjisini çekerek düşmanın mana/stamina seviyesini düşürür.</t>
  </si>
  <si>
    <t>Ölümlü Gölge</t>
  </si>
  <si>
    <t>Pasif: "İkinci Şans" – Ölümcül darbede %20 ihtimalle hayatta kalır.</t>
  </si>
  <si>
    <t>Aktif: "Hayalet Kaçışı" – Gölgeye dönüşerek 3 saniye boyunca görünmez olur.</t>
  </si>
  <si>
    <t>Kör Gözlü Suikastçı</t>
  </si>
  <si>
    <t>Pasif: "Keskin Duyular" – Görüşü zayıf ama sesleri algılama yeteneği %25 artar.</t>
  </si>
  <si>
    <t>Aktif: "İçgüdü Saldırısı" – Düşmanın zayıf noktasını hissedip kritik hasar verir.</t>
  </si>
  <si>
    <t>Gölgeler Arasında</t>
  </si>
  <si>
    <t>Pasif: "Gölge Kayboluşu" – Gölgelik alanlarda 1.5 saniyede bir görünmez olur.</t>
  </si>
  <si>
    <t>Aktif: "Sessiz Geçiş" – Gölgeler arasında 5 metre ışınlanır.</t>
  </si>
  <si>
    <t>Fısıldayan Hançer</t>
  </si>
  <si>
    <t>Pasif: "Sessiz Öfke" – Hançer saldırıları %10 daha fazla hasar verir.</t>
  </si>
  <si>
    <t>Aktif: "Ölümün Fısıltısı" – Hançerini atarak düşmanı 2 tur etkisiz hale getirir hamle yapmaz .</t>
  </si>
  <si>
    <t>Gizlilik Tanrısı</t>
  </si>
  <si>
    <t>Pasif: "Görünmez Kral" – Hareket etmeyince tamamen görünmez olur.</t>
  </si>
  <si>
    <t>Aktif: "Tanrısal Yok Oluş" – 6 saniyeliğine tamamen görünmez olup ilk saldırısını %50 güçlendirir.</t>
  </si>
  <si>
    <t>Sonsuz Bıçak</t>
  </si>
  <si>
    <t>Pasif: "Bitmeyen Saldırı" – Seri saldırılar yaparken hız %5 artar.</t>
  </si>
  <si>
    <t>Aktif: "Bıçak Yağmuru" – 10 hançeri rastgele fırlatarak alan hasarı verir.</t>
  </si>
  <si>
    <t>Gece Yılanı</t>
  </si>
  <si>
    <t>Pasif: "Sinsi Zehir" – Zehirli saldırılar ek olarak düşmanı 2 saniye yavaşlatır.</t>
  </si>
  <si>
    <t>Aktif: "Karanlık Isırık" – Düşmanı 4 saniyeliğine felç eden zehirli saldırı yapar.</t>
  </si>
  <si>
    <t>Karanlık Fısıldayıcı</t>
  </si>
  <si>
    <t>Pasif: "Gölge Fısıltısı" – Düşmanların duyduğu sesleri bozarak fark edilmeyi zorlaştırır.</t>
  </si>
  <si>
    <t>Aktif: "Fısıltının Kıyameti" – Hedefin zihnine girerek sersemletir.</t>
  </si>
  <si>
    <t>Kritik Kara Pençe</t>
  </si>
  <si>
    <t>Pasif: "Ölümcül Pençe" – Kritik vuruş hasarı %15 artar.</t>
  </si>
  <si>
    <t>Aktif: "Pençe Patlaması" – Hedefe 3 hızlı pençe saldırısı yaparak kritik vurma şansını artırır.</t>
  </si>
  <si>
    <t>Hayalet Avcısı</t>
  </si>
  <si>
    <t>Pasif: "Ruh Dedektörü" – Görünmez hedefleri %30 daha kolay tespit eder.</t>
  </si>
  <si>
    <t>Aktif: "Hayalet Tuzağı" – Görünmez düşmanı açığa çıkaran enerji dalgası yayar.</t>
  </si>
  <si>
    <t>Sinsi Kılıç</t>
  </si>
  <si>
    <t>Pasif: "Kusursuz Çekiş" – Kılıç saldırıları düşmanı %10 yavaşlatır.</t>
  </si>
  <si>
    <t>Aktif: "Ani Katliam" – Düşmanın arkasına geçip tek bir öldürücü darbe indirir.</t>
  </si>
  <si>
    <t>Zehirli Savaşçı</t>
  </si>
  <si>
    <t>Pasif: "Beden Zehri" – Kendisine saldıran düşmanlara %5 zehir hasarı yansıtır.</t>
  </si>
  <si>
    <t>Aktif: "Zehir Dalgası" – Etrafına bir zehir bulutu yayarak alan hasarı verir.</t>
  </si>
  <si>
    <t>Fırtınalı Gölge</t>
  </si>
  <si>
    <t>Pasif: "Şimşek Hızı" – Kritik vuruş yaptıktan sonra %10 hız kazanır.</t>
  </si>
  <si>
    <t>Aktif: "Fırtına Kesiği" – Düşmanın etrafında döner ve 3 hızlı saldırı yapar.</t>
  </si>
  <si>
    <t>NADİR SUİKASTÇILAR</t>
  </si>
  <si>
    <t>KANLI GÖLGE:</t>
  </si>
  <si>
    <t>Pasif: "Kan İzleyici" (Yaralı hedeflere %20 fazla hasar)</t>
  </si>
  <si>
    <t>Aktif: "Kanlı Dans" (Çoklu hedefe kanama efekti)</t>
  </si>
  <si>
    <t>SESSİZ AVCI</t>
  </si>
  <si>
    <t>Pasif: "Gizli Yaklaşım" (Görünmezken ilk vuruş garantili kritik)</t>
  </si>
  <si>
    <t>Aktif: "Karanlığa Karışma" (3 sn görünmezlik)</t>
  </si>
  <si>
    <t>GECE AVCISI:</t>
  </si>
  <si>
    <t>Pasif: "Gece Görüşü" (Gece vakti hasar +%25)</t>
  </si>
  <si>
    <t>Aktif: "Gölge Pençesi" (Uzak mesafeden çekme ve saldırı)</t>
  </si>
  <si>
    <t>Zehirli İntikamcı</t>
  </si>
  <si>
    <t>Pasif: "Kan Zehri" – Zehirli saldırılar düşmanın iyileşme hızını %20 azaltır.</t>
  </si>
  <si>
    <t>Aktif: "İntikam Zehri" – Düşmana vurduğunda, aldığı hasarın %30’unu 3 saniye boyunca geri yansıtır.</t>
  </si>
  <si>
    <t>Büyük Tehlike</t>
  </si>
  <si>
    <t>Pasif: "Korku Efendisi" – Yakınındaki düşmanların kritik vuruş şansı %10 azalır.</t>
  </si>
  <si>
    <t>Aktif: "Mutlak Tehdit" – Kısa süreliğine saldırı gücü %30 artar, ancak aldığı hasar da %10 yükselir.</t>
  </si>
  <si>
    <t>Yıkıcı Sinsi</t>
  </si>
  <si>
    <t>Pasif: "Ani Katliam" – İlk saldırısı hedefin savunmasını %15 azaltır.</t>
  </si>
  <si>
    <t>Aktif: "Sinsice Yıkım" – Arkadan yapılan saldırılar %50 daha fazla hasar verir.</t>
  </si>
  <si>
    <t>Efsanevi Fısıldayıcı</t>
  </si>
  <si>
    <t>Pasif: "Ölüm Fısıltısı" – Kritik vuruş yaptığında hedefin savunmasını %10 düşürür.</t>
  </si>
  <si>
    <t>Aktif: "Ruh Kesici" – Hedefin zihnine girerek sersemletir ve hafif hasar verir.</t>
  </si>
  <si>
    <t>Hayalet Kafalı</t>
  </si>
  <si>
    <t>Pasif: "Eterik Form" – Hasar aldığında %10 ihtimalle 1 saniye boyunca zarar görmez olur.</t>
  </si>
  <si>
    <t>Aktif: "Hayalet Adımı" – Kısa süreliğine hedeflenemez hale gelir ve hareket hızı %30 artar.</t>
  </si>
  <si>
    <t>Pasif: "Karanlık Çizik" – Pençe saldırıları hedefi 2 saniyeliğine kanatır (%5 ekstra hasar).</t>
  </si>
  <si>
    <t>Aktif: "Pençe Darbesi" – Hedefin üzerine atlayarak derin bir kesik açar, 3 saniye boyunca hasar verir.</t>
  </si>
  <si>
    <t>Gizli Öldürücü</t>
  </si>
  <si>
    <t>Pasif: "Gizli Kılıç" – Düşman fark etmeden vurursa %20 ekstra hasar verir.</t>
  </si>
  <si>
    <t>Aktif: "Anlık İnfaz" – Düşük cana sahip bir hedefi hızla öldürme şansı kazanır.</t>
  </si>
  <si>
    <t>Fırtına Yıkıcı</t>
  </si>
  <si>
    <t>Pasif: "Şimşek Hızı" – Kritik vuruş yaptıktan sonra 3 saniye boyunca hız %15 artar.</t>
  </si>
  <si>
    <t>Aktif: "Fırtına Darbesi" – Hedefin etrafında dönerek 3 saldırı yapar, her biri %40 hasar verir.</t>
  </si>
  <si>
    <t>Hızlı Savaşçı</t>
  </si>
  <si>
    <t>Pasif: "Savaş Çılgınlığı" – Her öldürdüğü düşmanda hareket hızı %5 artar.</t>
  </si>
  <si>
    <t>Aktif: "Hızlı Kesik" – Rakibe art arda 4 kesik atarak %120 toplam hasar verir.</t>
  </si>
  <si>
    <t>Zehirli Gözcü</t>
  </si>
  <si>
    <t>Pasif: "Gözetleyici Zehri" – Görünmez düşmanları %30 daha kolay fark eder.</t>
  </si>
  <si>
    <t>Aktif: "Zehirli İz" – Düşmanların geçtikleri yerlere zehirli iz bırakır.</t>
  </si>
  <si>
    <t>İntikam Avcısı</t>
  </si>
  <si>
    <t>Pasif: "Kan Borcu" – Kendisine saldıran düşmanı işaretler, ona %10 daha fazla hasar verir.</t>
  </si>
  <si>
    <t>Aktif: "Avcının Gazabı" – Düşmana odaklanarak kritik şansı %25 arttırır.</t>
  </si>
  <si>
    <t>Usta Yıkıcı</t>
  </si>
  <si>
    <t>Pasif: "Ölüm Ustası" – Seri saldırılar yaparken saldırı hızı %5 artar.</t>
  </si>
  <si>
    <t>Aktif: "Usta Darbe" – Rakibin zayıf noktasına vurarak 3 saniyeliğine savunmasını düşürür.</t>
  </si>
  <si>
    <t>Düşüş Gölgesi</t>
  </si>
  <si>
    <t>Pasif: "Son Gölge" – Öldüğünde 2 saniye boyunca savaşmaya devam eder.</t>
  </si>
  <si>
    <t>Aktif: "Gölge Patlaması" – Kendi etrafına gölge enerjisi yayarak alan hasarı verir.</t>
  </si>
  <si>
    <t>ENDER SUİKASTÇILAR</t>
  </si>
  <si>
    <t>RUH BİÇİCİ</t>
  </si>
  <si>
    <t>Pasif: "Ruh Çalma" (Öldürülen düşmanlardan enerji toplama)</t>
  </si>
  <si>
    <t>Aktif: "Ruh Patlaması" (Toplanan enerjiyle güçlü saldırı)</t>
  </si>
  <si>
    <t>KAOS GÖLGESİ</t>
  </si>
  <si>
    <t>Pasif: "Kaos Dokunuşu" (Rastgele güçlü efektler uygular)</t>
  </si>
  <si>
    <t>Aktif: "Kaos Sıçraması" (Hedefler arası hızlı geçiş ve hasar)</t>
  </si>
  <si>
    <t>ÖLÜM DANSÇISI</t>
  </si>
  <si>
    <t>Pasif: "Ölümcül Dans" (Her saldırı sonrası hız artışı)</t>
  </si>
  <si>
    <t>Aktif: "Ölüm Dansı" (Çevredeki tüm düşmanlara saldırı)</t>
  </si>
  <si>
    <t>Yılanın Laneti</t>
  </si>
  <si>
    <t>Pasif: "Zehirli Damarlar" – Zehir saldırılarının etkisi %20 daha uzun sürer.</t>
  </si>
  <si>
    <t>Aktif: "Yılan Isırığı" – Hedefe 3 saniye boyunca %50 ek zehir hasarı veren ölümcül bir ısırık yapar.</t>
  </si>
  <si>
    <t>Hayalet Asker</t>
  </si>
  <si>
    <t>Pasif: "Ebedi Savaşçı" – Öldüğünde 2 saniye boyunca savaşmaya devam eder.</t>
  </si>
  <si>
    <t>Aktif: "Ruh Hücumu" – Hedefin arkasına geçerek kritik hasar verir ve kısa süreliğine görünmez olur.</t>
  </si>
  <si>
    <t>Sonsuz Pençe</t>
  </si>
  <si>
    <t>Pasif: "Karanlık Kesik" – Her başarılı pençe saldırısı sonrası bir sonraki saldırısı %5 daha fazla hasar verir (maks. %25).</t>
  </si>
  <si>
    <t>Aktif: "Pençe Fırtınası" – 4 hızlı saldırı yaparak düşmana yıkıcı hasar verir.</t>
  </si>
  <si>
    <t>Kanlı Avcı</t>
  </si>
  <si>
    <t>Pasif: "Kan Kokusu" – Düşmanın canı %30’un altına indiğinde hareket hızı %15 artar.</t>
  </si>
  <si>
    <t>Aktif: "Avcının Kırbacı" – Rakibe uzun mesafeli bir hançer darbesi indirerek kanama etkisi uygular.</t>
  </si>
  <si>
    <t>Kritik Gözcü</t>
  </si>
  <si>
    <t>Pasif: "Keskin Bakış" – Kritik vuruş ihtimali %5 daha yüksektir.</t>
  </si>
  <si>
    <t>Aktif: "Ölümcül Darbe" – Hedefin zayıf noktasına odaklanarak bir sonraki saldırıyı garantili kritik hale getirir.</t>
  </si>
  <si>
    <t>EFSANEVİ SUİKASTÇILAR</t>
  </si>
  <si>
    <t>GÖLGE LORDU</t>
  </si>
  <si>
    <t>Pasif: "Gölge Hakimiyeti" (Sürekli yarı-görünmezlik)</t>
  </si>
  <si>
    <t>Aktif: "Gölge Ordusu" (Gölge klonları çağırır)</t>
  </si>
  <si>
    <t>KIYAMET SUİKASTÇISI</t>
  </si>
  <si>
    <t>Pasif: "Son Nefes" (HP azaldıkça hasar artar, max +%100)</t>
  </si>
  <si>
    <t>Aktif: "Kıyamet Vuruşu" (Tek hedefte ultra-hasar)</t>
  </si>
  <si>
    <t>BOYUT KATİLİ</t>
  </si>
  <si>
    <t>Pasif: "Boyutlar Arası" (Saldırılar Def'leri %3 yok sayar)</t>
  </si>
  <si>
    <t>Aktif: "Boyut Kesimi" (Hedefi boyutlar arası yolculuğa çıkarır)</t>
  </si>
  <si>
    <t>Pasif: "Karanlık İçinde" – Gölgelerde veya loş ışıkta hareket ederken görünme süresi %50 azalır.</t>
  </si>
  <si>
    <t>Aktif: "Gölge Saldırısı" – Bir gölgenin içine girerek 5 metre ileri ışınlanır ve çıkışta ilk saldırısı %30 daha fazla hasar verir.</t>
  </si>
  <si>
    <t>MULTI SUİKASTÇILAR</t>
  </si>
  <si>
    <t>ÖLÜM TANRISI:</t>
  </si>
  <si>
    <t>Pasif: "Kaçınılmaz Son" (Kritik vuruşlar anlık öldürür)</t>
  </si>
  <si>
    <t>Aktif: "Ölüm Yağmuru" (Tüm düşmanlara ölümcül hasar)</t>
  </si>
  <si>
    <t>GÖLGELER EFENDİSİ:</t>
  </si>
  <si>
    <t>Pasif: "Mutlak Gölge" (Arena karanlık ise hasar artışı +%25 artar)</t>
  </si>
  <si>
    <t>Aktif: "Gölge Kıyameti" (Arena karanlığa gömülür, tam kontrol)</t>
  </si>
  <si>
    <t>YAYGIN TANKLAR</t>
  </si>
  <si>
    <t>DEMİR MUHAFIZ</t>
  </si>
  <si>
    <t>Pasif: "Demir İrade" (HP %10'un altına düşünce 1 tur +500 dex)</t>
  </si>
  <si>
    <t>Aktif: "Demir Duvar" (2 müttefiğe 2 tur boyunca +300 dex)</t>
  </si>
  <si>
    <t>KAYA BEKÇİSİ</t>
  </si>
  <si>
    <t>Pasif: "Granit Deri" (İlk alınan hasar %35 azalır)</t>
  </si>
  <si>
    <t>Aktif: "Toprak Kalkanı" (Kendine 3 tur boyunca +400 def</t>
  </si>
  <si>
    <t>ZİNCİR KORUYUCU</t>
  </si>
  <si>
    <t>Pasif: "Zincir Zırh" (Bütün her tur müttefiklere +10 def)</t>
  </si>
  <si>
    <t>Aktif: "Zincir Çekiş" (Bir düşmanı kendine çeker ve 1 tur defleri sıfırlar)</t>
  </si>
  <si>
    <t>Ateş Taşı Ejderhası</t>
  </si>
  <si>
    <t>Pasif Yetenek: Ateş Duvarı</t>
  </si>
  <si>
    <t xml:space="preserve">  - Ateş Taşı Canavarı, her str aldığında, rakibin aldığı hasarı %10 oranında geri yansıtarak def yapar. Ayrıca, aldığı her 5. strde, 2 tur boyunca kendini %15 oranında iyileştirir. Bu iyileşme etkisi, Ateş Taşı Canavarı'na her turda %5 ekstra def sağlar.</t>
  </si>
  <si>
    <t>- Aktif Yetenek: Ateş Kalkanı</t>
  </si>
  <si>
    <t xml:space="preserve">  - Ateş Taşı Canavarı, 2 tur boyunca kendini ve takımını ateşle korur. Bu süre zarfında, tüm takım üyeleri %30 daha fazla def kazanır ve yediği hasarın %20'sini ateşle geri yansıtarak rakiplere zarar verir. Bu kalkan her 4 turda bir kullanılabilir.</t>
  </si>
  <si>
    <t>Ateş Taşı Canavarı karakteri, def rolünde savaşırken, hem kendisini hem de takımını koruyan ve rakiplere karşı zarar veren bir yapıya sahip. Ateşle ilgili yetenekler, ona ek bir stratejik derinlik kazandırarak, hem dayanıklılığını arttırır hem de rakiplere sürekli baskı yapar.</t>
  </si>
  <si>
    <t>Demir Asker</t>
  </si>
  <si>
    <t>- Aktif Yetenek: "Demir Bariyer" – def gücünü 2 tur  iki katına çıkarır ve yakınındaki düşmanlara 40 hasar vererek geri iteler.</t>
  </si>
  <si>
    <t>- Pasif Yetenek: "Yüksek Dayanıklılık" – Her alınan hasarın %10'u, oyuncuya def olarak geri gelir.</t>
  </si>
  <si>
    <t>Taş Yürekli</t>
  </si>
  <si>
    <t xml:space="preserve">- Aktif Yetenek: "Taş Savaşçısı" – def gücünü %30  artırır, </t>
  </si>
  <si>
    <t>- Pasif Yetenek: "Kaya Dayanıklılığı" – Fiziksel hasara karşı %20 direnç sağlar.</t>
  </si>
  <si>
    <t xml:space="preserve"> Çelik Muhafız</t>
  </si>
  <si>
    <t>- Aktif Yetenek: "Çelik Kalkan" – Etrafındaki dostlarına kalkan verir ve tüm alacağı hasarları %50 oranında engeller.</t>
  </si>
  <si>
    <t>- Pasif Yetenek: "def Zinciri" – Her aldığı hasarla birlikte defsı %5 artar.</t>
  </si>
  <si>
    <t xml:space="preserve"> Kalkan Kraliçesi</t>
  </si>
  <si>
    <t>- Aktif Yetenek: "Kalkan Duvarı" – Müttefiklerini 2 tur %10 oranında korur, düşmanların str gücünü %20 azaltır.</t>
  </si>
  <si>
    <t>Pasif Yetenek: "Kalkan Yansıması" – Gelen hasarın %10'u rakip oyuncuya geri yansır.</t>
  </si>
  <si>
    <t>Kara Zırhlı</t>
  </si>
  <si>
    <t>- Aktif Yetenek: "Zırh Bariyeri" – Tüm takım arkadaşlarına def artışı sağlar ve etraftaki düşmanlara ağır hasar verir.</t>
  </si>
  <si>
    <t>- Pasif Yetenek: "Zırh Hırsı" – Her alınan hasar, karakterin defsını %2 artırır.</t>
  </si>
  <si>
    <t>- Pasif Yetenek: Gölgenin Sığınması</t>
  </si>
  <si>
    <t xml:space="preserve">  - Gölge Kalkanı, her 3. stryı başarıyla blokladığında, çevresindeki rakiplerin deflarını %15 oranında zayıflatır. Ayrıca, her 4 turda bir, Gölge Kalkanı kendini %10 oranında iyileştirir.</t>
  </si>
  <si>
    <t>- Aktif Yetenek: Gölge Kalkanı</t>
  </si>
  <si>
    <t xml:space="preserve">  - Gölge Kalkanı, 1 tur boyunca kendini koruyan güçlü bir kalkan oluşturur. Bu kalkan, aldığı tüm hasarın %50'sini engeller ve rakiplerinin strlarını %20 oranında saptırır. Kalkan ayrıca, düşmanların bu tura verdikleri hasarın %10'unu geri yansıtarak rakiplere zarar verir. Bu yetenek her 5 turda bir kullanılabilir.</t>
  </si>
  <si>
    <t>Ölümsüz Kalkanlı</t>
  </si>
  <si>
    <t>- Pasif Yetenek: Ölümsüz Direniş</t>
  </si>
  <si>
    <t xml:space="preserve">  - Ölümsüz Kalkanlı, her 10 saniyede bir, kendisini bir defaya mahsus %25 sağlık yenilemesiyle iyileştirir. Ayrıca, aldığı hasar %15 azalır. Bu etki, her 3. strda otomatik olarak devreye girer.</t>
  </si>
  <si>
    <t>- Aktif Yetenek: Kalkanın Efsanevi Gücü</t>
  </si>
  <si>
    <t>- Ölümsüz Kalkanlı, 2 tur boyunca kendine ve takımına büyük bir kalkan oluşturur. Bu kalkan, tüm alacağı hasarın %60’ını engeller. Ayrıca, bu kalkanın içinde biriken hasarın %10’u, kalkan süresi sona erdiğinde rakiplere geri yansır. Her 6 turda bir kullanılabilir.</t>
  </si>
  <si>
    <t>Kalkan Titanı</t>
  </si>
  <si>
    <t>- Pasif Yetenek: Titan defsı</t>
  </si>
  <si>
    <t xml:space="preserve">  - Kalkan Titanı, her 4. strdan sonra çevresindeki takım arkadaşlarının deflarını %10 artırır. Ayrıca, her aldığı hasar, %5 oranında Kalkan Titanı'nın defsını artırır ve bu bonus 3 tur boyunca devam eder.</t>
  </si>
  <si>
    <t>- Aktif Yetenek: Titan Kalkanı</t>
  </si>
  <si>
    <t xml:space="preserve">  - Kalkan Titanı, 1 tur boyunca kendine dev bir kalkan oluşturur. Bu kalkan, tüm gelen hasarın %70'ini engeller ve ayrıca 1 tur boyunca rakiplerin str hızını %20 oranında yavaşlatır. Bu etkiler, Kalkan Titanı'na verilen hasarı azaltırken, düşmanların savaş alanındaki etkinliğini de kısıtlar. Her 5 turda bir kullanılabilir.</t>
  </si>
  <si>
    <t>Bu karakterler, def ve dayanıklılığa dayalı yeteneklere odaklanır. Gölge Kalkanı, çevresindeki düşmanların deflarını zayıflatarak rakiplere baskı yaparken, Ölümsüz Kalkanlı ve Kalkan Titanı daha fazla koruma sağlar ve takımını güçlü bir def altyapısına kavuşturur.</t>
  </si>
  <si>
    <t>Zırhlı Dev</t>
  </si>
  <si>
    <t>- Pasif Yetenek: Devasa Dayanıklılık</t>
  </si>
  <si>
    <t xml:space="preserve">  - Zırhlı Dev, aldığı her 3. strda %10 oranında hasar azaltma kazanır. Bu etki her 3 turda bir tekrarlanır ve Zırhlı Dev’in defsı 3 tur boyunca %20 artar. Ayrıca, her 6. str sonrasında Zırhlı Dev, kendisini %15 iyileştirir.</t>
  </si>
  <si>
    <t>- Aktif Yetenek: Yıkıcı Zırh Çarpması</t>
  </si>
  <si>
    <t xml:space="preserve">  - Zırhlı Dev, her rakibe karşı yüksek hasar veren bir zırh çarpması yaparak, rakiplerin deflarını %30 oranında zayıflatır. Ayrıca, Zırhlı Dev 1 tur boyunca kendini %40 oranında koruyan bir zırh ile kuşatır. Bu yetenek her 5 turda bir kullanılabilir.</t>
  </si>
  <si>
    <t>Demir Zırh</t>
  </si>
  <si>
    <t>- Pasif Yetenek: Demir Sertliği</t>
  </si>
  <si>
    <t xml:space="preserve">  - Demir Zırh, her aldığı hasarda %20 oranında def artışı sağlar. Bu artış 5 tur boyunca devam eder ve her 5. stryı blokladığında, 1 tur boyunca tüm hasar %50 oranında engellenir.</t>
  </si>
  <si>
    <t>- Aktif Yetenek: Demir Kalkanı</t>
  </si>
  <si>
    <t>- Demir Zırh, 2 tur boyunca kendini koruyan güçlü bir kalkan oluşturur. Bu kalkan, aldığı hasarın %80'ini engeller ve rakiplerin str hızını %15 yavaşlatır. Demir Zırh, bu kalkan sayesinde sadece kendini değil, takımını da koruyarak rakiplerin strlarını zorlaştırır. Bu yetenek her 6 turda bir kullanılabilir.</t>
  </si>
  <si>
    <t>Gümüş Kol</t>
  </si>
  <si>
    <t>- Pasif Yetenek: Gümüş def</t>
  </si>
  <si>
    <t xml:space="preserve">  - Gümüş Kol, her 4. str sonrasında çevresindeki takım arkadaşlarının deflarını %10 artırır. Ayrıca, her aldığı hasar %5 azaltılır ve bu azalma 3 tur boyunca devam eder. Gümüş Kol, hasarı minimize ederek takımının hayatta kalmasını sağlar.</t>
  </si>
  <si>
    <t>- Aktif Yetenek: Gümüş Kalkan</t>
  </si>
  <si>
    <t xml:space="preserve">  - Gümüş Kol, 1 tur boyunca tüm hasarı %60 oranında engelleyen bir gümüş kalkanı oluşturur. Bu kalkan, aynı zamanda rakiplerin str gücünü %20 oranında düşürür. Gümüş Kol’un bu yeteneği, defya odaklı bir oyun stilini destekler ve takımın hayatta kalma süresini uzatır. Bu yetenek her 4 turda bir kullanılabilir.</t>
  </si>
  <si>
    <t>Zırhlı Dev, Demir Zırh ve Gümüş Kol karakterleri, güçlü def yetenekleri ile öne çıkar ve takımlarını uzun süre koruma altına alır. Zırhlı Dev, hem kendine hasar yansıtır hem de rakiplerin deflarını zayıflatırken; Demir Zırh ve Gümüş Kol, yüksek derecede hasar engelleme ve def artışı sağlar.</t>
  </si>
  <si>
    <t>Gece Kalkanı</t>
  </si>
  <si>
    <t>- Pasif Yetenek: Gece Zırhı</t>
  </si>
  <si>
    <t xml:space="preserve">  - Gece Kalkanı, gece (düşman takımının tüm kartları düşük sağlıkta olduğu zaman) savaş alanına girdiğinde, aldığı tüm hasarı %30 oranında azaltır ve her 3. strda kendisini %15 iyileştirir. Ayrıca, her 4. strda çevresindeki takım arkadaşlarına %10 oranında hp takviyesi sağlar.</t>
  </si>
  <si>
    <t>- Aktif Yetenek: Gece Kalkanı Yansıması</t>
  </si>
  <si>
    <t xml:space="preserve">  - Gece Kalkanı, savaşın ilk 3 turunda aldığı tüm hasarı yansıtarak düşmanına %50 oranında geri döndürür. Bu yetenek, 5 turda bir kullanılabilir ve savaşın ilk turunda ekstra 1 tur boyunca %20 oranında def artışı sağlar.</t>
  </si>
  <si>
    <t>Buz Zırhı</t>
  </si>
  <si>
    <t>- Pasif Yetenek: Buz Kalkanı</t>
  </si>
  <si>
    <t xml:space="preserve">  - Buz Zırhı, aldığı her 3. str sonrasında %25 oranında bir buz kalkanı oluşturur. Buz kalkanı, Buz Zırhı’na gelen strları %50 oranında engeller ve ayrıca rakiplerin hızını %20 oranında yavaşlatır. Buz Zırhı, her 5. strdan sonra bu kalkanı tekrar yeniler.</t>
  </si>
  <si>
    <t>- Aktif Yetenek: Buz Fırtınası</t>
  </si>
  <si>
    <t>- Buz Zırhı, tüm rakiplere büyük bir buz fırtınası göndererek rakiplerin deflarını %30 oranında düşürür ve her düşmana 3 tur boyunca %20 yavaşlama etkisi uygular. Bu yetenek her 6 turda bir kullanılabilir.</t>
  </si>
  <si>
    <t>Yelkenli Zırh</t>
  </si>
  <si>
    <t>- Pasif Yetenek: Yelkenli defsı</t>
  </si>
  <si>
    <t xml:space="preserve">  - Yelkenli Zırh, aldığı her 2. strda kendisini ve takımını rüzgar etkisiyle def kazanır. Bu etki, tüm takımın defsını %15 oranında artırır ve Yelkenli Zırh’ın def gücünü %10 artırır. Ayrıca, her 4. strdan sonra takım arkadaşlarına bir miktar can yenilemesi sağlar.</t>
  </si>
  <si>
    <t>- Aktif Yetenek: Rüzgarın Kalkanı</t>
  </si>
  <si>
    <t xml:space="preserve">  - Yelkenli Zırh, savaş alanında oluşturduğu güçlü bir rüzgar bariyeri ile 2 tur boyunca düşmanların strlarının %40’ını engeller. Bu bariyer, rakiplerin def gücünü %20 oranında zayıflatır. Bu yetenek her 5 turda bir kullanılabilir.</t>
  </si>
  <si>
    <t>Zırh Kralı</t>
  </si>
  <si>
    <t>- Pasif Yetenek: Kralın Zırhı</t>
  </si>
  <si>
    <t xml:space="preserve">  - Zırh Kralı, her aldığı hasarda %10 oranında def artışı sağlar. Ayrıca, her 5. strya karşı Zırh Kralı, savaş alanına güçlü bir kalkan gönderir ve bu kalkan, tüm hasarın %50’sini engeller. Zırh Kralı'nın pasif yeteneği, takımını uzun süre hayatta tutmak için oldukça güçlüdür.</t>
  </si>
  <si>
    <t>- Aktif Yetenek: Kralın Koruması</t>
  </si>
  <si>
    <t>- Zırh Kralı, 1 tur boyunca kendini ve en düşük sağlık seviyesine sahip takım arkadaşını %50 oranında koruyan bir kalkan ile sarar. Bu kalkan, gelen hasarın %60'ını engeller. Bu yetenek her 7 turda bir kullanılabilir.</t>
  </si>
  <si>
    <t>Kutsal def</t>
  </si>
  <si>
    <t>- Pasif Yetenek: Kutsal Zırh</t>
  </si>
  <si>
    <t xml:space="preserve">  - Kutsal def, her 3. stryı blokladığında, çevresindeki takım arkadaşlarına %10 oranında can yenilemesi uygular. Ayrıca, her 5. strda Kutsal def, kendisini %15 oranında iyileştirir. Kutsal def'nın pasif yeteneği, hem kendi defsını artırır hem de takımına destek verir.</t>
  </si>
  <si>
    <t>- Aktif Yetenek: Kutsal Bariyer</t>
  </si>
  <si>
    <t xml:space="preserve">  - Kutsal def, tüm takımına büyük bir kutsal bariyer gönderir. Bu bariyer, gelen hasarı %75 oranında engeller ve her takım üyesine 2 tur boyunca %20 def artışı sağlar. Kutsal def, bu yeteneği her 6 turda bir kullanabilir.</t>
  </si>
  <si>
    <t>Kum Zırhlı</t>
  </si>
  <si>
    <t>- Pasif Yetenek: Kum defsı</t>
  </si>
  <si>
    <t xml:space="preserve">  - Kum Zırhlı, savaşta her 4. strdan sonra çevresindeki tüm takım arkadaşlarına kumdan bir zırh oluşturur. Bu zırh, gelen hasarın %20’sini engeller ve rakiplerin hızını %15 oranında düşürür. Ayrıca, her 6. strda Kum Zırhlı, kendisini %10 oranında iyileştirir.</t>
  </si>
  <si>
    <t>- Aktif Yetenek: Kum Fırtınası</t>
  </si>
  <si>
    <t>- Kum Zırhlı, büyük bir kum fırtınası yaratır ve düşmanları kör eder. Bu yetenek, rakiplerin def gücünü %25 oranında düşürür ve rakiplerin str hızını %20 yavaşlatır. Ayrıca, bu fırtına, rakiplerin en yakın alanındaki 2 kartı %15 oranında hasar almasına neden olur. Kum Zırhlı bu yeteneği her 5 turda bir kullanabilir.</t>
  </si>
  <si>
    <t>Gece Kalkanı, Buz Zırhı, Yelkenli Zırh, Zırh Kralı, Kutsal def ve Kum Zırhlı karakterleri, def stratejilerinde farklı yeteneklerle güçlü korunma sağlayan karakterlerdir. Bu karakterler, takımın hayatta kalmasını desteklerken aynı zamanda rakiplerine büyük engeller oluşturur.</t>
  </si>
  <si>
    <t>Alev Kalkanı</t>
  </si>
  <si>
    <t>- Pasif Yetenek: Alev Bariyeri</t>
  </si>
  <si>
    <t xml:space="preserve">  - Alev Kalkanı, her aldığı hasarın %20’sini ateş şeklinde yansıtarak rakiplerine hasar verir. Ayrıca, her 4. str sonrası, etrafındaki rakiplere 3 tur boyunca %15 yavaşlama etkisi uygular. Bu yetenek sürekli aktif olup, her 5. strdan sonra Alev Kalkanı'nın def gücü %10 artar.</t>
  </si>
  <si>
    <t>- Aktif Yetenek: Alev Kalkanı Patlaması</t>
  </si>
  <si>
    <t xml:space="preserve">  - Alev Kalkanı, 1 tur boyunca kendisini çevreleyen ateş kalkanıyla rakiplere %50 hasar yansıtır ve bir sonraki turda rakiplerin deflarını %20 oranında zayıflatır. Bu yetenek her 6 turda bir kullanılabilir.</t>
  </si>
  <si>
    <t>Gümüş Zırh</t>
  </si>
  <si>
    <t>- Pasif Yetenek: Gümüş Kalkanı</t>
  </si>
  <si>
    <t xml:space="preserve">  - Gümüş Zırh, aldığı her 2. strda %30 oranında def gücü artışı sağlar. Ayrıca, her 3. strdan sonra Gümüş Zırh, çevresindeki takım arkadaşlarına %10 oranında hasar azaltma sağlar. Gümüş Zırh, tüm takımının def gücünü korumak için oldukça etkili bir pasif yetenek sunar.</t>
  </si>
  <si>
    <t>- Aktif Yetenek: Gümüş Kalkanı Yansıması</t>
  </si>
  <si>
    <t>- Gümüş Zırh, aldığı hasarın %40’ını yansıtarak düşmanlarına geri gönderir. Ayrıca, bu yetenek rakiplerin hızını %20 oranında yavaşlatır. Bu yetenek her 5 turda bir kullanılabilir.</t>
  </si>
  <si>
    <t>Savaş Tanrısı</t>
  </si>
  <si>
    <t>- Pasif Yetenek: Tanrısal def</t>
  </si>
  <si>
    <t xml:space="preserve">  - Savaş Tanrısı, her 4. strdan sonra çevresindeki takım arkadaşlarına %10 oranında hp yenilemesi sağlar. Ayrıca, her 6. strda Savaş Tanrısı, kendisini %20 oranında iyileştirir ve çevresindeki tüm takım arkadaşlarının defsını %15 artırır.</t>
  </si>
  <si>
    <t>- Aktif Yetenek: Tanrısal Zırh</t>
  </si>
  <si>
    <t xml:space="preserve">  - Savaş Tanrısı, tüm takımını tanrısal bir zırhla sarar ve her 3. strya karşı alınan hasarın %60’ını engeller. Bu zırh, 2 tur boyunca tüm takım üyelerine %20 def artışı sağlar. Bu yetenek her 6 turda bir kullanılabilir.</t>
  </si>
  <si>
    <t>Fırtına Zırhı</t>
  </si>
  <si>
    <t>- Pasif Yetenek: Fırtına Kalkanı</t>
  </si>
  <si>
    <t xml:space="preserve">  - Fırtına Zırhı, her aldığı 3. str sonrası çevresindeki takım arkadaşlarına %10 oranında hız artışı sağlar. Ayrıca, her 4. strdan sonra Fırtına Zırhı, kendisine %25 oranında bir fırtına kalkanı yaratır ve rakiplerin str hızını %15 düşürür.</t>
  </si>
  <si>
    <t>- Aktif Yetenek: Fırtına Patlaması</t>
  </si>
  <si>
    <t>- Fırtına Zırhı, etrafındaki tüm rakiplere büyük bir fırtına gönderir. Bu fırtına, rakiplerin deflarını %25 oranında zayıflatırken, aynı zamanda her rakibe %15 hasar verir. Bu yetenek her 5 turda bir kullanılabilir.</t>
  </si>
  <si>
    <t>Hançer Zırhı</t>
  </si>
  <si>
    <t>- Pasif Yetenek: Hançer Zırhı</t>
  </si>
  <si>
    <t xml:space="preserve">  - Hançer Zırhı, her aldığı hasarda, etrafındaki rakiplere küçük bir hasar verir. Bu hasar, %15 oranında ve Hançer Zırhı her 5. strdan sonra rakiplerine %10 oranında zayıflatıcı etki sağlar.</t>
  </si>
  <si>
    <t>- Aktif Yetenek: Hançer Fırtınası</t>
  </si>
  <si>
    <t xml:space="preserve">  - Hançer Zırhı, düşmanlarına etrafından gizli hançerler göndererek rakiplerin defsını %20 oranında zayıflatır ve her 3. strda %30 hasar verir. Hançer Fırtınası, 4 turda bir kullanılabilir.</t>
  </si>
  <si>
    <t>Şimşek Kalkanı</t>
  </si>
  <si>
    <t>- Pasif Yetenek: Şimşek Bariyeri</t>
  </si>
  <si>
    <t xml:space="preserve">  - Şimşek Kalkanı, her aldığı 2. strda rakiplere elektriksel hasar gönderir. Bu hasar, %20 oranında olup, rakiplerin str hızını %10 oranında yavaşlatır. Ayrıca, her 5. str sonrası Şimşek Kalkanı kendisini %15 oranında iyileştirir.</t>
  </si>
  <si>
    <t>- Aktif Yetenek: Şimşek Fırtınası</t>
  </si>
  <si>
    <t>- Şimşek Kalkanı, tüm rakiplere büyük bir elektrik fırtınası gönderir. Bu fırtına, rakiplerin deflarını %25 oranında düşürür ve her rakibe %30 hasar verir. Ayrıca, bu fırtına düşmanların str hızını %20 yavaşlatır. Şimşek Fırtınası, her 6 turda bir kullanılabilir.</t>
  </si>
  <si>
    <t>Bu def karakterleri, takımın hayatta kalmasını sağlayacak güçlü kalkanlar ve hasar yansıtmaları ile takım arkadaşlarını korurken rakiplere zarar verebilir. Her birinin benzersiz yetenekleri, oyuncuların stratejilerine göre farklı avantajlar sağlar.</t>
  </si>
  <si>
    <t>Ağır Zırh</t>
  </si>
  <si>
    <t>- Pasif Yetenek: Zırhı Arttırma</t>
  </si>
  <si>
    <t xml:space="preserve">  - Ağır Zırh, aldığı her 3. strda %25 oranında ek def kazancı sağlar. Ayrıca, bu zırh her 5. strdan sonra çevresindeki takım arkadaşlarının def gücünü %10 artırır.</t>
  </si>
  <si>
    <t>- Aktif Yetenek: Zırh Kalkanı</t>
  </si>
  <si>
    <t xml:space="preserve">  - Ağır Zırh, 2 tur boyunca kendisini %50 oranında def gücüyle korur. Bu kalkan, rakiplerin strlarının %40'ını engeller ve aynı zamanda her 4. strdan sonra rakiplere %20 hasar yansıtır. Bu yetenek her 6 turda bir kullanılabilir.</t>
  </si>
  <si>
    <t>Ejderha Zırhlı</t>
  </si>
  <si>
    <t>- Pasif Yetenek: Ejderha İrade</t>
  </si>
  <si>
    <t xml:space="preserve">  - Ejderha Zırhlı, her aldığı str sonrası def gücünü %10 oranında artırır. Ayrıca, her 3. strdan sonra rakiplerinin hızını %15 oranında yavaşlatır.</t>
  </si>
  <si>
    <t>- Aktif Yetenek: Ejderha Kalkanı</t>
  </si>
  <si>
    <t xml:space="preserve">  - Ejderha Zırhlı, büyük bir ejderha kalkanı oluşturur ve bu kalkan 3 tur boyunca kendisini %40 oranında def gücüyle korur. Ayrıca, bu kalkan rakiplerin kritik vurma şansını %25 oranında azaltır. Ejderha Kalkanı, her 5 turda bir kullanılabilir.</t>
  </si>
  <si>
    <t>Demir Kafes</t>
  </si>
  <si>
    <t>- Pasif Yetenek: Demir Kafes Koruması</t>
  </si>
  <si>
    <t>- Demir Kafes, aldığı her 4. strdan sonra kendisine %20 ek def kazandırır ve çevresindeki takım arkadaşlarının deflarını %10 artırır. Ayrıca, her 6. strdan sonra rakiplerine %15 hasar yansıtır.</t>
  </si>
  <si>
    <t>- Aktif Yetenek: Demir Tuzağı</t>
  </si>
  <si>
    <t xml:space="preserve">  - Demir Kafes, etrafına güçlü bir demir tuzak yerleştirir. Rakipler tuzakları geçmeye çalışırken her bir rakip %30 oranında hasar alır ve hızları %20 yavaşlar. Bu tuzak 3 tur boyunca aktif olur. Demir Tuzağı, 5 turda bir kullanılabilir.</t>
  </si>
  <si>
    <t>Taş Kafes</t>
  </si>
  <si>
    <t>- Pasif Yetenek: Taş defsı</t>
  </si>
  <si>
    <t xml:space="preserve">  - Taş Kafes, aldığı her 5. strda kendisine %40 oranında taş defsı ekler. Bu pasif yetenek, rakiplerin fiziksel hasarlarını %25 oranında engeller ve her 4. strda çevresindeki takım arkadaşlarının defsını %15 artırır.</t>
  </si>
  <si>
    <t>- Aktif Yetenek: Taş Fırtınası</t>
  </si>
  <si>
    <t xml:space="preserve">  - Taş Kafes, etrafında bir taş fırtınası yaratır. Bu fırtına, rakiplerin deflarını %20 oranında zayıflatırken, her rakibe %20 hasar verir. Ayrıca, taş fırtınası rakiplerin hızını %15 oranında yavaşlatır. Taş Fırtınası, 6 turda bir kullanılabilir.</t>
  </si>
  <si>
    <t>Gölge Zırhı</t>
  </si>
  <si>
    <t>- Pasif Yetenek: Gölge Kalkanı</t>
  </si>
  <si>
    <t>- Gölge Zırhı, aldığı her 3. strdan sonra def gücünü %15 artırır ve çevresindeki rakiplerin defsını %10 zayıflatır. Ayrıca, her 4. strda, Gölge Zırhı kendisini geçici olarak görünmez yapar ve gelen hasarın %50'sini engeller.</t>
  </si>
  <si>
    <t>- Aktif Yetenek: Gölge Yansıması</t>
  </si>
  <si>
    <t xml:space="preserve">  - Gölge Zırhı, etrafındaki rakiplere güçlü bir gölge strsı gönderir. Rakipler bu stryı aldıklarında %25 oranında deflarını kaybeder ve %20 hasar alırlar. Bu yetenek, 5 turda bir kullanılabilir.</t>
  </si>
  <si>
    <t>Bu def karakterleri, oyunculara takımını koruyacak güçlü zırhlar ve hasar yansıtmaları ile büyük avantajlar sağlar. Her bir karakterin yetenekleri, def ve strateji odaklı takımlar için kritik öneme sahiptir.</t>
  </si>
  <si>
    <t>NADİR TANKLAR</t>
  </si>
  <si>
    <t>ÇELİK GARDİYAN</t>
  </si>
  <si>
    <t>Pasif: "Çelik Refleks" (Her 3. strda hasar %30 azalır)</t>
  </si>
  <si>
    <t>Aktif: "Çelik Ayna" (1 tur boyunca gelen hasarın %20'sini yansıtma)</t>
  </si>
  <si>
    <t>OBSİDYEN KALKAN</t>
  </si>
  <si>
    <t>Pasif: "Kırılmaz Ruh" (HP %20'nin altındayken def +5)</t>
  </si>
  <si>
    <t>Aktif: "Obsidyen Bariyer" (Tüm takıma 1 tur %15 hasar azaltma)</t>
  </si>
  <si>
    <t>KRİSTAL KORUYUCU:</t>
  </si>
  <si>
    <t>Pasif: "Kristal Yansıma" (Büyü hasarlarını %15 azaltır)</t>
  </si>
  <si>
    <t>Aktif: "Kristal Kabuk" (2 tur boyunca büyü bağışıklığı)</t>
  </si>
  <si>
    <t>Çelik Vücut</t>
  </si>
  <si>
    <t>- Pasif Yetenek: Çelik Direnci</t>
  </si>
  <si>
    <t xml:space="preserve">  - Çelik Vücut, aldığı her 3. fiziksel strdan sonra def gücünü %25 artırır. Ayrıca, her 4. strda rakiplerine %15 geri yansıtma hasarı verir ve strlarını %10 yavaşlatır.</t>
  </si>
  <si>
    <t>- Aktif Yetenek: Çelik Kalkanı</t>
  </si>
  <si>
    <t xml:space="preserve">  - Çelik Vücut, kendisine 2 tur boyunca %50 ek def gücü sağlar ve bu süreçte aldığı hasarın %30'u rakiplerine yansır. Kalkan, her 5 turda bir kullanılabilir.</t>
  </si>
  <si>
    <t>Tüylü def</t>
  </si>
  <si>
    <t>- Pasif Yetenek: Tüylü Kalkan</t>
  </si>
  <si>
    <t xml:space="preserve">  - Tüylü def, her 2. strdan sonra def gücünü %20 artırır. Ayrıca, çevresindeki takım arkadaşları için %10 ek def sağlar. Her 5. strdan sonra rakiplerin kritik vurma şansını %15 oranında düşürür.</t>
  </si>
  <si>
    <t>- Aktif Yetenek: Koruyucu Tüyler</t>
  </si>
  <si>
    <t xml:space="preserve">  - Tüylü def, etrafındaki tüm arkadaşlarına bir dizi koruyucu tüy bırakır. Bu tüyler, 3 tur boyunca takımı %20 oranında def artırarak hasarı engeller. Bu yetenek her 6 turda bir kullanılabilir.</t>
  </si>
  <si>
    <t>Büyük Kalkan</t>
  </si>
  <si>
    <t>- Pasif Yetenek: Kalkanın Gücü</t>
  </si>
  <si>
    <t>- Büyük Kalkan, aldığı her 4. strdan sonra def gücünü %30 artırır ve bu süreçte strlara karşı %15 daha dayanıklı olur. Ayrıca, bu yetenek her 5. strda çevresindeki takım arkadaşlarının defsını %10 artırır.</t>
  </si>
  <si>
    <t>- Aktif Yetenek: Kalkan Darbesi</t>
  </si>
  <si>
    <t xml:space="preserve">  - Büyük Kalkan, düşmanlarına büyük bir kalkan darbesi gönderir. Bu darbe rakiplere %20 hasar verirken, aynı zamanda rakiplerin defsını %10 zayıflatır ve hızlarını %20 azaltır. Kalkan Darbesi, her 6 turda bir kullanılabilir.</t>
  </si>
  <si>
    <t>def Prensesi</t>
  </si>
  <si>
    <t>- Pasif Yetenek: Kraliyet Koruması</t>
  </si>
  <si>
    <t xml:space="preserve">  - def Prensesi, çevresindeki takım arkadaşlarını her 4. strdan sonra %20 oranında def gücüyle korur. Ayrıca, her 3. strda kendi defsını %15 artırır ve takıma %10 hız kazandırır.</t>
  </si>
  <si>
    <t>- Aktif Yetenek: Kraliyet Kalkanı</t>
  </si>
  <si>
    <t xml:space="preserve">  - def Prensesi, etrafındaki tüm takım arkadaşlarına geçici olarak %30 def sağlar. Bu kalkan 3 tur boyunca aktif olur ve rakiplerin kritik şansını %25 oranında azaltır. Kraliyet Kalkanı, 5 turda bir kullanılabilir.</t>
  </si>
  <si>
    <t>Demir Zırhlı Asker</t>
  </si>
  <si>
    <t>- Pasif Yetenek: Demir Direnci</t>
  </si>
  <si>
    <t>- Demir Zırhlı Asker, aldığı her 5. strda def gücünü %40 oranında artırır. Ayrıca, her 4. strda kendisini geçici olarak hasara karşı %30 daha dirençli hale getirir. Bu yetenek, etrafındaki takım arkadaşlarının deflarını da %10 artırır.</t>
  </si>
  <si>
    <t>- Aktif Yetenek: Demir Hızlandırma</t>
  </si>
  <si>
    <t xml:space="preserve">  - Demir Zırhlı Asker, bir tur boyunca kendisini hızlandırır ve %40 daha hızlı hareket eder. Aynı zamanda, bu hız artışı ile birlikte her iki strsı arasında daha kısa süreler geçirir. Bu yetenek, 6 turda bir kullanılabilir.</t>
  </si>
  <si>
    <t>Kutsal Volkanik Asker</t>
  </si>
  <si>
    <t>- Pasif Yetenek: Volkanik Zırh</t>
  </si>
  <si>
    <t xml:space="preserve">  - Kutsal Volkanik Asker, aldığı her 4. strdan sonra def gücünü %20 artırır ve çevresindeki düşmanları %15 oranında hasara sokar. Ayrıca, her 3. strdan sonra çevresindeki takım arkadaşlarının defsını %10 artırır.</t>
  </si>
  <si>
    <t>- Aktif Yetenek: Lava Kalkanı</t>
  </si>
  <si>
    <t xml:space="preserve">  - Kutsal Volkanik Asker, etrafındaki tüm takım arkadaşlarına bir lav kalkanı sağlar. Bu kalkan 3 tur boyunca takıma %30 def gücü sağlar ve düşmanların hızını %25 oranında yavaşlatır. Lava Kalkanı, her 6 turda bir kullanılabilir.</t>
  </si>
  <si>
    <t>Kara Çelik</t>
  </si>
  <si>
    <t>- Pasif Yetenek: Kara Çelik defsı</t>
  </si>
  <si>
    <t>- Kara Çelik, aldığı her 3. fiziksel strdan sonra def gücünü %25 artırır. Ayrıca, her 5. strdan sonra etrafındaki takım arkadaşlarının defsını %15 artırır.</t>
  </si>
  <si>
    <t>- Aktif Yetenek: Çelik Pençe</t>
  </si>
  <si>
    <t xml:space="preserve">  - Kara Çelik, rakiplerine devasa bir çelik pençe ile strr. Bu str, rakiplere %25 hasar verir ve aynı zamanda rakiplerin defsını %10 zayıflatır. Çelik Pençe, 5 turda bir kullanılabilir.</t>
  </si>
  <si>
    <t>Bu def karakterleri, güçlü koruma ve zırh yetenekleriyle birlikte takımın hayatta kalmasını ve def gücünü arttırmaya odaklanmış karakterlerdir. Her bir karakterin yetenekleri, oyunda stratejik derinlik katmaya yardımcı olur ve oyuncuların def stratejilerini şekillendirir.</t>
  </si>
  <si>
    <t>Demir Beden</t>
  </si>
  <si>
    <t xml:space="preserve">  - Demir Beden, aldığı her 3. fiziksel strya karşı %30 oranında direnç kazanır. Ayrıca, her 4. strda vücudunda biriken demir parçaları rakiplere %10 hasar yansıtır. Bu yetenek, takım arkadaşlarının aldığı fiziksel hasarın %10’unu da savuşturur.</t>
  </si>
  <si>
    <t xml:space="preserve">  - Demir Beden, kendisini geçici olarak %50 daha fazla def sağlar. Bu kalkan, 2 tur boyunca aktif olur. Ayrıca, her 3. turda rakiplerine %20 oranında geri yansıyan hasar verir. Demir Kalkanı, 6 turda bir kullanılabilir.</t>
  </si>
  <si>
    <t>Karanlık Savunucu</t>
  </si>
  <si>
    <t>- Pasif Yetenek: Karanlık Bariyer</t>
  </si>
  <si>
    <t xml:space="preserve">  - Karanlık Savunucu, aldığı her 2. strdan sonra karanlık bariyerini aktive eder. Bu bariyer, %25 daha fazla def sağlar ve her 5. strda rakiplerin str hızını %10 yavaşlatır. Ayrıca, her 4. strdan sonra çevresindeki takım arkadaşlarının defsını %15 artırır.</t>
  </si>
  <si>
    <t>- Aktif Yetenek: Karanlık Kalkan</t>
  </si>
  <si>
    <t>- Karanlık Savunucu, tüm takıma bir karanlık kalkanı sağlar. Bu kalkan, 3 tur boyunca %20 def artışı sağlar ve rakiplerin kritik vuruş oranını %20 düşürür. Karanlık Kalkan, 5 turda bir kullanılabilir.</t>
  </si>
  <si>
    <t>Işık Savunucu</t>
  </si>
  <si>
    <t>- Pasif Yetenek: Işığın Kalkanı</t>
  </si>
  <si>
    <t xml:space="preserve">  - Işık Savunucu, aldığı her 3. strda kendisine %20 ek def kazandırır ve her 2. strda çevresindeki takım arkadaşlarının defsını %10 artırır. Ayrıca, her 5. str sonrası rakiplerin def gücünü %15 zayıflatır.</t>
  </si>
  <si>
    <t>- Aktif Yetenek: Işığın Kutsal Kalkanı</t>
  </si>
  <si>
    <t xml:space="preserve">  - Işık Savunucu, etrafındaki tüm takım arkadaşlarına bir kutsal ışık kalkanı sağlar. Bu kalkan, 3 tur boyunca %25 def sağlar ve rakiplerin hasarını %15 azaltır. Işığın Kutsal Kalkanı, 6 turda bir kullanılabilir.</t>
  </si>
  <si>
    <t>Ölümsüz Kaya</t>
  </si>
  <si>
    <t>- Pasif Yetenek: Kaya Direnci</t>
  </si>
  <si>
    <t xml:space="preserve">  - Ölümsüz Kaya, her 4. strdan sonra %40 oranında def gücü artırır ve her 3. strdan sonra, çevresindeki takım arkadaşlarının aldığı hasarın %10’unu kendisine alır. Ayrıca, aldığı her 5. strdan sonra rakiplerinin str hızını %10 yavaşlatır.</t>
  </si>
  <si>
    <t>- Aktif Yetenek: Kaya Kalkanı</t>
  </si>
  <si>
    <t>- Ölümsüz Kaya, kendisini tamamen defya alır ve 2 tur boyunca aldığı tüm hasarı %50 oranında azaltır. Bu süreçte, her 3. strda rakiplerine %15 hasar geri yansıtır. Kaya Kalkanı, 7 turda bir kullanılabilir.</t>
  </si>
  <si>
    <t>Fırtına defsı</t>
  </si>
  <si>
    <t>- Pasif Yetenek: Fırtına Direnci</t>
  </si>
  <si>
    <t xml:space="preserve">  - Fırtına defsı, aldığı her 3. strdan sonra çevresindeki takım arkadaşlarına %10 ek def sağlar. Ayrıca, her 4. strda rakiplerin str hızını %20 oranında yavaşlatır ve her 5. strda, rakiplere %15 fırtına hasarı verir.</t>
  </si>
  <si>
    <t>- Aktif Yetenek: Fırtına Kalkanı</t>
  </si>
  <si>
    <t xml:space="preserve">  - Fırtına defsı, tüm takıma bir fırtına kalkanı verir. Bu kalkan 3 tur boyunca %20 def gücü sağlar ve aynı zamanda her 2. str sonrasında rakiplere %10 fırtına hasarı verir. Fırtına Kalkanı, 6 turda bir kullanılabilir.</t>
  </si>
  <si>
    <t>Uçan Zırh</t>
  </si>
  <si>
    <t>- Pasif Yetenek: Uçan def</t>
  </si>
  <si>
    <t xml:space="preserve">  - Uçan Zırh, her 4. strda %30 daha fazla def gücü elde eder. Ayrıca, her 3. strdan sonra takım arkadaşlarına %10 def artışı sağlar. Rakiplerin uzun menzilli strlarına karşı %20 daha dayanıklıdır.</t>
  </si>
  <si>
    <t>- Aktif Yetenek: Uçan Kalkan</t>
  </si>
  <si>
    <t>- Uçan Zırh, kendisini 2 tur boyunca havaya yükseltir ve tüm strlara karşı %40 daha fazla def sağlar. Ayrıca, her 2. strda, havadayken rakiplerine %15 ek hasar verir. Uçan Kalkan, 5 turda bir kullanılabilir.</t>
  </si>
  <si>
    <t>Bu karakterler, güçlü def yetenekleriyle dikkat çeker ve her biri farklı stratejilerle savaşa katılır. def karakterlerine yönelik yetenekler, hem bireysel defyı güçlendirirken hem de takım arkadaşlarına koruma sağlar. Bu karakterler, oyun içinde takımın hayatta kalması ve güçlü bir def hattı oluşturulmasında önemli rol oynar.</t>
  </si>
  <si>
    <t>ENDER TANKLAR</t>
  </si>
  <si>
    <t>TİTANYUM ŞÖVALYE:</t>
  </si>
  <si>
    <t>Pasif: "Titanyum Kalp" (Her tur HP'nin %3'ü kadar iyileşme)</t>
  </si>
  <si>
    <t>Aktif: "Titanyum Darbe" (defsının 2 katı kadar hasar verir)</t>
  </si>
  <si>
    <t>MAGMA KORUYUCU:</t>
  </si>
  <si>
    <t>Pasif: "Yanık Zırh" (Kendine vuran düşmanlara 3 hasar)</t>
  </si>
  <si>
    <t>Aktif: "Magma Patlaması" (Çevresindeki düşmanlara 5 hasar ve yanma etkisi)</t>
  </si>
  <si>
    <t>KUTSAL MUHAFIZ:</t>
  </si>
  <si>
    <t>Pasif: "Kutsal Aura" (Yakındaki müttefiklere +3 HP rejenerasyon)</t>
  </si>
  <si>
    <t>Aktif: "Kutsama" (Bir müttefiğini 2 tur ölümsüz yapar,rakip kutsanan karakteri göremez)</t>
  </si>
  <si>
    <t>Abis Gardiyani</t>
  </si>
  <si>
    <t>- Pasif Yetenek: Derin def</t>
  </si>
  <si>
    <t xml:space="preserve">  - Abis Gardiyani, her aldığı 4. strdan sonra %20 daha fazla def kazanır. Ayrıca, her 3. strda rakiplerin def değerini %15 oranında düşürür. Bu pasif yetenek, savaş alanında tüm takım arkadaşlarına %10 oranında ekstra def artışı sağlar.</t>
  </si>
  <si>
    <t>- Aktif Yetenek: Abis Kalkanı</t>
  </si>
  <si>
    <t xml:space="preserve">  - Abis Gardiyani, kendini ve yakınındaki bir takım arkadaşını, 3 tur boyunca %50 daha fazla def sağlayan bir kalkanla korur. Ayrıca, her 2. strda etrafındaki rakiplerin defsını %10 azaltır. Abis Kalkanı, 6 turda bir kullanılabilir.</t>
  </si>
  <si>
    <t>Fırtına Gücü Cüce</t>
  </si>
  <si>
    <t xml:space="preserve">  - Fırtına Gücü Cüce, her 2. strdan sonra %20 daha fazla def elde eder ve her 4. strda rakiplerinin str hızını %15 yavaşlatır. Ayrıca, fırtınadan ilham alarak her 5. strdan sonra çevresindeki takım arkadaşlarına %10 daha fazla def sağlar.</t>
  </si>
  <si>
    <t xml:space="preserve">  - Fırtına Gücü Cüce, çevresindeki tüm takım arkadaşlarına, 3 tur boyunca %20 ek def sağlar ve rakiplere %15 fırtına hasarı verir. Fırtına Kalkanı 6 turda bir kullanılabilir.</t>
  </si>
  <si>
    <t>Yıldırım Muhafızı</t>
  </si>
  <si>
    <t>- Pasif Yetenek: Yıldırım Direnci</t>
  </si>
  <si>
    <t xml:space="preserve">  - Yıldırım Muhafızı, her aldığı 3. yıldırım strsından sonra %25 daha fazla def kazanır. Ayrıca, yıldırım strlarına karşı %30 daha fazla direnç gösterir. Her 5. strda çevresindeki takım arkadaşlarına %10 daha fazla def sağlar.</t>
  </si>
  <si>
    <t>- Aktif Yetenek: Yıldırım Kalkanı</t>
  </si>
  <si>
    <t xml:space="preserve">  - Yıldırım Muhafızı, 2 tur boyunca kendisini yıldırım kalkanı ile sarar. Bu kalkan, yıldırım strlarına karşı %50 direnç sağlar ve aynı zamanda rakiplerin yıldırım strlarına %10 yansıma yapar. Yıldırım Kalkanı, 7 turda bir kullanılabilir.</t>
  </si>
  <si>
    <t>Buzların Efendisi</t>
  </si>
  <si>
    <t>- Pasif Yetenek: Buz Direnci</t>
  </si>
  <si>
    <t xml:space="preserve">  - Buzların Efendisi, her 3. strdan sonra %30 oranında def artışı sağlar. Ayrıca, çevresindeki rakiplerin str hızını %10 yavaşlatır ve her 4. strda, rakiplerin kritik vuruş oranını %15 düşürür. Buzların Efendisi, def rolünü güçlendirirken çevresindeki takım arkadaşlarına da buzdan koruma sağlar.</t>
  </si>
  <si>
    <t>- Aktif Yetenek: Buz Kalkanı</t>
  </si>
  <si>
    <t xml:space="preserve">  - Buzların Efendisi, tüm takım arkadaşlarına 3 tur boyunca %20 ek def sağlayan buz kalkanı verir. Ayrıca, rakiplerin hareket hızını %20 yavaşlatır ve her 2. strda, rakiplere %10 buz hasarı verir. Buz Kalkanı, 6 turda bir kullanılabilir.</t>
  </si>
  <si>
    <t>Sonsuz def</t>
  </si>
  <si>
    <t>- Pasif Yetenek: Sonsuz Direnç</t>
  </si>
  <si>
    <t xml:space="preserve">  - Sonsuz def, aldığı her 5. strdan sonra def gücünü %30 artırır. Ayrıca, her 3. strda çevresindeki takım arkadaşlarının hasarını %10 oranında azaltır. Sonsuz def, takımın hayatta kalmasını sağlayacak bir bariyer görevi görür.</t>
  </si>
  <si>
    <t>- Aktif Yetenek: Sonsuz Kalkan</t>
  </si>
  <si>
    <t xml:space="preserve">  - Sonsuz def, kendisini ve yakınındaki bir takım arkadaşını 4 tur boyunca %40 def gücüyle koruyan bir sonsuz kalkan kullanır. Bu kalkan, her 2. strda çevresindeki rakiplere %15 hasar yansıtır. Sonsuz Kalkan, 6 turda bir kullanılabilir.</t>
  </si>
  <si>
    <t>Bu yetenekler, def karakterlerinin oyun içinde takım arkadaşlarına yardımcı olmasına, rakiplere karşı deflarını güçlendirmesine ve stratejik hamleler yapmasına olanak sağlar. Her karakterin pasif ve aktif yetenekleri, savaşlarda takımın daha uzun süre hayatta kalmasını sağlamak ve strateji oluşturmak açısından önemli bir rol oynar.</t>
  </si>
  <si>
    <t>EFSANEVİ TANKLAR</t>
  </si>
  <si>
    <t>EJDER PULLU ŞÖVALYE:</t>
  </si>
  <si>
    <t>Pasif: "Ejder Pulu" (Tüm hasar türlerine %20 direnç)</t>
  </si>
  <si>
    <t>Aktif: "Ejder Kükreyişi" (Tüm düşmanların strsını 1 tur %25 azaltır)</t>
  </si>
  <si>
    <t>Kara Zırhlı Ejderha:</t>
  </si>
  <si>
    <t>Pasif: "Karanlık Güç" (Aldığı hasarın %10'u kadar enerji kazanır)</t>
  </si>
  <si>
    <t>Aktif: "Karanlık Kubbe" (3 tur boyunca takıma %30 hasar kalkanı)</t>
  </si>
  <si>
    <t>ÖLÜMSÜZ KALKAN:</t>
  </si>
  <si>
    <t>Pasif: "Ölümsüzlük" (Ölümcül hasarı bir kez engeller - 5 tur cd)</t>
  </si>
  <si>
    <t>Aktif: "Fedakarlık" (Tüm takımın hasarını 1 tur üstlenir)</t>
  </si>
  <si>
    <t>Yıkım Tanrısı</t>
  </si>
  <si>
    <t>Pasif Yetenek: Kıyamet Direnci</t>
  </si>
  <si>
    <t>- Yıkım Tanrısı, aldığı her 5. strdan sonra %20 oranında def artırır. Ayrıca, her 3. strda çevresindeki rakiplerin def değerlerini %15 oranında düşürür. Yıkım Tanrısı, savaş alanındaki tüm rakiplere korku salarak, onların dayanıklılıklarını zayıflatır.</t>
  </si>
  <si>
    <t>Aktif Yetenek: Kıyamet Kalkanı</t>
  </si>
  <si>
    <t>- Yıkım Tanrısı, kendisini ve çevresindeki bir takım arkadaşını 4 tur boyunca %50 oranında ek def ile koruyan "Kıyamet Kalkanı" oluşturur. Bu kalkan, aynı zamanda rakiplere %10 fiziksel hasar yansıtarak, her 3. strda rakiplerin def değerini %20 azaltır. Kıyamet Kalkanı, 8 turda bir kullanılabilir.</t>
  </si>
  <si>
    <t>Yetenek Açıklamaları:</t>
  </si>
  <si>
    <t>- Kıyamet Direnci: Yıkım Tanrısı, aldığı hasara karşı daha dayanıklı hale gelir. Bu pasif özellik, onu def konusunda güçlü kılar ve ayrıca rakiplerinin deflarını zayıflatır, bu da takımının strlarının etkili olmasını sağlar.</t>
  </si>
  <si>
    <t>- Kıyamet Kalkanı: Kıyamet Kalkanı, Yıkım Tanrısı'nın ve takım arkadaşlarının defsını güçlendirir. Bu, ona ve yakınındaki birine ek def sağlar. Ayrıca, def gücünün yanı sıra rakiplere fiziksel hasar yansıtma ve rakiplerin deflarını azaltma gibi ek özellikler de içerir.</t>
  </si>
  <si>
    <t>Bu yetenekler, Yıkım Tanrısı karakterinin savaşlarda uzun süre hayatta kalmasını sağlar ve aynı zamanda takımına güçlü bir def desteği sunar.</t>
  </si>
  <si>
    <t>MULTI TANKLAR</t>
  </si>
  <si>
    <t>Zırh Tanrısı:</t>
  </si>
  <si>
    <t>Pasif: "Tanrısal Dayanıklılık" (Tüm olumsuz etkilere %50 direnç)</t>
  </si>
  <si>
    <t>Aktif: "Tanrısal Koruma" (Tüm takıma 2 tur tam hasar bağışıklığı - 10 tur cd)</t>
  </si>
  <si>
    <t>EVREN KORUYUCUSU:</t>
  </si>
  <si>
    <t>Pasif: "Evrenin Gücü" (Her tur maksimum HP'nin %5'i kadar kalkan)</t>
  </si>
  <si>
    <t>Aktif: "Evrensel Kalkan" (5 tur boyunca takıma %50 hasar azaltma - 12 tur cd)</t>
  </si>
  <si>
    <t>Önceki Taslak</t>
  </si>
  <si>
    <t>Güven</t>
  </si>
  <si>
    <t>Orta</t>
  </si>
  <si>
    <t>Görsel: İnsan görünümlü | Dağılım revizyonu: İnsan → Elf.</t>
  </si>
  <si>
    <t>Kesin — kullanıcı onayı/kuralı</t>
  </si>
  <si>
    <t>Görsel: Elf görünümlü</t>
  </si>
  <si>
    <t>Görsel: İnsan görünümlü</t>
  </si>
  <si>
    <t>Kullanıcı doğrulaması: görsel Astral. | Görsel: Astral görünümlü</t>
  </si>
  <si>
    <t>Dengeleme — kontrol önerilir</t>
  </si>
  <si>
    <t>Görsel: İnsan görünümlü | Dağılım revizyonu: İnsan → Astral.</t>
  </si>
  <si>
    <t>Görsel: Melek/kanatlı insansı</t>
  </si>
  <si>
    <t>Görsel: İnsan görünümlü | Dağılım revizyonu: İnsan → Melek.</t>
  </si>
  <si>
    <t>Güçlü — isim/hikâye</t>
  </si>
  <si>
    <t>Kullanıcı görseli Astral olarak yeniledi. | Görsel: Astral görünümlü</t>
  </si>
  <si>
    <t>Görsel: Tam zırhlı, türü belirsiz</t>
  </si>
  <si>
    <t>Görsel mevcut; yalnızca ırk kaydı revize edildi. | Görsel: Görsel mevcut; ırk Tanrısal olarak onaylandı</t>
  </si>
  <si>
    <t>Güvenli görsel eşleşmesi yok; isim ve hikâye kullanıldı. | Dağılım revizyonu: İnsan → Mutant.</t>
  </si>
  <si>
    <t>Görsel: Gölge/ruh-insansı</t>
  </si>
  <si>
    <t>Görsel: İnsan görünümlü | Dağılım revizyonu: Gölge → Elf.</t>
  </si>
  <si>
    <t>Görsel: Yılan/sürüngen-insansı</t>
  </si>
  <si>
    <t>Güçlü — görsel</t>
  </si>
  <si>
    <t>Görsel: Cüce görünümlü | Dağılım revizyonu: Gölge → Cüce.</t>
  </si>
  <si>
    <t>Güvenli görsel eşleşmesi yok; isim ve hikâye kullanıldı. | Dağılım revizyonu: Gölge → Böceksırt.</t>
  </si>
  <si>
    <t>Güvenli görsel eşleşmesi yok; isim ve hikâye kullanıldı. | Dağılım revizyonu: Gölge → Mutant.</t>
  </si>
  <si>
    <t>Güvenli görsel eşleşmesi yok; isim ve hikâye kullanıldı.</t>
  </si>
  <si>
    <t>Görsel: Ejderha | Dağılım revizyonu: Ejdersoy → Sürüngensoy.</t>
  </si>
  <si>
    <t>Görsel: Mutant/golem-insansı</t>
  </si>
  <si>
    <t>Görsel: İblis/kanatlı insansı</t>
  </si>
  <si>
    <t>Görsel: Ejder/kanatlı sürüngen-insansı</t>
  </si>
  <si>
    <t>Görsel: Ejder/kanatlı sürüngen-insansı | Dağılım revizyonu: Ejdersoy → Dev.</t>
  </si>
  <si>
    <t>Güvenli görsel eşleşmesi yok; isim ve hikâye kullanıldı. | Dağılım revizyonu: İnsan → Cüce.</t>
  </si>
  <si>
    <t>Görsel: İnsan görünümlü | Dağılım revizyonu: Mutant → Elf.</t>
  </si>
  <si>
    <t>Görsel: Böcek/araknid varlık; Tam zırhlı, türü belirsiz</t>
  </si>
  <si>
    <t>Görsel: Mutant/golem-insansı | Dağılım revizyonu: Mutant → Dev.</t>
  </si>
  <si>
    <t>Görsel: İnsan görünümlü; Kapüşonlu/belirsiz insansı | Dağılım revizyonu: Cüce → İnsan.</t>
  </si>
  <si>
    <t>Görsel: Melek/kanatlı insansı | Dağılım revizyonu: Ejdersoy → Melek.</t>
  </si>
  <si>
    <t>Görsel: Elf görünümlü | Dağılım revizyonu: Ejdersoy → Elf.</t>
  </si>
  <si>
    <t>Titan adı, zırh hacmi ve gövde ölçeği Dev ırkını destekliyor. | Görsel: Tam zırhlı dev/titan görünümlü | Dağılım revizyonu: İnsan → Dev.</t>
  </si>
  <si>
    <t>Kullanıcı doğrulaması: insan görünümü yok, Astral. | Görsel: Astral görünümlü</t>
  </si>
  <si>
    <t>Görsel: Böcek/araknid varlık | Dağılım revizyonu: Mutant → Böceksırt.</t>
  </si>
  <si>
    <t>Görsel: Hayvan/kanatlı hayvan-insansı | Dağılım revizyonu: Mutant → Sürüngensoy.</t>
  </si>
  <si>
    <t>Görsel: Melek/kanatlı insansı | Dağılım revizyonu: Astral → Tanrısal.</t>
  </si>
  <si>
    <t>Güvenli görsel eşleşmesi yok; isim ve hikâye kullanıldı. | Dağılım revizyonu: İnsan → Astral.</t>
  </si>
  <si>
    <t>Güvenli görsel eşleşmesi yok; isim ve hikâye kullanıldı. | Dağılım revizyonu: İnsan → Böceksırt.</t>
  </si>
  <si>
    <t>Görsel: Ejder/kanatlı sürüngen-insansı | Dağılım revizyonu: Ejdersoy → Sürüngensoy.</t>
  </si>
  <si>
    <t>Güvenli görsel eşleşmesi yok; isim ve hikâye kullanıldı. | Dağılım revizyonu: İnsan → Canavar.</t>
  </si>
  <si>
    <t>Güvenli görsel eşleşmesi yok; isim ve hikâye kullanıldı. | Dağılım revizyonu: İnsan → Dev.</t>
  </si>
  <si>
    <t>Güvenli görsel eşleşmesi yok; isim ve hikâye kullanıldı. | Dağılım revizyonu: Ejdersoy → Sürüngensoy.</t>
  </si>
  <si>
    <t>Güvenli görsel eşleşmesi yok; isim ve hikâye kullanıldı. | Dağılım revizyonu: İnsan → Tanrısal.</t>
  </si>
  <si>
    <t>Güvenli görsel eşleşmesi yok; isim ve hikâye kullanıldı. | Dağılım revizyonu: Gölge → Dev.</t>
  </si>
  <si>
    <t>Güvenli görsel eşleşmesi yok; isim ve hikâye kullanıldı. | Dağılım revizyonu: İnsan → Melek.</t>
  </si>
  <si>
    <t>Yeni Ana Irk</t>
  </si>
  <si>
    <t>Önerilen Sayı</t>
  </si>
  <si>
    <t>Görseli Olan</t>
  </si>
  <si>
    <t>Görseli Olmayan</t>
  </si>
  <si>
    <t>Kesin/Güçlü</t>
  </si>
  <si>
    <t>Onay Gerekli</t>
  </si>
  <si>
    <t>Word Adı</t>
  </si>
  <si>
    <t>Eski Irk Etiketi</t>
  </si>
  <si>
    <t>Eski Etiket Türü</t>
  </si>
  <si>
    <t>Önerilen Yeni Irk</t>
  </si>
  <si>
    <t>Soy/Köken/Unvan Alanına Taşınacak</t>
  </si>
  <si>
    <t>Kanıt</t>
  </si>
  <si>
    <t>Son Karar</t>
  </si>
  <si>
    <t>Onay Notu</t>
  </si>
  <si>
    <t>Ana ırk/karma ırk</t>
  </si>
  <si>
    <t>Ruhdoğan</t>
  </si>
  <si>
    <t>Element veya güç kökeni</t>
  </si>
  <si>
    <t>Işıkdoğan</t>
  </si>
  <si>
    <t>Yıldızdoğan</t>
  </si>
  <si>
    <t>Alev Rahibi</t>
  </si>
  <si>
    <t>Meslek, unvan veya uzmanlık</t>
  </si>
  <si>
    <t>Suelfi</t>
  </si>
  <si>
    <t>Meleksoylu</t>
  </si>
  <si>
    <t>Ölümsüz Şifacı</t>
  </si>
  <si>
    <t>Ormanelfi</t>
  </si>
  <si>
    <t>Zihin Dokuyucusu</t>
  </si>
  <si>
    <t>Astraldoğan</t>
  </si>
  <si>
    <t>Arkan Rahip</t>
  </si>
  <si>
    <t>Kadim Şaman</t>
  </si>
  <si>
    <t>Yaşam Ozanı</t>
  </si>
  <si>
    <t>Zaman Yürüyeni</t>
  </si>
  <si>
    <t>Kutsal Rahip</t>
  </si>
  <si>
    <t>Kozmik Muhafız</t>
  </si>
  <si>
    <t>Yaşam Muhafızı</t>
  </si>
  <si>
    <t>Enerji İşleyici</t>
  </si>
  <si>
    <t>Denge Bekçisi</t>
  </si>
  <si>
    <t>Işık Mimarı</t>
  </si>
  <si>
    <t>Arkan Kâtip</t>
  </si>
  <si>
    <t>Yaşam Kâhini</t>
  </si>
  <si>
    <t>Yaşam Rahibi</t>
  </si>
  <si>
    <t>Arkan Gezgin</t>
  </si>
  <si>
    <t>Kozmik Şifacı</t>
  </si>
  <si>
    <t>.Tanrisal_Sifaci</t>
  </si>
  <si>
    <t>Yaşam Ustası</t>
  </si>
  <si>
    <t>Zaman Kâhini</t>
  </si>
  <si>
    <t>Kadim Yaşamsoy</t>
  </si>
  <si>
    <t>Görsel: Doğa/bitki-insansı</t>
  </si>
  <si>
    <t>Ölümsüz Bekçi</t>
  </si>
  <si>
    <t>Isigin_Yucesi</t>
  </si>
  <si>
    <t>Kadim Şifacı</t>
  </si>
  <si>
    <t>Işık Lordu</t>
  </si>
  <si>
    <t>Yaşam Efendisi</t>
  </si>
  <si>
    <t>Arkan Bütünleyici</t>
  </si>
  <si>
    <t>İyileştirme Tanrısı</t>
  </si>
  <si>
    <t>Yaşam Tanrısı</t>
  </si>
  <si>
    <t>Zaman Tanrısalı</t>
  </si>
  <si>
    <t>Gölgedoğan</t>
  </si>
  <si>
    <t>Gölge İnsan</t>
  </si>
  <si>
    <t>Görsel: Cüce görünümlü</t>
  </si>
  <si>
    <t>Görsel: Kapüşonlu/belirsiz insansı</t>
  </si>
  <si>
    <t>Tanrısal Ölümsüz</t>
  </si>
  <si>
    <t>Fırtınasoy</t>
  </si>
  <si>
    <t>Kaossoy</t>
  </si>
  <si>
    <t>Zaman Dokuyucusu</t>
  </si>
  <si>
    <t>Zırhdoğan</t>
  </si>
  <si>
    <t>Dağ Canavarı</t>
  </si>
  <si>
    <t>Görsel: Hayvan/kanatlı hayvan-insansı</t>
  </si>
  <si>
    <t>Muhafız İnsan</t>
  </si>
  <si>
    <t>Mutant İnsan</t>
  </si>
  <si>
    <t>Böceksırt İnsan</t>
  </si>
  <si>
    <t>Görsel: Enerji/soyut varlık</t>
  </si>
  <si>
    <t>Görsel: Ejderha</t>
  </si>
  <si>
    <t>Alevsoy</t>
  </si>
  <si>
    <t>Firtina_Savunmasi_ejdersoy(insan)</t>
  </si>
  <si>
    <t>Buzsoy</t>
  </si>
  <si>
    <t>Arkan İnsan</t>
  </si>
  <si>
    <t>Toprağın hafızasını okuyarak eski kıtaların gücünü çağırır. Her büyüsü derinlerden yankı getirir; bazen ses, onu eve çağıran annesidir.</t>
  </si>
  <si>
    <t>İnsan Büyücü</t>
  </si>
  <si>
    <t>Aetherian</t>
  </si>
  <si>
    <t>Yıldızsoylu</t>
  </si>
  <si>
    <t>Görsel: Gölge/ruh yaratığı</t>
  </si>
  <si>
    <t>Görsel: Kozmik Aether yaratığı</t>
  </si>
  <si>
    <t>Görsel: Ateş/element varlığı</t>
  </si>
  <si>
    <t>Görsel: Elf görünümlü; İnsan görünümlü</t>
  </si>
  <si>
    <t>Savaşçı İnsan</t>
  </si>
  <si>
    <t>Görsel: Kurt-insansı</t>
  </si>
  <si>
    <t>Görsel: Aslan-insansı</t>
  </si>
  <si>
    <t>Görsel: Minotor</t>
  </si>
  <si>
    <t>Golgelerin_Ustasi</t>
  </si>
  <si>
    <t>Nightmare_Karabasan</t>
  </si>
  <si>
    <t>Golge_Cirag</t>
  </si>
  <si>
    <t>Gizli_Yikici</t>
  </si>
  <si>
    <t>Kaya_Bekcisi</t>
  </si>
  <si>
    <t>Ates_Tasi_Ejderhasi</t>
  </si>
  <si>
    <t>Demir_Zirh</t>
  </si>
  <si>
    <t>Tuyles_Savunma</t>
  </si>
  <si>
    <t>Olumsuz_Kaya</t>
  </si>
  <si>
    <t>Firtina_Savunmasi</t>
  </si>
  <si>
    <t>Buz_Ogrencisi</t>
  </si>
  <si>
    <t>Run_Ustasi_Buyucusu</t>
  </si>
  <si>
    <t>Zaman_Buyucusu</t>
  </si>
  <si>
    <t>Kadim_Buyucu</t>
  </si>
  <si>
    <t>Buyu_Tanrisi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</si>
</sst>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0"/>
      <name val="Arial"/>
      <family val="2"/>
      <charset val="162"/>
    </font>
    <font>
      <sz val="11"/>
      <name val="Calibri"/>
      <charset val="1"/>
    </font>
    <font>
      <b/>
      <sz val="20"/>
      <color rgb="FFFFFFFF"/>
      <name val="Arial"/>
      <charset val="1"/>
    </font>
    <font>
      <sz val="10"/>
      <color rgb="FF6B7280"/>
      <name val="Arial"/>
      <charset val="1"/>
    </font>
    <font>
      <b/>
      <sz val="9"/>
      <color rgb="FF2783DE"/>
      <name val="Arial"/>
      <charset val="1"/>
    </font>
    <font>
      <b/>
      <sz val="18"/>
      <color rgb="FF2783DE"/>
      <name val="Arial"/>
      <charset val="1"/>
    </font>
    <font>
      <b/>
      <sz val="9"/>
      <color rgb="FF46A171"/>
      <name val="Arial"/>
      <charset val="1"/>
    </font>
    <font>
      <b/>
      <sz val="18"/>
      <color rgb="FF46A171"/>
      <name val="Arial"/>
      <charset val="1"/>
    </font>
    <font>
      <b/>
      <sz val="9"/>
      <color rgb="FFD5803B"/>
      <name val="Arial"/>
      <charset val="1"/>
    </font>
    <font>
      <b/>
      <sz val="18"/>
      <color rgb="FFD5803B"/>
      <name val="Arial"/>
      <charset val="1"/>
    </font>
    <font>
      <b/>
      <sz val="11"/>
      <color rgb="FFFFFFFF"/>
      <name val="Arial"/>
      <charset val="1"/>
    </font>
    <font>
      <b/>
      <sz val="14"/>
      <color rgb="FF2783DE"/>
      <name val="Arial"/>
      <charset val="1"/>
    </font>
    <font>
      <b/>
      <sz val="10"/>
      <color rgb="FF2C2C2B"/>
      <name val="Arial"/>
      <charset val="1"/>
    </font>
    <font>
      <sz val="9"/>
      <color rgb="FF2C2C2B"/>
      <name val="Arial"/>
      <charset val="1"/>
    </font>
    <font>
      <b/>
      <sz val="9"/>
      <color rgb="FF2C2C2B"/>
      <name val="Arial"/>
      <charset val="1"/>
    </font>
    <font>
      <b/>
      <u/>
      <sz val="10"/>
      <color rgb="FF2783DE"/>
      <name val="Arial"/>
      <charset val="1"/>
    </font>
    <font>
      <sz val="12"/>
      <color theme="10"/>
      <name val="Calibri"/>
      <family val="2"/>
      <charset val="1"/>
    </font>
    <font>
      <sz val="9"/>
      <color rgb="FF6B7280"/>
      <name val="Arial"/>
      <charset val="1"/>
    </font>
    <font>
      <b/>
      <sz val="9"/>
      <color rgb="FFFFFFFF"/>
      <name val="Arial"/>
      <charset val="1"/>
    </font>
    <font>
      <b/>
      <sz val="11"/>
      <color rgb="FFFFFFFF"/>
      <name val="Cambria"/>
      <charset val="1"/>
    </font>
    <font>
      <b/>
      <sz val="11"/>
      <color rgb="FFFFFFFF"/>
      <name val="Calibri"/>
      <charset val="1"/>
    </font>
    <font>
      <b/>
      <sz val="11"/>
      <color rgb="FFFFFFFF"/>
      <name val="Calibri"/>
      <family val="2"/>
      <charset val="162"/>
    </font>
    <font>
      <sz val="11"/>
      <name val="Calibri"/>
      <family val="2"/>
      <charset val="162"/>
    </font>
    <font>
      <b/>
      <sz val="15"/>
      <color rgb="FFFF0000"/>
      <name val="Calibri"/>
      <family val="2"/>
      <charset val="162"/>
    </font>
    <font>
      <b/>
      <sz val="15"/>
      <color rgb="FF9B00D3"/>
      <name val="Calibri"/>
      <family val="2"/>
      <charset val="162"/>
    </font>
    <font>
      <b/>
      <sz val="15"/>
      <color rgb="FF000000"/>
      <name val="Calibri"/>
      <family val="2"/>
      <charset val="162"/>
    </font>
    <font>
      <b/>
      <sz val="15"/>
      <name val="Calibri"/>
      <family val="2"/>
      <charset val="162"/>
    </font>
    <font>
      <b/>
      <sz val="15"/>
      <color rgb="FFE69138"/>
      <name val="Calibri"/>
      <family val="2"/>
      <charset val="162"/>
    </font>
    <font>
      <b/>
      <sz val="15"/>
      <color rgb="FFF79646"/>
      <name val="Calibri"/>
      <family val="2"/>
      <charset val="162"/>
    </font>
    <font>
      <sz val="11"/>
      <color rgb="FF000000"/>
      <name val="Calibri"/>
      <family val="2"/>
      <charset val="162"/>
    </font>
    <font>
      <b/>
      <sz val="14"/>
      <color rgb="FFFF9900"/>
      <name val="Calibri"/>
      <family val="2"/>
      <charset val="162"/>
    </font>
    <font>
      <b/>
      <sz val="11"/>
      <color rgb="FF000000"/>
      <name val="Calibri"/>
      <family val="2"/>
      <charset val="162"/>
    </font>
    <font>
      <b/>
      <sz val="11"/>
      <name val="Cambria"/>
      <charset val="1"/>
    </font>
    <font>
      <b/>
      <sz val="10"/>
      <name val="Arial"/>
      <family val="2"/>
      <charset val="162"/>
    </font>
    <font>
      <b/>
      <sz val="14"/>
      <color rgb="FF2783DE"/>
      <name val="Arial"/>
      <family val="2"/>
      <charset val="162"/>
    </font>
    <font>
      <sz val="9"/>
      <name val="Arial"/>
      <family val="2"/>
      <charset val="162"/>
    </font>
    <font>
      <sz val="9"/>
      <color rgb="FF2C2C2B"/>
      <name val="Arial"/>
      <family val="2"/>
      <charset val="1"/>
    </font>
    <font>
      <sz val="9"/>
      <color rgb="FF2C2C2B"/>
      <name val="Arial"/>
      <family val="2"/>
      <charset val="162"/>
    </font>
    <font>
      <b/>
      <sz val="9"/>
      <color rgb="FFD5803B"/>
      <name val="Arial"/>
      <family val="2"/>
      <charset val="1"/>
    </font>
  </fonts>
  <fills count="29">
    <fill>
      <patternFill patternType="none"/>
    </fill>
    <fill>
      <patternFill patternType="gray125"/>
    </fill>
    <fill>
      <patternFill patternType="solid">
        <fgColor rgb="FF182235"/>
        <bgColor rgb="FF172033"/>
      </patternFill>
    </fill>
    <fill>
      <patternFill patternType="solid">
        <fgColor rgb="FFF3F5F8"/>
        <bgColor rgb="FFF8FAFC"/>
      </patternFill>
    </fill>
    <fill>
      <patternFill patternType="solid">
        <fgColor rgb="FFE5F2FC"/>
        <bgColor rgb="FFE8F1EC"/>
      </patternFill>
    </fill>
    <fill>
      <patternFill patternType="solid">
        <fgColor rgb="FFE8F1EC"/>
        <bgColor rgb="FFE8EBF0"/>
      </patternFill>
    </fill>
    <fill>
      <patternFill patternType="solid">
        <fgColor rgb="FFFBEBDE"/>
        <bgColor rgb="FFFCE9E7"/>
      </patternFill>
    </fill>
    <fill>
      <patternFill patternType="solid">
        <fgColor rgb="FFF8FAFC"/>
        <bgColor rgb="FFFAFBFC"/>
      </patternFill>
    </fill>
    <fill>
      <patternFill patternType="solid">
        <fgColor rgb="FFFFF8E8"/>
        <bgColor rgb="FFFAFBFC"/>
      </patternFill>
    </fill>
    <fill>
      <patternFill patternType="solid">
        <fgColor rgb="FFFFFFFF"/>
        <bgColor rgb="FFFAFBFC"/>
      </patternFill>
    </fill>
    <fill>
      <patternFill patternType="solid">
        <fgColor rgb="FFFAFBFC"/>
        <bgColor rgb="FFF8FAFC"/>
      </patternFill>
    </fill>
    <fill>
      <patternFill patternType="solid">
        <fgColor rgb="FF172033"/>
        <bgColor rgb="FF182235"/>
      </patternFill>
    </fill>
    <fill>
      <patternFill patternType="solid">
        <fgColor rgb="FFDCFCE7"/>
        <bgColor rgb="FFE8F1EC"/>
      </patternFill>
    </fill>
    <fill>
      <patternFill patternType="solid">
        <fgColor rgb="FFFEF3C7"/>
        <bgColor rgb="FFFBEBDE"/>
      </patternFill>
    </fill>
    <fill>
      <patternFill patternType="solid">
        <fgColor rgb="FFE5E7EB"/>
        <bgColor rgb="FFE8E8E8"/>
      </patternFill>
    </fill>
    <fill>
      <patternFill patternType="solid">
        <fgColor rgb="FFFEE2E2"/>
        <bgColor rgb="FFFBE3D6"/>
      </patternFill>
    </fill>
    <fill>
      <patternFill patternType="solid">
        <fgColor rgb="FF1F2937"/>
        <bgColor rgb="FF182235"/>
      </patternFill>
    </fill>
    <fill>
      <patternFill patternType="solid">
        <fgColor rgb="FFFF0000"/>
        <bgColor rgb="FF991B1B"/>
      </patternFill>
    </fill>
    <fill>
      <patternFill patternType="solid">
        <fgColor theme="3" tint="0.24988555558946501"/>
        <bgColor rgb="FF156082"/>
      </patternFill>
    </fill>
    <fill>
      <patternFill patternType="solid">
        <fgColor theme="5" tint="0.39988402966399123"/>
        <bgColor rgb="FFF79646"/>
      </patternFill>
    </fill>
    <fill>
      <patternFill patternType="solid">
        <fgColor rgb="FFFFC000"/>
        <bgColor rgb="FFFF9900"/>
      </patternFill>
    </fill>
    <fill>
      <patternFill patternType="solid">
        <fgColor rgb="FFFFFF00"/>
        <bgColor rgb="FFFFC000"/>
      </patternFill>
    </fill>
    <fill>
      <patternFill patternType="solid">
        <fgColor theme="5" tint="0.79989013336588644"/>
        <bgColor rgb="FFFEE2E2"/>
      </patternFill>
    </fill>
    <fill>
      <patternFill patternType="solid">
        <fgColor theme="2"/>
        <bgColor rgb="FFE5E7EB"/>
      </patternFill>
    </fill>
    <fill>
      <patternFill patternType="solid">
        <fgColor theme="8" tint="0.79989013336588644"/>
        <bgColor rgb="FFE9D5FF"/>
      </patternFill>
    </fill>
    <fill>
      <patternFill patternType="solid">
        <fgColor theme="2" tint="-9.9978637043366805E-2"/>
        <bgColor rgb="FFD9DEE7"/>
      </patternFill>
    </fill>
    <fill>
      <patternFill patternType="solid">
        <fgColor theme="6" tint="0.79989013336588644"/>
        <bgColor rgb="FFDCFCE7"/>
      </patternFill>
    </fill>
    <fill>
      <patternFill patternType="solid">
        <fgColor rgb="FF334155"/>
        <bgColor rgb="FF2C2C2B"/>
      </patternFill>
    </fill>
    <fill>
      <patternFill patternType="solid">
        <fgColor rgb="FF111827"/>
        <bgColor rgb="FF172033"/>
      </patternFill>
    </fill>
  </fills>
  <borders count="6">
    <border>
      <left/>
      <right/>
      <top/>
      <bottom/>
      <diagonal/>
    </border>
    <border>
      <left style="thin">
        <color rgb="FFD9DEE7"/>
      </left>
      <right style="thin">
        <color rgb="FFD9DEE7"/>
      </right>
      <top style="thin">
        <color rgb="FFD9DEE7"/>
      </top>
      <bottom style="thin">
        <color rgb="FFD9DEE7"/>
      </bottom>
      <diagonal/>
    </border>
    <border>
      <left/>
      <right/>
      <top/>
      <bottom style="thin">
        <color rgb="FFD9DEE7"/>
      </bottom>
      <diagonal/>
    </border>
    <border>
      <left/>
      <right/>
      <top/>
      <bottom style="medium">
        <color rgb="FF182235"/>
      </bottom>
      <diagonal/>
    </border>
    <border>
      <left/>
      <right/>
      <top/>
      <bottom style="hair">
        <color rgb="FFE8EBF0"/>
      </bottom>
      <diagonal/>
    </border>
    <border>
      <left/>
      <right/>
      <top style="thin">
        <color rgb="FFD9DEE7"/>
      </top>
      <bottom/>
      <diagonal/>
    </border>
  </borders>
  <cellStyleXfs count="3">
    <xf numFmtId="0" fontId="0" fillId="0" borderId="0"/>
    <xf numFmtId="0" fontId="16" fillId="0" borderId="0"/>
    <xf numFmtId="0" fontId="1" fillId="0" borderId="0"/>
  </cellStyleXfs>
  <cellXfs count="114">
    <xf numFmtId="0" fontId="0" fillId="0" borderId="0" xfId="0"/>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1" fillId="7" borderId="2" xfId="0" applyFont="1" applyFill="1" applyBorder="1" applyAlignment="1">
      <alignment vertical="center" wrapText="1"/>
    </xf>
    <xf numFmtId="0" fontId="14" fillId="0" borderId="2" xfId="0" applyFont="1" applyBorder="1" applyAlignment="1">
      <alignment vertical="center" wrapText="1"/>
    </xf>
    <xf numFmtId="0" fontId="17" fillId="0" borderId="0" xfId="0" applyFont="1"/>
    <xf numFmtId="0" fontId="18" fillId="2" borderId="3" xfId="0" applyFont="1" applyFill="1" applyBorder="1" applyAlignment="1">
      <alignment horizontal="center" vertical="center" wrapText="1"/>
    </xf>
    <xf numFmtId="1" fontId="13" fillId="0" borderId="4" xfId="0" applyNumberFormat="1" applyFont="1" applyBorder="1" applyAlignment="1">
      <alignment horizontal="center" vertical="center"/>
    </xf>
    <xf numFmtId="0" fontId="13" fillId="0" borderId="4" xfId="0" applyFont="1" applyBorder="1" applyAlignment="1">
      <alignment vertical="top" wrapText="1"/>
    </xf>
    <xf numFmtId="0" fontId="13" fillId="0" borderId="4" xfId="0" applyFont="1" applyBorder="1" applyAlignment="1">
      <alignment horizontal="center" vertical="center" wrapText="1"/>
    </xf>
    <xf numFmtId="0" fontId="6" fillId="5" borderId="4" xfId="0" applyFont="1" applyFill="1" applyBorder="1" applyAlignment="1">
      <alignment horizontal="center" vertical="center" wrapText="1"/>
    </xf>
    <xf numFmtId="1" fontId="13" fillId="0" borderId="4" xfId="0" applyNumberFormat="1" applyFont="1" applyBorder="1" applyAlignment="1">
      <alignment horizontal="center" vertical="center" wrapText="1"/>
    </xf>
    <xf numFmtId="1" fontId="13" fillId="10" borderId="4" xfId="0" applyNumberFormat="1" applyFont="1" applyFill="1" applyBorder="1" applyAlignment="1">
      <alignment horizontal="center" vertical="center"/>
    </xf>
    <xf numFmtId="0" fontId="13" fillId="10" borderId="4" xfId="0" applyFont="1" applyFill="1" applyBorder="1" applyAlignment="1">
      <alignment vertical="top" wrapText="1"/>
    </xf>
    <xf numFmtId="0" fontId="13" fillId="10" borderId="4" xfId="0" applyFont="1" applyFill="1" applyBorder="1" applyAlignment="1">
      <alignment horizontal="center" vertical="center" wrapText="1"/>
    </xf>
    <xf numFmtId="1" fontId="13" fillId="10" borderId="4" xfId="0" applyNumberFormat="1"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4" xfId="0" applyFont="1" applyFill="1" applyBorder="1" applyAlignment="1">
      <alignment vertical="top" wrapText="1"/>
    </xf>
    <xf numFmtId="1" fontId="0" fillId="0" borderId="0" xfId="0" applyNumberFormat="1"/>
    <xf numFmtId="1" fontId="18" fillId="2" borderId="3" xfId="0" applyNumberFormat="1" applyFont="1" applyFill="1" applyBorder="1" applyAlignment="1">
      <alignment horizontal="center" vertical="center" wrapText="1"/>
    </xf>
    <xf numFmtId="1" fontId="13" fillId="10" borderId="4" xfId="0" applyNumberFormat="1" applyFont="1" applyFill="1" applyBorder="1" applyAlignment="1">
      <alignment vertical="top" wrapText="1"/>
    </xf>
    <xf numFmtId="1" fontId="13" fillId="0" borderId="4" xfId="0" applyNumberFormat="1" applyFont="1" applyBorder="1" applyAlignment="1">
      <alignment vertical="top" wrapText="1"/>
    </xf>
    <xf numFmtId="0" fontId="13" fillId="0" borderId="4" xfId="0" applyFont="1" applyBorder="1" applyAlignment="1">
      <alignment horizontal="center" vertical="center"/>
    </xf>
    <xf numFmtId="0" fontId="13" fillId="10" borderId="4" xfId="0" applyFont="1" applyFill="1" applyBorder="1" applyAlignment="1">
      <alignment horizontal="center" vertical="center"/>
    </xf>
    <xf numFmtId="164" fontId="13" fillId="0" borderId="4" xfId="0" applyNumberFormat="1" applyFont="1" applyBorder="1" applyAlignment="1">
      <alignment vertical="top" wrapText="1"/>
    </xf>
    <xf numFmtId="164" fontId="13" fillId="10" borderId="4" xfId="0" applyNumberFormat="1" applyFont="1" applyFill="1" applyBorder="1" applyAlignment="1">
      <alignment vertical="top" wrapText="1"/>
    </xf>
    <xf numFmtId="1" fontId="13" fillId="0" borderId="4" xfId="0" applyNumberFormat="1" applyFont="1" applyBorder="1" applyAlignment="1">
      <alignment horizontal="center"/>
    </xf>
    <xf numFmtId="0" fontId="13" fillId="0" borderId="4" xfId="0" applyFont="1" applyBorder="1" applyAlignment="1">
      <alignment horizontal="center"/>
    </xf>
    <xf numFmtId="1" fontId="13" fillId="10" borderId="4" xfId="0" applyNumberFormat="1" applyFont="1" applyFill="1" applyBorder="1" applyAlignment="1">
      <alignment horizontal="center"/>
    </xf>
    <xf numFmtId="0" fontId="13" fillId="10" borderId="4" xfId="0" applyFont="1" applyFill="1" applyBorder="1" applyAlignment="1">
      <alignment horizontal="center"/>
    </xf>
    <xf numFmtId="0" fontId="19" fillId="11" borderId="0" xfId="0" applyFont="1" applyFill="1" applyAlignment="1">
      <alignment horizontal="center" vertical="center" wrapText="1"/>
    </xf>
    <xf numFmtId="0" fontId="0" fillId="0" borderId="0" xfId="0"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14" borderId="0" xfId="0" applyFill="1" applyAlignment="1">
      <alignment vertical="top" wrapText="1"/>
    </xf>
    <xf numFmtId="0" fontId="0" fillId="15" borderId="0" xfId="0" applyFill="1" applyAlignment="1">
      <alignment vertical="top" wrapText="1"/>
    </xf>
    <xf numFmtId="0" fontId="20" fillId="16" borderId="0" xfId="2" applyFont="1" applyFill="1" applyAlignment="1">
      <alignment horizontal="center" vertical="center" wrapText="1"/>
    </xf>
    <xf numFmtId="0" fontId="21" fillId="16" borderId="0" xfId="2" applyFont="1" applyFill="1" applyAlignment="1">
      <alignment horizontal="center" vertical="center" wrapText="1"/>
    </xf>
    <xf numFmtId="0" fontId="1" fillId="0" borderId="0" xfId="2" applyAlignment="1">
      <alignment vertical="top" wrapText="1"/>
    </xf>
    <xf numFmtId="0" fontId="1" fillId="0" borderId="0" xfId="2" applyAlignment="1">
      <alignment horizontal="center" vertical="center" wrapText="1"/>
    </xf>
    <xf numFmtId="0" fontId="1" fillId="17" borderId="0" xfId="2" applyFill="1" applyAlignment="1">
      <alignment vertical="top" wrapText="1"/>
    </xf>
    <xf numFmtId="0" fontId="1" fillId="17" borderId="0" xfId="2" applyFill="1" applyAlignment="1">
      <alignment horizontal="center" vertical="center" wrapText="1"/>
    </xf>
    <xf numFmtId="0" fontId="0" fillId="17" borderId="0" xfId="0" applyFill="1"/>
    <xf numFmtId="0" fontId="1" fillId="18" borderId="0" xfId="2" applyFill="1" applyAlignment="1">
      <alignment vertical="top" wrapText="1"/>
    </xf>
    <xf numFmtId="0" fontId="1" fillId="18" borderId="0" xfId="2" applyFill="1" applyAlignment="1">
      <alignment horizontal="center" vertical="center" wrapText="1"/>
    </xf>
    <xf numFmtId="0" fontId="0" fillId="18" borderId="0" xfId="0" applyFill="1"/>
    <xf numFmtId="0" fontId="1" fillId="19" borderId="0" xfId="2" applyFill="1" applyAlignment="1">
      <alignment vertical="top" wrapText="1"/>
    </xf>
    <xf numFmtId="0" fontId="1" fillId="19" borderId="0" xfId="2" applyFill="1" applyAlignment="1">
      <alignment horizontal="center" vertical="center" wrapText="1"/>
    </xf>
    <xf numFmtId="0" fontId="0" fillId="19" borderId="0" xfId="0" applyFill="1"/>
    <xf numFmtId="0" fontId="1" fillId="20" borderId="0" xfId="2" applyFill="1" applyAlignment="1">
      <alignment vertical="top" wrapText="1"/>
    </xf>
    <xf numFmtId="0" fontId="1" fillId="20" borderId="0" xfId="2" applyFill="1" applyAlignment="1">
      <alignment horizontal="center" vertical="center" wrapText="1"/>
    </xf>
    <xf numFmtId="0" fontId="0" fillId="20" borderId="0" xfId="0" applyFill="1"/>
    <xf numFmtId="0" fontId="1" fillId="21" borderId="0" xfId="2" applyFill="1" applyAlignment="1">
      <alignment vertical="top" wrapText="1"/>
    </xf>
    <xf numFmtId="0" fontId="22" fillId="21" borderId="0" xfId="2" applyFont="1" applyFill="1" applyAlignment="1">
      <alignment horizontal="center" vertical="center" wrapText="1"/>
    </xf>
    <xf numFmtId="0" fontId="0" fillId="21" borderId="0" xfId="0" applyFill="1"/>
    <xf numFmtId="0" fontId="1" fillId="22" borderId="0" xfId="2" applyFill="1" applyAlignment="1">
      <alignment vertical="top" wrapText="1"/>
    </xf>
    <xf numFmtId="0" fontId="1" fillId="22" borderId="0" xfId="2" applyFill="1" applyAlignment="1">
      <alignment horizontal="center" vertical="center" wrapText="1"/>
    </xf>
    <xf numFmtId="0" fontId="0" fillId="22" borderId="0" xfId="0" applyFill="1"/>
    <xf numFmtId="0" fontId="1" fillId="23" borderId="0" xfId="2" applyFill="1" applyAlignment="1">
      <alignment vertical="top" wrapText="1"/>
    </xf>
    <xf numFmtId="0" fontId="1" fillId="23" borderId="0" xfId="2" applyFill="1" applyAlignment="1">
      <alignment horizontal="center" vertical="center" wrapText="1"/>
    </xf>
    <xf numFmtId="0" fontId="0" fillId="23" borderId="0" xfId="0" applyFill="1"/>
    <xf numFmtId="0" fontId="1" fillId="24" borderId="0" xfId="2" applyFill="1" applyAlignment="1">
      <alignment vertical="top" wrapText="1"/>
    </xf>
    <xf numFmtId="0" fontId="0" fillId="24" borderId="0" xfId="0" applyFill="1" applyAlignment="1">
      <alignment horizontal="center" vertical="center" wrapText="1"/>
    </xf>
    <xf numFmtId="0" fontId="0" fillId="24" borderId="0" xfId="0" applyFill="1"/>
    <xf numFmtId="0" fontId="1" fillId="25" borderId="0" xfId="2" applyFill="1" applyAlignment="1">
      <alignment vertical="top" wrapText="1"/>
    </xf>
    <xf numFmtId="0" fontId="1" fillId="25" borderId="0" xfId="2" applyFill="1" applyAlignment="1">
      <alignment horizontal="center" vertical="center" wrapText="1"/>
    </xf>
    <xf numFmtId="0" fontId="0" fillId="25" borderId="0" xfId="0" applyFill="1"/>
    <xf numFmtId="0" fontId="1" fillId="26" borderId="0" xfId="2" applyFill="1" applyAlignment="1">
      <alignment vertical="top" wrapText="1"/>
    </xf>
    <xf numFmtId="0" fontId="1" fillId="26" borderId="0" xfId="2" applyFill="1" applyAlignment="1">
      <alignment horizontal="center" vertical="center" wrapText="1"/>
    </xf>
    <xf numFmtId="0" fontId="0" fillId="26" borderId="0" xfId="0" applyFill="1"/>
    <xf numFmtId="0" fontId="1" fillId="24" borderId="0" xfId="2" applyFill="1" applyAlignment="1">
      <alignment horizontal="center" vertical="center" wrapText="1"/>
    </xf>
    <xf numFmtId="0" fontId="1" fillId="21" borderId="0" xfId="2" applyFill="1" applyAlignment="1">
      <alignment horizontal="center" vertical="center" wrapText="1"/>
    </xf>
    <xf numFmtId="0" fontId="20" fillId="27" borderId="0" xfId="2" applyFont="1" applyFill="1" applyAlignment="1">
      <alignment horizontal="center" wrapText="1"/>
    </xf>
    <xf numFmtId="0" fontId="20" fillId="28" borderId="0" xfId="2" applyFont="1" applyFill="1" applyAlignment="1">
      <alignment horizont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22"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2" fillId="12" borderId="0" xfId="0" applyFont="1" applyFill="1" applyAlignment="1">
      <alignment vertical="top" wrapText="1"/>
    </xf>
    <xf numFmtId="0" fontId="32" fillId="13" borderId="0" xfId="0" applyFont="1" applyFill="1" applyAlignment="1">
      <alignment vertical="top" wrapText="1"/>
    </xf>
    <xf numFmtId="0" fontId="32" fillId="15" borderId="0" xfId="0" applyFont="1" applyFill="1" applyAlignment="1">
      <alignment vertical="top" wrapText="1"/>
    </xf>
    <xf numFmtId="0" fontId="34" fillId="7" borderId="0" xfId="0" applyFont="1" applyFill="1" applyAlignment="1">
      <alignment vertical="center" wrapText="1"/>
    </xf>
    <xf numFmtId="0" fontId="33" fillId="0" borderId="0" xfId="0" applyFont="1" applyAlignment="1">
      <alignment horizontal="left" vertical="center" wrapText="1"/>
    </xf>
    <xf numFmtId="0" fontId="36" fillId="0" borderId="4" xfId="0" applyFont="1" applyBorder="1" applyAlignment="1">
      <alignment vertical="top" wrapText="1"/>
    </xf>
    <xf numFmtId="0" fontId="36" fillId="10" borderId="4" xfId="0" applyFont="1" applyFill="1" applyBorder="1" applyAlignment="1">
      <alignment vertical="top" wrapText="1"/>
    </xf>
    <xf numFmtId="0" fontId="37" fillId="0" borderId="4" xfId="0" applyFont="1" applyBorder="1" applyAlignment="1">
      <alignment vertical="top" wrapText="1"/>
    </xf>
    <xf numFmtId="0" fontId="38" fillId="6" borderId="4" xfId="0" applyFont="1" applyFill="1" applyBorder="1" applyAlignment="1">
      <alignment horizontal="center" vertical="center" wrapText="1"/>
    </xf>
    <xf numFmtId="0" fontId="38" fillId="6" borderId="4" xfId="0" applyFont="1" applyFill="1" applyBorder="1" applyAlignment="1">
      <alignment vertical="top" wrapText="1"/>
    </xf>
    <xf numFmtId="0" fontId="36" fillId="0" borderId="4" xfId="0" applyFont="1" applyBorder="1" applyAlignment="1">
      <alignment horizontal="center" vertical="center" wrapText="1"/>
    </xf>
    <xf numFmtId="0" fontId="2" fillId="2" borderId="0" xfId="0" applyFont="1" applyFill="1" applyAlignment="1">
      <alignment vertical="center"/>
    </xf>
    <xf numFmtId="0" fontId="0" fillId="0" borderId="0" xfId="0"/>
    <xf numFmtId="0" fontId="3" fillId="3" borderId="0" xfId="0" applyFont="1" applyFill="1" applyAlignment="1">
      <alignment vertical="center"/>
    </xf>
    <xf numFmtId="0" fontId="12" fillId="7" borderId="2" xfId="0" applyFont="1" applyFill="1" applyBorder="1" applyAlignment="1">
      <alignment vertical="center" wrapText="1"/>
    </xf>
    <xf numFmtId="0" fontId="0" fillId="0" borderId="2" xfId="0" applyBorder="1"/>
    <xf numFmtId="0" fontId="13" fillId="0" borderId="2" xfId="0" applyFont="1" applyBorder="1" applyAlignment="1">
      <alignment vertical="center" wrapText="1"/>
    </xf>
    <xf numFmtId="0" fontId="13" fillId="7" borderId="2" xfId="0" applyFont="1" applyFill="1" applyBorder="1" applyAlignment="1">
      <alignment vertical="center" wrapText="1"/>
    </xf>
    <xf numFmtId="0" fontId="13" fillId="9" borderId="0" xfId="0" applyFont="1" applyFill="1" applyAlignment="1">
      <alignment vertical="center" wrapText="1"/>
    </xf>
    <xf numFmtId="0" fontId="15" fillId="0" borderId="0" xfId="1" applyFont="1"/>
    <xf numFmtId="0" fontId="6" fillId="5" borderId="2" xfId="0" applyFont="1" applyFill="1" applyBorder="1" applyAlignment="1">
      <alignment vertical="center" wrapText="1"/>
    </xf>
    <xf numFmtId="0" fontId="8" fillId="6" borderId="2" xfId="0" applyFont="1" applyFill="1" applyBorder="1" applyAlignment="1">
      <alignment vertical="center" wrapText="1"/>
    </xf>
    <xf numFmtId="0" fontId="10" fillId="2" borderId="0" xfId="0" applyFont="1" applyFill="1" applyAlignment="1">
      <alignment vertical="center"/>
    </xf>
    <xf numFmtId="0" fontId="13" fillId="8" borderId="0" xfId="0" applyFont="1" applyFill="1" applyAlignment="1">
      <alignment vertical="center" wrapText="1"/>
    </xf>
    <xf numFmtId="0" fontId="35" fillId="0" borderId="5" xfId="0" applyFont="1" applyBorder="1" applyAlignment="1">
      <alignment horizontal="left" vertical="center" wrapText="1"/>
    </xf>
    <xf numFmtId="0" fontId="0" fillId="0" borderId="5" xfId="0" applyBorder="1"/>
  </cellXfs>
  <cellStyles count="3">
    <cellStyle name="Köprü" xfId="1" builtinId="8"/>
    <cellStyle name="Normal" xfId="0" builtinId="0"/>
    <cellStyle name="Normal 2" xfId="2" xr:uid="{00000000-0005-0000-0000-000002000000}"/>
  </cellStyles>
  <dxfs count="8">
    <dxf>
      <font>
        <b/>
        <color rgb="FF991B1B"/>
      </font>
      <fill>
        <patternFill>
          <bgColor rgb="FFFECACA"/>
        </patternFill>
      </fill>
    </dxf>
    <dxf>
      <fill>
        <patternFill>
          <bgColor rgb="FFDCFCE7"/>
        </patternFill>
      </fill>
    </dxf>
    <dxf>
      <fill>
        <patternFill>
          <bgColor rgb="FFDBEAFE"/>
        </patternFill>
      </fill>
    </dxf>
    <dxf>
      <font>
        <b/>
      </font>
      <fill>
        <patternFill>
          <bgColor rgb="FFFEF3C7"/>
        </patternFill>
      </fill>
    </dxf>
    <dxf>
      <font>
        <b/>
      </font>
      <fill>
        <patternFill>
          <bgColor rgb="FFE9D5FF"/>
        </patternFill>
      </fill>
    </dxf>
    <dxf>
      <font>
        <b/>
        <color rgb="FFE56458"/>
        <name val="Arial"/>
        <charset val="1"/>
      </font>
      <fill>
        <patternFill>
          <bgColor rgb="FFFCE9E7"/>
        </patternFill>
      </fill>
    </dxf>
    <dxf>
      <font>
        <b/>
        <color rgb="FF46A171"/>
        <name val="Arial"/>
        <charset val="1"/>
      </font>
      <fill>
        <patternFill>
          <bgColor rgb="FFE8F1EC"/>
        </patternFill>
      </fill>
    </dxf>
    <dxf>
      <fill>
        <patternFill>
          <bgColor rgb="FFE5F2FC"/>
        </patternFill>
      </fill>
    </dxf>
  </dxfs>
  <tableStyles count="0" defaultTableStyle="TableStyleMedium9" defaultPivotStyle="PivotStyleLight16"/>
  <colors>
    <indexedColors>
      <rgbColor rgb="FF000000"/>
      <rgbColor rgb="FFFFFFFF"/>
      <rgbColor rgb="FFFF0000"/>
      <rgbColor rgb="FFE8E8E8"/>
      <rgbColor rgb="FF0000FF"/>
      <rgbColor rgb="FFFFFF00"/>
      <rgbColor rgb="FFF8FAFC"/>
      <rgbColor rgb="FFE8F1EC"/>
      <rgbColor rgb="FF800000"/>
      <rgbColor rgb="FFF3F5F8"/>
      <rgbColor rgb="FF111827"/>
      <rgbColor rgb="FFE69138"/>
      <rgbColor rgb="FF9B00D3"/>
      <rgbColor rgb="FF156082"/>
      <rgbColor rgb="FFD9DEE7"/>
      <rgbColor rgb="FF467886"/>
      <rgbColor rgb="FF7C5CFC"/>
      <rgbColor rgb="FFFEE2E2"/>
      <rgbColor rgb="FFFEF3C7"/>
      <rgbColor rgb="FFDCFCE7"/>
      <rgbColor rgb="FF660066"/>
      <rgbColor rgb="FFF79646"/>
      <rgbColor rgb="FF215F9A"/>
      <rgbColor rgb="FFD1D1D1"/>
      <rgbColor rgb="FF000080"/>
      <rgbColor rgb="FFFAFBFC"/>
      <rgbColor rgb="FFFBE3D6"/>
      <rgbColor rgb="FFE8EBF0"/>
      <rgbColor rgb="FF800080"/>
      <rgbColor rgb="FF800000"/>
      <rgbColor rgb="FFFBEBDE"/>
      <rgbColor rgb="FF0000FF"/>
      <rgbColor rgb="FFE9D5FF"/>
      <rgbColor rgb="FFE5F2FC"/>
      <rgbColor rgb="FFC2F1C8"/>
      <rgbColor rgb="FFFFF8E8"/>
      <rgbColor rgb="FFDBEAFE"/>
      <rgbColor rgb="FFF2AA84"/>
      <rgbColor rgb="FFF2CFEE"/>
      <rgbColor rgb="FFFECACA"/>
      <rgbColor rgb="FF2783DE"/>
      <rgbColor rgb="FF46B1E1"/>
      <rgbColor rgb="FFE5E7EB"/>
      <rgbColor rgb="FFFFC000"/>
      <rgbColor rgb="FFFF9900"/>
      <rgbColor rgb="FFE56458"/>
      <rgbColor rgb="FF6B7280"/>
      <rgbColor rgb="FFD5803B"/>
      <rgbColor rgb="FF182235"/>
      <rgbColor rgb="FF46A171"/>
      <rgbColor rgb="FF172033"/>
      <rgbColor rgb="FF1F2937"/>
      <rgbColor rgb="FF991B1B"/>
      <rgbColor rgb="FFFCE9E7"/>
      <rgbColor rgb="FF334155"/>
      <rgbColor rgb="FF2C2C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1Kadro56" displayName="V1Kadro56" ref="A4:J60" totalsRowShown="0">
  <autoFilter ref="A4:J60" xr:uid="{00000000-0009-0000-0100-000001000000}"/>
  <tableColumns count="10">
    <tableColumn id="1" xr3:uid="{00000000-0010-0000-0000-000001000000}" name="ID"/>
    <tableColumn id="2" xr3:uid="{00000000-0010-0000-0000-000002000000}" name="Karakter"/>
    <tableColumn id="3" xr3:uid="{00000000-0010-0000-0000-000003000000}" name="Sınıf"/>
    <tableColumn id="4" xr3:uid="{00000000-0010-0000-0000-000004000000}" name="Nadirlik"/>
    <tableColumn id="5" xr3:uid="{00000000-0010-0000-0000-000005000000}" name="Irk"/>
    <tableColumn id="6" xr3:uid="{00000000-0010-0000-0000-000006000000}" name="Görsel Durumu"/>
    <tableColumn id="7" xr3:uid="{00000000-0010-0000-0000-000007000000}" name="Görsel Sayısı"/>
    <tableColumn id="8" xr3:uid="{00000000-0010-0000-0000-000008000000}" name="Görsel Dosyaları"/>
    <tableColumn id="9" xr3:uid="{00000000-0010-0000-0000-000009000000}" name="Karar Güveni"/>
    <tableColumn id="10" xr3:uid="{00000000-0010-0000-0000-00000A000000}" name="V1 Notu"/>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1Uretilecek14" displayName="V1Uretilecek14" ref="A4:I18" totalsRowShown="0">
  <autoFilter ref="A4:I18" xr:uid="{00000000-0009-0000-0100-000002000000}"/>
  <tableColumns count="9">
    <tableColumn id="1" xr3:uid="{00000000-0010-0000-0100-000001000000}" name="Sıra"/>
    <tableColumn id="2" xr3:uid="{00000000-0010-0000-0100-000002000000}" name="ID"/>
    <tableColumn id="3" xr3:uid="{00000000-0010-0000-0100-000003000000}" name="Karakter"/>
    <tableColumn id="4" xr3:uid="{00000000-0010-0000-0100-000004000000}" name="Sınıf"/>
    <tableColumn id="5" xr3:uid="{00000000-0010-0000-0100-000005000000}" name="Nadirlik"/>
    <tableColumn id="6" xr3:uid="{00000000-0010-0000-0100-000006000000}" name="Irk"/>
    <tableColumn id="7" xr3:uid="{00000000-0010-0000-0100-000007000000}" name="İş"/>
    <tableColumn id="8" xr3:uid="{00000000-0010-0000-0100-000008000000}" name="V1 Engeli"/>
    <tableColumn id="9" xr3:uid="{00000000-0010-0000-0100-000009000000}" name="Takip Durumu"/>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orselDurum311" displayName="GorselDurum311" ref="A1:J312" totalsRowShown="0">
  <autoFilter ref="A1:J312" xr:uid="{00000000-0009-0000-0100-000003000000}">
    <filterColumn colId="1">
      <filters>
        <filter val="EVREN_BUYUCUSU"/>
        <filter val="EVREN_KORUYUCUSU"/>
        <filter val="Evren_Sifacisi"/>
        <filter val="Evrenin_Iyilestiricisi"/>
        <filter val="Evrenin_Korumacisi"/>
      </filters>
    </filterColumn>
  </autoFilter>
  <tableColumns count="10">
    <tableColumn id="1" xr3:uid="{00000000-0010-0000-0200-000001000000}" name="ID"/>
    <tableColumn id="2" xr3:uid="{00000000-0010-0000-0200-000002000000}" name="Karakter"/>
    <tableColumn id="3" xr3:uid="{00000000-0010-0000-0200-000003000000}" name="Sınıf"/>
    <tableColumn id="4" xr3:uid="{00000000-0010-0000-0200-000004000000}" name="Nadirlik"/>
    <tableColumn id="5" xr3:uid="{00000000-0010-0000-0200-000005000000}" name="Yeni Irk"/>
    <tableColumn id="6" xr3:uid="{00000000-0010-0000-0200-000006000000}" name="Görsel Sayısı"/>
    <tableColumn id="7" xr3:uid="{00000000-0010-0000-0200-000007000000}" name="Görselde Görünen"/>
    <tableColumn id="8" xr3:uid="{00000000-0010-0000-0200-000008000000}" name="Durum"/>
    <tableColumn id="9" xr3:uid="{00000000-0010-0000-0200-000009000000}" name="Gerekçe"/>
    <tableColumn id="10" xr3:uid="{00000000-0010-0000-0200-00000A000000}" name="Görsel Dosyaları"/>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rkSozlugu" displayName="IrkSozlugu" ref="A1:D15" totalsRowShown="0">
  <autoFilter ref="A1:D15" xr:uid="{00000000-0009-0000-0100-000004000000}"/>
  <tableColumns count="4">
    <tableColumn id="1" xr3:uid="{00000000-0010-0000-0300-000001000000}" name="Ana Irk"/>
    <tableColumn id="2" xr3:uid="{00000000-0010-0000-0300-000002000000}" name="Tanım"/>
    <tableColumn id="3" xr3:uid="{00000000-0010-0000-0300-000003000000}" name="Alt tür/köken örnekleri"/>
    <tableColumn id="4" xr3:uid="{00000000-0010-0000-0300-000004000000}" name="Kura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umKarakterlerTable" displayName="TumKarakterlerTable" ref="A1:P312" totalsRowShown="0">
  <autoFilter ref="A1:P312" xr:uid="{00000000-0009-0000-0100-000005000000}"/>
  <tableColumns count="16">
    <tableColumn id="1" xr3:uid="{00000000-0010-0000-0400-000001000000}" name="ID"/>
    <tableColumn id="2" xr3:uid="{00000000-0010-0000-0400-000002000000}" name="Karakter"/>
    <tableColumn id="3" xr3:uid="{00000000-0010-0000-0400-000003000000}" name="Sınıf"/>
    <tableColumn id="4" xr3:uid="{00000000-0010-0000-0400-000004000000}" name="Nadirlik"/>
    <tableColumn id="5" xr3:uid="{00000000-0010-0000-0400-000005000000}" name="Önem Derecesi"/>
    <tableColumn id="6" xr3:uid="{00000000-0010-0000-0400-000006000000}" name="Irk"/>
    <tableColumn id="7" xr3:uid="{00000000-0010-0000-0400-000007000000}" name="Cinsiyet"/>
    <tableColumn id="8" xr3:uid="{00000000-0010-0000-0400-000008000000}" name="Element"/>
    <tableColumn id="9" xr3:uid="{00000000-0010-0000-0400-000009000000}" name="Hikâye Düğümü"/>
    <tableColumn id="10" xr3:uid="{00000000-0010-0000-0400-00000A000000}" name="Bağlantı Karakterleri"/>
    <tableColumn id="11" xr3:uid="{00000000-0010-0000-0400-00000B000000}" name="Bağlantı Türü"/>
    <tableColumn id="12" xr3:uid="{00000000-0010-0000-0400-00000C000000}" name="Hikâye"/>
    <tableColumn id="13" xr3:uid="{00000000-0010-0000-0400-00000D000000}" name="Hikâye Harf Sayısı"/>
    <tableColumn id="14" xr3:uid="{00000000-0010-0000-0400-00000E000000}" name="130 Kontrol"/>
    <tableColumn id="15" xr3:uid="{00000000-0010-0000-0400-00000F000000}" name="Bağlantı Sayısı"/>
    <tableColumn id="16" xr3:uid="{00000000-0010-0000-0400-000010000000}" name="Profesyonel Not"/>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estekTable" displayName="DestekTable" ref="A1:P64" totalsRowShown="0">
  <autoFilter ref="A1:P64" xr:uid="{00000000-0009-0000-0100-000006000000}"/>
  <tableColumns count="16">
    <tableColumn id="1" xr3:uid="{00000000-0010-0000-0500-000001000000}" name="ID"/>
    <tableColumn id="2" xr3:uid="{00000000-0010-0000-0500-000002000000}" name="Karakter"/>
    <tableColumn id="3" xr3:uid="{00000000-0010-0000-0500-000003000000}" name="Sınıf"/>
    <tableColumn id="4" xr3:uid="{00000000-0010-0000-0500-000004000000}" name="Nadirlik"/>
    <tableColumn id="5" xr3:uid="{00000000-0010-0000-0500-000005000000}" name="Önem Derecesi"/>
    <tableColumn id="6" xr3:uid="{00000000-0010-0000-0500-000006000000}" name="Irk"/>
    <tableColumn id="7" xr3:uid="{00000000-0010-0000-0500-000007000000}" name="Cinsiyet"/>
    <tableColumn id="8" xr3:uid="{00000000-0010-0000-0500-000008000000}" name="Element"/>
    <tableColumn id="9" xr3:uid="{00000000-0010-0000-0500-000009000000}" name="Hikâye Düğümü"/>
    <tableColumn id="10" xr3:uid="{00000000-0010-0000-0500-00000A000000}" name="Bağlantı Karakterleri"/>
    <tableColumn id="11" xr3:uid="{00000000-0010-0000-0500-00000B000000}" name="Bağlantı Türü"/>
    <tableColumn id="12" xr3:uid="{00000000-0010-0000-0500-00000C000000}" name="Hikâye"/>
    <tableColumn id="13" xr3:uid="{00000000-0010-0000-0500-00000D000000}" name="Hikâye Harf Sayısı"/>
    <tableColumn id="14" xr3:uid="{00000000-0010-0000-0500-00000E000000}" name="130 Kontrol"/>
    <tableColumn id="15" xr3:uid="{00000000-0010-0000-0500-00000F000000}" name="Bağlantı Sayısı"/>
    <tableColumn id="16" xr3:uid="{00000000-0010-0000-0500-000010000000}" name="Profesyonel Not"/>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injaTable" displayName="NinjaTable" ref="A1:P63" totalsRowShown="0">
  <autoFilter ref="A1:P63" xr:uid="{00000000-0009-0000-0100-000007000000}"/>
  <tableColumns count="16">
    <tableColumn id="1" xr3:uid="{00000000-0010-0000-0600-000001000000}" name="ID"/>
    <tableColumn id="2" xr3:uid="{00000000-0010-0000-0600-000002000000}" name="Karakter"/>
    <tableColumn id="3" xr3:uid="{00000000-0010-0000-0600-000003000000}" name="Sınıf"/>
    <tableColumn id="4" xr3:uid="{00000000-0010-0000-0600-000004000000}" name="Nadirlik"/>
    <tableColumn id="5" xr3:uid="{00000000-0010-0000-0600-000005000000}" name="Önem Derecesi"/>
    <tableColumn id="6" xr3:uid="{00000000-0010-0000-0600-000006000000}" name="Irk"/>
    <tableColumn id="7" xr3:uid="{00000000-0010-0000-0600-000007000000}" name="Cinsiyet"/>
    <tableColumn id="8" xr3:uid="{00000000-0010-0000-0600-000008000000}" name="Element"/>
    <tableColumn id="9" xr3:uid="{00000000-0010-0000-0600-000009000000}" name="Hikâye Düğümü"/>
    <tableColumn id="10" xr3:uid="{00000000-0010-0000-0600-00000A000000}" name="Bağlantı Karakterleri"/>
    <tableColumn id="11" xr3:uid="{00000000-0010-0000-0600-00000B000000}" name="Bağlantı Türü"/>
    <tableColumn id="12" xr3:uid="{00000000-0010-0000-0600-00000C000000}" name="Hikâye"/>
    <tableColumn id="13" xr3:uid="{00000000-0010-0000-0600-00000D000000}" name="Hikâye Harf Sayısı"/>
    <tableColumn id="14" xr3:uid="{00000000-0010-0000-0600-00000E000000}" name="130 Kontrol"/>
    <tableColumn id="15" xr3:uid="{00000000-0010-0000-0600-00000F000000}" name="Bağlantı Sayısı"/>
    <tableColumn id="16" xr3:uid="{00000000-0010-0000-0600-000010000000}" name="Profesyonel Not"/>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nkTable" displayName="TankTable" ref="A1:P63" totalsRowShown="0">
  <autoFilter ref="A1:P63" xr:uid="{00000000-0009-0000-0100-000008000000}"/>
  <tableColumns count="16">
    <tableColumn id="1" xr3:uid="{00000000-0010-0000-0700-000001000000}" name="ID"/>
    <tableColumn id="2" xr3:uid="{00000000-0010-0000-0700-000002000000}" name="Karakter"/>
    <tableColumn id="3" xr3:uid="{00000000-0010-0000-0700-000003000000}" name="Sınıf"/>
    <tableColumn id="4" xr3:uid="{00000000-0010-0000-0700-000004000000}" name="Nadirlik"/>
    <tableColumn id="5" xr3:uid="{00000000-0010-0000-0700-000005000000}" name="Önem Derecesi"/>
    <tableColumn id="6" xr3:uid="{00000000-0010-0000-0700-000006000000}" name="Irk"/>
    <tableColumn id="7" xr3:uid="{00000000-0010-0000-0700-000007000000}" name="Cinsiyet"/>
    <tableColumn id="8" xr3:uid="{00000000-0010-0000-0700-000008000000}" name="Element"/>
    <tableColumn id="9" xr3:uid="{00000000-0010-0000-0700-000009000000}" name="Hikâye Düğümü"/>
    <tableColumn id="10" xr3:uid="{00000000-0010-0000-0700-00000A000000}" name="Bağlantı Karakterleri"/>
    <tableColumn id="11" xr3:uid="{00000000-0010-0000-0700-00000B000000}" name="Bağlantı Türü"/>
    <tableColumn id="12" xr3:uid="{00000000-0010-0000-0700-00000C000000}" name="Hikâye"/>
    <tableColumn id="13" xr3:uid="{00000000-0010-0000-0700-00000D000000}" name="Hikâye Harf Sayısı"/>
    <tableColumn id="14" xr3:uid="{00000000-0010-0000-0700-00000E000000}" name="130 Kontrol"/>
    <tableColumn id="15" xr3:uid="{00000000-0010-0000-0700-00000F000000}" name="Bağlantı Sayısı"/>
    <tableColumn id="16" xr3:uid="{00000000-0010-0000-0700-000010000000}" name="Profesyonel Not"/>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BuyucuTable" displayName="BuyucuTable" ref="A1:P63" totalsRowShown="0">
  <autoFilter ref="A1:P63" xr:uid="{00000000-0009-0000-0100-000009000000}"/>
  <tableColumns count="16">
    <tableColumn id="1" xr3:uid="{00000000-0010-0000-0800-000001000000}" name="ID"/>
    <tableColumn id="2" xr3:uid="{00000000-0010-0000-0800-000002000000}" name="Karakter"/>
    <tableColumn id="3" xr3:uid="{00000000-0010-0000-0800-000003000000}" name="Sınıf"/>
    <tableColumn id="4" xr3:uid="{00000000-0010-0000-0800-000004000000}" name="Nadirlik"/>
    <tableColumn id="5" xr3:uid="{00000000-0010-0000-0800-000005000000}" name="Önem Derecesi"/>
    <tableColumn id="6" xr3:uid="{00000000-0010-0000-0800-000006000000}" name="Irk"/>
    <tableColumn id="7" xr3:uid="{00000000-0010-0000-0800-000007000000}" name="Cinsiyet"/>
    <tableColumn id="8" xr3:uid="{00000000-0010-0000-0800-000008000000}" name="Element"/>
    <tableColumn id="9" xr3:uid="{00000000-0010-0000-0800-000009000000}" name="Hikâye Düğümü"/>
    <tableColumn id="10" xr3:uid="{00000000-0010-0000-0800-00000A000000}" name="Bağlantı Karakterleri"/>
    <tableColumn id="11" xr3:uid="{00000000-0010-0000-0800-00000B000000}" name="Bağlantı Türü"/>
    <tableColumn id="12" xr3:uid="{00000000-0010-0000-0800-00000C000000}" name="Hikâye"/>
    <tableColumn id="13" xr3:uid="{00000000-0010-0000-0800-00000D000000}" name="Hikâye Harf Sayısı"/>
    <tableColumn id="14" xr3:uid="{00000000-0010-0000-0800-00000E000000}" name="130 Kontrol"/>
    <tableColumn id="15" xr3:uid="{00000000-0010-0000-0800-00000F000000}" name="Bağlantı Sayısı"/>
    <tableColumn id="16" xr3:uid="{00000000-0010-0000-0800-000010000000}" name="Profesyonel No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avasciTable" displayName="SavasciTable" ref="A1:P63" totalsRowShown="0">
  <autoFilter ref="A1:P63" xr:uid="{00000000-0009-0000-0100-00000A000000}"/>
  <tableColumns count="16">
    <tableColumn id="1" xr3:uid="{00000000-0010-0000-0900-000001000000}" name="ID"/>
    <tableColumn id="2" xr3:uid="{00000000-0010-0000-0900-000002000000}" name="Karakter"/>
    <tableColumn id="3" xr3:uid="{00000000-0010-0000-0900-000003000000}" name="Sınıf"/>
    <tableColumn id="4" xr3:uid="{00000000-0010-0000-0900-000004000000}" name="Nadirlik"/>
    <tableColumn id="5" xr3:uid="{00000000-0010-0000-0900-000005000000}" name="Önem Derecesi"/>
    <tableColumn id="6" xr3:uid="{00000000-0010-0000-0900-000006000000}" name="Irk"/>
    <tableColumn id="7" xr3:uid="{00000000-0010-0000-0900-000007000000}" name="Cinsiyet"/>
    <tableColumn id="8" xr3:uid="{00000000-0010-0000-0900-000008000000}" name="Element"/>
    <tableColumn id="9" xr3:uid="{00000000-0010-0000-0900-000009000000}" name="Hikâye Düğümü"/>
    <tableColumn id="10" xr3:uid="{00000000-0010-0000-0900-00000A000000}" name="Bağlantı Karakterleri"/>
    <tableColumn id="11" xr3:uid="{00000000-0010-0000-0900-00000B000000}" name="Bağlantı Türü"/>
    <tableColumn id="12" xr3:uid="{00000000-0010-0000-0900-00000C000000}" name="Hikâye"/>
    <tableColumn id="13" xr3:uid="{00000000-0010-0000-0900-00000D000000}" name="Hikâye Harf Sayısı"/>
    <tableColumn id="14" xr3:uid="{00000000-0010-0000-0900-00000E000000}" name="130 Kontrol"/>
    <tableColumn id="15" xr3:uid="{00000000-0010-0000-0900-00000F000000}" name="Bağlantı Sayısı"/>
    <tableColumn id="16" xr3:uid="{00000000-0010-0000-0900-000010000000}" name="Profesyonel Not"/>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ikayeAglariTable" displayName="HikayeAglariTable" ref="A1:E28" totalsRowShown="0">
  <autoFilter ref="A1:E28" xr:uid="{00000000-0009-0000-0100-00000B000000}"/>
  <tableColumns count="5">
    <tableColumn id="1" xr3:uid="{00000000-0010-0000-0A00-000001000000}" name="Hikâye Düğümü"/>
    <tableColumn id="2" xr3:uid="{00000000-0010-0000-0A00-000002000000}" name="Ana Tema"/>
    <tableColumn id="3" xr3:uid="{00000000-0010-0000-0A00-000003000000}" name="Bağlantı Karakterleri"/>
    <tableColumn id="4" xr3:uid="{00000000-0010-0000-0A00-000004000000}" name="Kullanım Amacı"/>
    <tableColumn id="5" xr3:uid="{00000000-0010-0000-0A00-000005000000}" name="Ton Notu"/>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ngeDegisiklikleri" displayName="DengeDegisiklikleri" ref="A1:J108" totalsRowShown="0">
  <autoFilter ref="A1:J108" xr:uid="{00000000-0009-0000-0100-00000C000000}"/>
  <tableColumns count="10">
    <tableColumn id="1" xr3:uid="{00000000-0010-0000-0B00-000001000000}" name="ID"/>
    <tableColumn id="2" xr3:uid="{00000000-0010-0000-0B00-000002000000}" name="Karakter"/>
    <tableColumn id="3" xr3:uid="{00000000-0010-0000-0B00-000003000000}" name="Sınıf"/>
    <tableColumn id="4" xr3:uid="{00000000-0010-0000-0B00-000004000000}" name="Görsel Sayısı"/>
    <tableColumn id="5" xr3:uid="{00000000-0010-0000-0B00-000005000000}" name="Görselde Görünen"/>
    <tableColumn id="6" xr3:uid="{00000000-0010-0000-0B00-000006000000}" name="Önceki Taslak"/>
    <tableColumn id="7" xr3:uid="{00000000-0010-0000-0B00-000007000000}" name="Yeni Irk"/>
    <tableColumn id="8" xr3:uid="{00000000-0010-0000-0B00-000008000000}" name="Güven"/>
    <tableColumn id="9" xr3:uid="{00000000-0010-0000-0B00-000009000000}" name="Gerekçe"/>
    <tableColumn id="10" xr3:uid="{00000000-0010-0000-0B00-00000A000000}" name="Hikây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YeniIrkDagilimi" displayName="YeniIrkDagilimi" ref="A1:G14" totalsRowShown="0">
  <autoFilter ref="A1:G14" xr:uid="{00000000-0009-0000-0100-00000D000000}"/>
  <tableColumns count="7">
    <tableColumn id="1" xr3:uid="{00000000-0010-0000-0C00-000001000000}" name="Yeni Ana Irk"/>
    <tableColumn id="2" xr3:uid="{00000000-0010-0000-0C00-000002000000}" name="Önerilen Sayı"/>
    <tableColumn id="3" xr3:uid="{00000000-0010-0000-0C00-000003000000}" name="Görseli Olan"/>
    <tableColumn id="4" xr3:uid="{00000000-0010-0000-0C00-000004000000}" name="Görseli Olmayan"/>
    <tableColumn id="5" xr3:uid="{00000000-0010-0000-0C00-000005000000}" name="Kesin/Güçlü"/>
    <tableColumn id="6" xr3:uid="{00000000-0010-0000-0C00-000006000000}" name="Orta"/>
    <tableColumn id="7" xr3:uid="{00000000-0010-0000-0C00-000007000000}" name="Onay Gerekli"/>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IrkYenidenKurulum" displayName="IrkYenidenKurulum" ref="A1:P312" totalsRowShown="0">
  <autoFilter ref="A1:P312" xr:uid="{00000000-0009-0000-0100-00000E000000}"/>
  <tableColumns count="16">
    <tableColumn id="1" xr3:uid="{00000000-0010-0000-0D00-000001000000}" name="ID"/>
    <tableColumn id="2" xr3:uid="{00000000-0010-0000-0D00-000002000000}" name="Karakter"/>
    <tableColumn id="3" xr3:uid="{00000000-0010-0000-0D00-000003000000}" name="Sınıf"/>
    <tableColumn id="4" xr3:uid="{00000000-0010-0000-0D00-000004000000}" name="Nadirlik"/>
    <tableColumn id="5" xr3:uid="{00000000-0010-0000-0D00-000005000000}" name="Word Adı"/>
    <tableColumn id="6" xr3:uid="{00000000-0010-0000-0D00-000006000000}" name="Görsel Sayısı"/>
    <tableColumn id="7" xr3:uid="{00000000-0010-0000-0D00-000007000000}" name="Görselde Görünen"/>
    <tableColumn id="8" xr3:uid="{00000000-0010-0000-0D00-000008000000}" name="Eski Irk Etiketi"/>
    <tableColumn id="9" xr3:uid="{00000000-0010-0000-0D00-000009000000}" name="Eski Etiket Türü"/>
    <tableColumn id="10" xr3:uid="{00000000-0010-0000-0D00-00000A000000}" name="Önerilen Yeni Irk"/>
    <tableColumn id="11" xr3:uid="{00000000-0010-0000-0D00-00000B000000}" name="Soy/Köken/Unvan Alanına Taşınacak"/>
    <tableColumn id="12" xr3:uid="{00000000-0010-0000-0D00-00000C000000}" name="Güven"/>
    <tableColumn id="13" xr3:uid="{00000000-0010-0000-0D00-00000D000000}" name="Kanıt"/>
    <tableColumn id="14" xr3:uid="{00000000-0010-0000-0D00-00000E000000}" name="Hikâye"/>
    <tableColumn id="15" xr3:uid="{00000000-0010-0000-0D00-00000F000000}" name="Son Karar"/>
    <tableColumn id="16" xr3:uid="{00000000-0010-0000-0D00-000010000000}" name="Onay Notu"/>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source/Karakter_Projesi_V1_56_Sunum_ve_Devam_Dosyasi_ONARILMIS.xlsx" TargetMode="External"/><Relationship Id="rId3" Type="http://schemas.openxmlformats.org/officeDocument/2006/relationships/hyperlink" Target="../source/Karakter_Projesi_V1_56_Sunum_ve_Devam_Dosyasi_ONARILMIS.xlsx" TargetMode="External"/><Relationship Id="rId7" Type="http://schemas.openxmlformats.org/officeDocument/2006/relationships/hyperlink" Target="../source/Karakter_Projesi_V1_56_Sunum_ve_Devam_Dosyasi_ONARILMIS.xlsx" TargetMode="External"/><Relationship Id="rId2" Type="http://schemas.openxmlformats.org/officeDocument/2006/relationships/hyperlink" Target="../source/Karakter_Projesi_V1_56_Sunum_ve_Devam_Dosyasi_ONARILMIS.xlsx" TargetMode="External"/><Relationship Id="rId1" Type="http://schemas.openxmlformats.org/officeDocument/2006/relationships/hyperlink" Target="../source/Karakter_Projesi_V1_56_Sunum_ve_Devam_Dosyasi_ONARILMIS.xlsx" TargetMode="External"/><Relationship Id="rId6" Type="http://schemas.openxmlformats.org/officeDocument/2006/relationships/hyperlink" Target="../source/Karakter_Projesi_V1_56_Sunum_ve_Devam_Dosyasi_ONARILMIS.xlsx" TargetMode="External"/><Relationship Id="rId5" Type="http://schemas.openxmlformats.org/officeDocument/2006/relationships/hyperlink" Target="../source/Karakter_Projesi_V1_56_Sunum_ve_Devam_Dosyasi_ONARILMIS.xlsx" TargetMode="External"/><Relationship Id="rId4" Type="http://schemas.openxmlformats.org/officeDocument/2006/relationships/hyperlink" Target="../source/Karakter_Projesi_V1_56_Sunum_ve_Devam_Dosyasi_ONARILMIS.xlsx"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7.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8.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4.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2235"/>
    <pageSetUpPr fitToPage="1"/>
  </sheetPr>
  <dimension ref="A1:H30"/>
  <sheetViews>
    <sheetView showGridLines="0" zoomScale="140" zoomScaleNormal="140" workbookViewId="0">
      <pane ySplit="3" topLeftCell="A4" activePane="bottomLeft" state="frozen"/>
      <selection pane="bottomLeft" activeCell="G17" sqref="G17:H17"/>
    </sheetView>
  </sheetViews>
  <sheetFormatPr defaultColWidth="8.7109375" defaultRowHeight="12.75" x14ac:dyDescent="0.2"/>
  <cols>
    <col min="1" max="1" width="9" customWidth="1"/>
    <col min="2" max="3" width="18" customWidth="1"/>
    <col min="4" max="4" width="30" customWidth="1"/>
    <col min="5" max="5" width="9" customWidth="1"/>
    <col min="6" max="7" width="18" customWidth="1"/>
    <col min="8" max="8" width="24" customWidth="1"/>
  </cols>
  <sheetData>
    <row r="1" spans="1:8" ht="33.75" customHeight="1" x14ac:dyDescent="0.2">
      <c r="A1" s="99" t="s">
        <v>1194</v>
      </c>
      <c r="B1" s="100"/>
      <c r="C1" s="100"/>
      <c r="D1" s="100"/>
      <c r="E1" s="100"/>
      <c r="F1" s="100"/>
      <c r="G1" s="100"/>
      <c r="H1" s="100"/>
    </row>
    <row r="2" spans="1:8" ht="24" customHeight="1" x14ac:dyDescent="0.2">
      <c r="A2" s="101" t="s">
        <v>1195</v>
      </c>
      <c r="B2" s="100"/>
      <c r="C2" s="100"/>
      <c r="D2" s="100"/>
      <c r="E2" s="100"/>
      <c r="F2" s="100"/>
      <c r="G2" s="100"/>
      <c r="H2" s="100"/>
    </row>
    <row r="4" spans="1:8" ht="42" customHeight="1" x14ac:dyDescent="0.2">
      <c r="A4" s="1" t="s">
        <v>1196</v>
      </c>
      <c r="B4" s="2">
        <f>COUNTA(Tum_Karakterler_311!A2:A312)</f>
        <v>311</v>
      </c>
      <c r="C4" s="3" t="s">
        <v>1197</v>
      </c>
      <c r="D4" s="4">
        <f>COUNTA(V1_Kadro_56!A5:A60)</f>
        <v>56</v>
      </c>
      <c r="E4" s="3" t="s">
        <v>1198</v>
      </c>
      <c r="F4" s="4">
        <f>COUNTIF(V1_Kadro_56!F5:F60,"Hazır")</f>
        <v>56</v>
      </c>
      <c r="G4" s="5" t="s">
        <v>1199</v>
      </c>
      <c r="H4" s="6">
        <f>COUNTIF(V1_Kadro_56!F5:F60,"Üretilecek")</f>
        <v>0</v>
      </c>
    </row>
    <row r="6" spans="1:8" ht="21.75" customHeight="1" x14ac:dyDescent="0.2">
      <c r="A6" s="110" t="s">
        <v>1200</v>
      </c>
      <c r="B6" s="100"/>
      <c r="C6" s="100"/>
      <c r="D6" s="100"/>
      <c r="E6" s="100"/>
      <c r="F6" s="100"/>
      <c r="G6" s="100"/>
      <c r="H6" s="100"/>
    </row>
    <row r="7" spans="1:8" ht="33.75" customHeight="1" x14ac:dyDescent="0.2">
      <c r="A7" s="7">
        <v>1</v>
      </c>
      <c r="B7" s="102" t="s">
        <v>1201</v>
      </c>
      <c r="C7" s="103"/>
      <c r="D7" s="105" t="s">
        <v>1202</v>
      </c>
      <c r="E7" s="103"/>
      <c r="F7" s="103"/>
      <c r="G7" s="103"/>
      <c r="H7" s="103"/>
    </row>
    <row r="8" spans="1:8" ht="33.75" customHeight="1" x14ac:dyDescent="0.2">
      <c r="A8" s="7">
        <v>2</v>
      </c>
      <c r="B8" s="102" t="s">
        <v>1203</v>
      </c>
      <c r="C8" s="103"/>
      <c r="D8" s="105" t="s">
        <v>1204</v>
      </c>
      <c r="E8" s="103"/>
      <c r="F8" s="103"/>
      <c r="G8" s="103"/>
      <c r="H8" s="103"/>
    </row>
    <row r="9" spans="1:8" ht="33.75" customHeight="1" x14ac:dyDescent="0.2">
      <c r="A9" s="7">
        <v>3</v>
      </c>
      <c r="B9" s="102" t="s">
        <v>1205</v>
      </c>
      <c r="C9" s="103"/>
      <c r="D9" s="105" t="s">
        <v>1206</v>
      </c>
      <c r="E9" s="103"/>
      <c r="F9" s="103"/>
      <c r="G9" s="103"/>
      <c r="H9" s="103"/>
    </row>
    <row r="10" spans="1:8" ht="33.75" customHeight="1" x14ac:dyDescent="0.2">
      <c r="A10" s="7">
        <v>4</v>
      </c>
      <c r="B10" s="102" t="s">
        <v>1207</v>
      </c>
      <c r="C10" s="103"/>
      <c r="D10" s="105" t="s">
        <v>1208</v>
      </c>
      <c r="E10" s="103"/>
      <c r="F10" s="103"/>
      <c r="G10" s="103"/>
      <c r="H10" s="103"/>
    </row>
    <row r="11" spans="1:8" ht="48.75" customHeight="1" x14ac:dyDescent="0.2">
      <c r="A11" s="7">
        <v>5</v>
      </c>
      <c r="B11" s="102" t="s">
        <v>1209</v>
      </c>
      <c r="C11" s="103"/>
      <c r="D11" s="105" t="s">
        <v>1210</v>
      </c>
      <c r="E11" s="103"/>
      <c r="F11" s="103"/>
      <c r="G11" s="103"/>
      <c r="H11" s="103"/>
    </row>
    <row r="12" spans="1:8" ht="41.25" customHeight="1" x14ac:dyDescent="0.2">
      <c r="A12" s="91">
        <v>6</v>
      </c>
      <c r="B12" s="92" t="s">
        <v>1211</v>
      </c>
      <c r="D12" s="112" t="s">
        <v>1212</v>
      </c>
      <c r="E12" s="113"/>
      <c r="F12" s="113"/>
      <c r="G12" s="113"/>
      <c r="H12" s="113"/>
    </row>
    <row r="13" spans="1:8" ht="21.75" customHeight="1" x14ac:dyDescent="0.2">
      <c r="A13" s="110" t="s">
        <v>1213</v>
      </c>
      <c r="B13" s="100"/>
      <c r="C13" s="100"/>
      <c r="D13" s="100"/>
      <c r="E13" s="100"/>
      <c r="F13" s="100"/>
      <c r="G13" s="100"/>
      <c r="H13" s="100"/>
    </row>
    <row r="14" spans="1:8" ht="27.75" customHeight="1" x14ac:dyDescent="0.2">
      <c r="A14" s="8" t="s">
        <v>1214</v>
      </c>
      <c r="B14" s="104" t="s">
        <v>1215</v>
      </c>
      <c r="C14" s="103"/>
      <c r="D14" s="103"/>
      <c r="E14" s="103"/>
      <c r="F14" s="103"/>
      <c r="G14" s="108" t="s">
        <v>1216</v>
      </c>
      <c r="H14" s="103"/>
    </row>
    <row r="15" spans="1:8" ht="27.75" customHeight="1" x14ac:dyDescent="0.2">
      <c r="A15" s="8" t="s">
        <v>1217</v>
      </c>
      <c r="B15" s="104" t="s">
        <v>1218</v>
      </c>
      <c r="C15" s="103"/>
      <c r="D15" s="103"/>
      <c r="E15" s="103"/>
      <c r="F15" s="103"/>
      <c r="G15" s="108" t="s">
        <v>1216</v>
      </c>
      <c r="H15" s="103"/>
    </row>
    <row r="16" spans="1:8" ht="27.75" customHeight="1" x14ac:dyDescent="0.2">
      <c r="A16" s="8" t="s">
        <v>1219</v>
      </c>
      <c r="B16" s="104" t="s">
        <v>1220</v>
      </c>
      <c r="C16" s="103"/>
      <c r="D16" s="103"/>
      <c r="E16" s="103"/>
      <c r="F16" s="103"/>
      <c r="G16" s="108" t="s">
        <v>1216</v>
      </c>
      <c r="H16" s="103"/>
    </row>
    <row r="17" spans="1:8" ht="27.75" customHeight="1" x14ac:dyDescent="0.2">
      <c r="A17" s="8" t="s">
        <v>1221</v>
      </c>
      <c r="B17" s="104" t="s">
        <v>1222</v>
      </c>
      <c r="C17" s="103"/>
      <c r="D17" s="103"/>
      <c r="E17" s="103"/>
      <c r="F17" s="103"/>
      <c r="G17" s="109" t="s">
        <v>1223</v>
      </c>
      <c r="H17" s="103"/>
    </row>
    <row r="18" spans="1:8" ht="27.75" customHeight="1" x14ac:dyDescent="0.2">
      <c r="A18" s="8" t="s">
        <v>1224</v>
      </c>
      <c r="B18" s="104" t="s">
        <v>1225</v>
      </c>
      <c r="C18" s="103"/>
      <c r="D18" s="103"/>
      <c r="E18" s="103"/>
      <c r="F18" s="103"/>
      <c r="G18" s="108" t="s">
        <v>101</v>
      </c>
      <c r="H18" s="103"/>
    </row>
    <row r="20" spans="1:8" ht="21.75" customHeight="1" x14ac:dyDescent="0.2">
      <c r="A20" s="110" t="s">
        <v>1226</v>
      </c>
      <c r="B20" s="100"/>
      <c r="C20" s="100"/>
      <c r="D20" s="100"/>
      <c r="E20" s="100"/>
      <c r="F20" s="100"/>
      <c r="G20" s="100"/>
      <c r="H20" s="100"/>
    </row>
    <row r="21" spans="1:8" ht="25.5" customHeight="1" x14ac:dyDescent="0.2">
      <c r="A21" s="111" t="s">
        <v>1227</v>
      </c>
      <c r="B21" s="100"/>
      <c r="C21" s="100"/>
      <c r="D21" s="100"/>
      <c r="E21" s="100"/>
      <c r="F21" s="100"/>
      <c r="G21" s="100"/>
      <c r="H21" s="100"/>
    </row>
    <row r="22" spans="1:8" ht="25.5" customHeight="1" x14ac:dyDescent="0.2">
      <c r="A22" s="106" t="s">
        <v>1228</v>
      </c>
      <c r="B22" s="100"/>
      <c r="C22" s="100"/>
      <c r="D22" s="100"/>
      <c r="E22" s="100"/>
      <c r="F22" s="100"/>
      <c r="G22" s="100"/>
      <c r="H22" s="100"/>
    </row>
    <row r="23" spans="1:8" ht="25.5" customHeight="1" x14ac:dyDescent="0.2">
      <c r="A23" s="106" t="s">
        <v>1229</v>
      </c>
      <c r="B23" s="100"/>
      <c r="C23" s="100"/>
      <c r="D23" s="100"/>
      <c r="E23" s="100"/>
      <c r="F23" s="100"/>
      <c r="G23" s="100"/>
      <c r="H23" s="100"/>
    </row>
    <row r="24" spans="1:8" ht="25.5" customHeight="1" x14ac:dyDescent="0.2">
      <c r="A24" s="106" t="s">
        <v>1230</v>
      </c>
      <c r="B24" s="100"/>
      <c r="C24" s="100"/>
      <c r="D24" s="100"/>
      <c r="E24" s="100"/>
      <c r="F24" s="100"/>
      <c r="G24" s="100"/>
      <c r="H24" s="100"/>
    </row>
    <row r="26" spans="1:8" ht="21.75" customHeight="1" x14ac:dyDescent="0.2">
      <c r="A26" s="110" t="s">
        <v>1231</v>
      </c>
      <c r="B26" s="100"/>
      <c r="C26" s="100"/>
      <c r="D26" s="100"/>
      <c r="E26" s="100"/>
      <c r="F26" s="100"/>
      <c r="G26" s="100"/>
      <c r="H26" s="100"/>
    </row>
    <row r="27" spans="1:8" ht="24" customHeight="1" x14ac:dyDescent="0.2">
      <c r="A27" s="107" t="s">
        <v>1232</v>
      </c>
      <c r="B27" s="100"/>
      <c r="C27" s="100"/>
      <c r="D27" s="9" t="s">
        <v>1233</v>
      </c>
      <c r="E27" s="107" t="s">
        <v>1234</v>
      </c>
      <c r="F27" s="100"/>
      <c r="G27" s="100"/>
      <c r="H27" s="9" t="s">
        <v>1235</v>
      </c>
    </row>
    <row r="28" spans="1:8" ht="24" customHeight="1" x14ac:dyDescent="0.2">
      <c r="A28" s="107" t="s">
        <v>1236</v>
      </c>
      <c r="B28" s="100"/>
      <c r="C28" s="100"/>
      <c r="D28" s="9" t="s">
        <v>1237</v>
      </c>
      <c r="E28" s="107" t="s">
        <v>1238</v>
      </c>
      <c r="F28" s="100"/>
      <c r="G28" s="100"/>
      <c r="H28" s="9" t="s">
        <v>1239</v>
      </c>
    </row>
    <row r="29" spans="1:8" ht="24" customHeight="1" x14ac:dyDescent="0.2">
      <c r="A29" s="107" t="s">
        <v>1240</v>
      </c>
      <c r="B29" s="100"/>
      <c r="C29" s="100"/>
      <c r="D29" s="9" t="s">
        <v>1241</v>
      </c>
      <c r="E29" s="107" t="s">
        <v>1242</v>
      </c>
      <c r="F29" s="100"/>
      <c r="G29" s="100"/>
      <c r="H29" s="9" t="s">
        <v>1243</v>
      </c>
    </row>
    <row r="30" spans="1:8" ht="24" customHeight="1" x14ac:dyDescent="0.2">
      <c r="A30" s="107" t="s">
        <v>1244</v>
      </c>
      <c r="B30" s="100"/>
      <c r="C30" s="100"/>
      <c r="D30" s="9" t="s">
        <v>1245</v>
      </c>
      <c r="E30" s="107" t="s">
        <v>1246</v>
      </c>
      <c r="F30" s="100"/>
      <c r="G30" s="100"/>
      <c r="H30" s="9" t="s">
        <v>1247</v>
      </c>
    </row>
  </sheetData>
  <mergeCells count="39">
    <mergeCell ref="A2:H2"/>
    <mergeCell ref="B10:C10"/>
    <mergeCell ref="G14:H14"/>
    <mergeCell ref="A30:C30"/>
    <mergeCell ref="A23:H23"/>
    <mergeCell ref="B9:C9"/>
    <mergeCell ref="A22:H22"/>
    <mergeCell ref="D9:H9"/>
    <mergeCell ref="D12:H12"/>
    <mergeCell ref="D8:H8"/>
    <mergeCell ref="G16:H16"/>
    <mergeCell ref="A20:H20"/>
    <mergeCell ref="B15:F15"/>
    <mergeCell ref="A13:H13"/>
    <mergeCell ref="E29:G29"/>
    <mergeCell ref="E28:G28"/>
    <mergeCell ref="A1:H1"/>
    <mergeCell ref="E30:G30"/>
    <mergeCell ref="G17:H17"/>
    <mergeCell ref="B18:F18"/>
    <mergeCell ref="A6:H6"/>
    <mergeCell ref="B11:C11"/>
    <mergeCell ref="E27:G27"/>
    <mergeCell ref="D11:H11"/>
    <mergeCell ref="B14:F14"/>
    <mergeCell ref="A29:C29"/>
    <mergeCell ref="G18:H18"/>
    <mergeCell ref="B8:C8"/>
    <mergeCell ref="B17:F17"/>
    <mergeCell ref="A28:C28"/>
    <mergeCell ref="A26:H26"/>
    <mergeCell ref="A21:H21"/>
    <mergeCell ref="B7:C7"/>
    <mergeCell ref="B16:F16"/>
    <mergeCell ref="D10:H10"/>
    <mergeCell ref="A24:H24"/>
    <mergeCell ref="A27:C27"/>
    <mergeCell ref="D7:H7"/>
    <mergeCell ref="G15:H15"/>
  </mergeCells>
  <hyperlinks>
    <hyperlink ref="A27" r:id="rId1" location="'V1_Kadro_56'!A1" xr:uid="{00000000-0004-0000-0000-000000000000}"/>
    <hyperlink ref="E27" r:id="rId2" location="'V1_Uretilecek_14'!A1" xr:uid="{00000000-0004-0000-0000-000001000000}"/>
    <hyperlink ref="A28" r:id="rId3" location="'V1_Sinif_Nadirlik'!A1" xr:uid="{00000000-0004-0000-0000-000002000000}"/>
    <hyperlink ref="E28" r:id="rId4" location="'Gorsel_Durum_311'!A1" xr:uid="{00000000-0004-0000-0000-000003000000}"/>
    <hyperlink ref="A29" r:id="rId5" location="'Irk_Sozlugu'!A1" xr:uid="{00000000-0004-0000-0000-000004000000}"/>
    <hyperlink ref="E29" r:id="rId6" location="'Tum_Karakterler_311'!A1" xr:uid="{00000000-0004-0000-0000-000005000000}"/>
    <hyperlink ref="A30" r:id="rId7" location="'QA_KONTROL'!A1" xr:uid="{00000000-0004-0000-0000-000006000000}"/>
    <hyperlink ref="E30" r:id="rId8" location="'KAYNAK_VE_KURALLAR'!A1" xr:uid="{00000000-0004-0000-0000-000007000000}"/>
  </hyperlinks>
  <pageMargins left="0.25" right="0.25" top="0.35" bottom="0.45" header="0.511811023622047" footer="0.5"/>
  <pageSetup paperSize="9" fitToHeight="0" orientation="portrait" horizontalDpi="300" verticalDpi="300"/>
  <headerFooter>
    <oddFooter>&amp;C&amp;8 &amp;K6b7280&amp;F  |  Sayfa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83DE"/>
    <pageSetUpPr fitToPage="1"/>
  </sheetPr>
  <dimension ref="A1:J60"/>
  <sheetViews>
    <sheetView showGridLines="0" tabSelected="1" zoomScale="140" zoomScaleNormal="140" workbookViewId="0">
      <pane ySplit="4" topLeftCell="A9" activePane="bottomLeft" state="frozen"/>
      <selection pane="bottomLeft" activeCell="B9" sqref="B9"/>
    </sheetView>
  </sheetViews>
  <sheetFormatPr defaultColWidth="8.7109375" defaultRowHeight="12.75" x14ac:dyDescent="0.2"/>
  <cols>
    <col min="1" max="1" width="8" customWidth="1"/>
    <col min="2" max="2" width="28" customWidth="1"/>
    <col min="3" max="4" width="13" customWidth="1"/>
    <col min="5" max="5" width="15" customWidth="1"/>
    <col min="6" max="6" width="16" customWidth="1"/>
    <col min="7" max="7" width="12" customWidth="1"/>
    <col min="8" max="8" width="48" customWidth="1"/>
    <col min="9" max="9" width="14" customWidth="1"/>
    <col min="10" max="10" width="34" customWidth="1"/>
  </cols>
  <sheetData>
    <row r="1" spans="1:10" ht="33.75" customHeight="1" x14ac:dyDescent="0.2">
      <c r="A1" s="99" t="s">
        <v>1248</v>
      </c>
      <c r="B1" s="100"/>
      <c r="C1" s="100"/>
      <c r="D1" s="100"/>
      <c r="E1" s="100"/>
      <c r="F1" s="100"/>
      <c r="G1" s="100"/>
      <c r="H1" s="100"/>
      <c r="I1" s="100"/>
      <c r="J1" s="100"/>
    </row>
    <row r="2" spans="1:10" ht="24" customHeight="1" x14ac:dyDescent="0.2">
      <c r="A2" s="101" t="s">
        <v>1249</v>
      </c>
      <c r="B2" s="100"/>
      <c r="C2" s="100"/>
      <c r="D2" s="100"/>
      <c r="E2" s="100"/>
      <c r="F2" s="100"/>
      <c r="G2" s="100"/>
      <c r="H2" s="100"/>
      <c r="I2" s="100"/>
      <c r="J2" s="100"/>
    </row>
    <row r="4" spans="1:10" ht="27.75" customHeight="1" x14ac:dyDescent="0.2">
      <c r="A4" s="10" t="s">
        <v>0</v>
      </c>
      <c r="B4" s="10" t="s">
        <v>1</v>
      </c>
      <c r="C4" s="10" t="s">
        <v>2</v>
      </c>
      <c r="D4" s="10" t="s">
        <v>3</v>
      </c>
      <c r="E4" s="10" t="s">
        <v>5</v>
      </c>
      <c r="F4" s="10" t="s">
        <v>1250</v>
      </c>
      <c r="G4" s="10" t="s">
        <v>1251</v>
      </c>
      <c r="H4" s="10" t="s">
        <v>1252</v>
      </c>
      <c r="I4" s="10" t="s">
        <v>1253</v>
      </c>
      <c r="J4" s="10" t="s">
        <v>1254</v>
      </c>
    </row>
    <row r="5" spans="1:10" ht="23.25" customHeight="1" x14ac:dyDescent="0.2">
      <c r="A5" s="11">
        <v>188</v>
      </c>
      <c r="B5" s="98" t="s">
        <v>744</v>
      </c>
      <c r="C5" s="13" t="s">
        <v>745</v>
      </c>
      <c r="D5" s="13" t="s">
        <v>18</v>
      </c>
      <c r="E5" s="13" t="s">
        <v>19</v>
      </c>
      <c r="F5" s="14" t="s">
        <v>1255</v>
      </c>
      <c r="G5" s="15">
        <v>3</v>
      </c>
      <c r="H5" s="12" t="s">
        <v>1256</v>
      </c>
      <c r="I5" s="13" t="s">
        <v>1216</v>
      </c>
      <c r="J5" s="12" t="s">
        <v>1257</v>
      </c>
    </row>
    <row r="6" spans="1:10" ht="30" customHeight="1" x14ac:dyDescent="0.2">
      <c r="A6" s="16">
        <v>189</v>
      </c>
      <c r="B6" s="94" t="s">
        <v>2964</v>
      </c>
      <c r="C6" s="18" t="s">
        <v>745</v>
      </c>
      <c r="D6" s="18" t="s">
        <v>18</v>
      </c>
      <c r="E6" s="18" t="s">
        <v>19</v>
      </c>
      <c r="F6" s="14" t="s">
        <v>1255</v>
      </c>
      <c r="G6" s="19">
        <v>2</v>
      </c>
      <c r="H6" s="17" t="s">
        <v>1258</v>
      </c>
      <c r="I6" s="18" t="s">
        <v>1216</v>
      </c>
      <c r="J6" s="17" t="s">
        <v>1257</v>
      </c>
    </row>
    <row r="7" spans="1:10" ht="30" customHeight="1" x14ac:dyDescent="0.2">
      <c r="A7" s="11">
        <v>192</v>
      </c>
      <c r="B7" s="93" t="s">
        <v>761</v>
      </c>
      <c r="C7" s="13" t="s">
        <v>745</v>
      </c>
      <c r="D7" s="13" t="s">
        <v>18</v>
      </c>
      <c r="E7" s="13" t="s">
        <v>19</v>
      </c>
      <c r="F7" s="14" t="s">
        <v>1255</v>
      </c>
      <c r="G7" s="15">
        <v>1</v>
      </c>
      <c r="H7" s="12" t="s">
        <v>1259</v>
      </c>
      <c r="I7" s="13" t="s">
        <v>1216</v>
      </c>
      <c r="J7" s="12" t="s">
        <v>1257</v>
      </c>
    </row>
    <row r="8" spans="1:10" ht="30" customHeight="1" x14ac:dyDescent="0.2">
      <c r="A8" s="16">
        <v>217</v>
      </c>
      <c r="B8" s="94" t="s">
        <v>844</v>
      </c>
      <c r="C8" s="18" t="s">
        <v>745</v>
      </c>
      <c r="D8" s="18" t="s">
        <v>18</v>
      </c>
      <c r="E8" s="18" t="s">
        <v>41</v>
      </c>
      <c r="F8" s="14" t="s">
        <v>1255</v>
      </c>
      <c r="G8" s="19">
        <v>1</v>
      </c>
      <c r="H8" s="17" t="s">
        <v>1260</v>
      </c>
      <c r="I8" s="18" t="s">
        <v>1216</v>
      </c>
      <c r="J8" s="17" t="s">
        <v>1257</v>
      </c>
    </row>
    <row r="9" spans="1:10" ht="30" customHeight="1" x14ac:dyDescent="0.2">
      <c r="A9" s="11">
        <v>1</v>
      </c>
      <c r="B9" s="12" t="s">
        <v>16</v>
      </c>
      <c r="C9" s="13" t="s">
        <v>17</v>
      </c>
      <c r="D9" s="13" t="s">
        <v>18</v>
      </c>
      <c r="E9" s="13" t="s">
        <v>19</v>
      </c>
      <c r="F9" s="14" t="s">
        <v>1255</v>
      </c>
      <c r="G9" s="15">
        <v>1</v>
      </c>
      <c r="H9" s="12" t="s">
        <v>1261</v>
      </c>
      <c r="I9" s="13" t="s">
        <v>1216</v>
      </c>
      <c r="J9" s="12" t="s">
        <v>1257</v>
      </c>
    </row>
    <row r="10" spans="1:10" ht="30" customHeight="1" x14ac:dyDescent="0.2">
      <c r="A10" s="16">
        <v>2</v>
      </c>
      <c r="B10" s="17" t="s">
        <v>27</v>
      </c>
      <c r="C10" s="18" t="s">
        <v>17</v>
      </c>
      <c r="D10" s="18" t="s">
        <v>18</v>
      </c>
      <c r="E10" s="18" t="s">
        <v>19</v>
      </c>
      <c r="F10" s="14" t="s">
        <v>1255</v>
      </c>
      <c r="G10" s="19">
        <v>1</v>
      </c>
      <c r="H10" s="17" t="s">
        <v>1262</v>
      </c>
      <c r="I10" s="18" t="s">
        <v>1216</v>
      </c>
      <c r="J10" s="17" t="s">
        <v>1257</v>
      </c>
    </row>
    <row r="11" spans="1:10" ht="30" customHeight="1" x14ac:dyDescent="0.2">
      <c r="A11" s="11">
        <v>8</v>
      </c>
      <c r="B11" s="12" t="s">
        <v>63</v>
      </c>
      <c r="C11" s="13" t="s">
        <v>17</v>
      </c>
      <c r="D11" s="13" t="s">
        <v>18</v>
      </c>
      <c r="E11" s="13" t="s">
        <v>64</v>
      </c>
      <c r="F11" s="14" t="s">
        <v>1255</v>
      </c>
      <c r="G11" s="15">
        <v>1</v>
      </c>
      <c r="H11" s="12" t="s">
        <v>1263</v>
      </c>
      <c r="I11" s="13" t="s">
        <v>1216</v>
      </c>
      <c r="J11" s="12" t="s">
        <v>1257</v>
      </c>
    </row>
    <row r="12" spans="1:10" ht="30" customHeight="1" x14ac:dyDescent="0.2">
      <c r="A12" s="16">
        <v>17</v>
      </c>
      <c r="B12" s="17" t="s">
        <v>103</v>
      </c>
      <c r="C12" s="18" t="s">
        <v>17</v>
      </c>
      <c r="D12" s="18" t="s">
        <v>18</v>
      </c>
      <c r="E12" s="18" t="s">
        <v>41</v>
      </c>
      <c r="F12" s="14" t="s">
        <v>1255</v>
      </c>
      <c r="G12" s="19">
        <v>1</v>
      </c>
      <c r="H12" s="17" t="s">
        <v>1264</v>
      </c>
      <c r="I12" s="18" t="s">
        <v>1216</v>
      </c>
      <c r="J12" s="17" t="s">
        <v>1257</v>
      </c>
    </row>
    <row r="13" spans="1:10" ht="30" customHeight="1" x14ac:dyDescent="0.2">
      <c r="A13" s="11">
        <v>64</v>
      </c>
      <c r="B13" s="93" t="s">
        <v>2956</v>
      </c>
      <c r="C13" s="13" t="s">
        <v>268</v>
      </c>
      <c r="D13" s="13" t="s">
        <v>18</v>
      </c>
      <c r="E13" s="13" t="s">
        <v>79</v>
      </c>
      <c r="F13" s="14" t="s">
        <v>1255</v>
      </c>
      <c r="G13" s="15">
        <v>1</v>
      </c>
      <c r="H13" s="12" t="s">
        <v>1265</v>
      </c>
      <c r="I13" s="13" t="s">
        <v>1216</v>
      </c>
      <c r="J13" s="12" t="s">
        <v>1257</v>
      </c>
    </row>
    <row r="14" spans="1:10" ht="30" customHeight="1" x14ac:dyDescent="0.2">
      <c r="A14" s="16">
        <v>67</v>
      </c>
      <c r="B14" s="94" t="s">
        <v>2954</v>
      </c>
      <c r="C14" s="18" t="s">
        <v>268</v>
      </c>
      <c r="D14" s="18" t="s">
        <v>18</v>
      </c>
      <c r="E14" s="18" t="s">
        <v>79</v>
      </c>
      <c r="F14" s="14" t="s">
        <v>1255</v>
      </c>
      <c r="G14" s="19">
        <v>1</v>
      </c>
      <c r="H14" s="17" t="s">
        <v>1266</v>
      </c>
      <c r="I14" s="18" t="s">
        <v>1216</v>
      </c>
      <c r="J14" s="17" t="s">
        <v>1257</v>
      </c>
    </row>
    <row r="15" spans="1:10" ht="30" customHeight="1" x14ac:dyDescent="0.2">
      <c r="A15" s="11">
        <v>70</v>
      </c>
      <c r="B15" s="93" t="s">
        <v>2955</v>
      </c>
      <c r="C15" s="13" t="s">
        <v>268</v>
      </c>
      <c r="D15" s="13" t="s">
        <v>18</v>
      </c>
      <c r="E15" s="13" t="s">
        <v>79</v>
      </c>
      <c r="F15" s="14" t="s">
        <v>1255</v>
      </c>
      <c r="G15" s="15">
        <v>1</v>
      </c>
      <c r="H15" s="12" t="s">
        <v>1267</v>
      </c>
      <c r="I15" s="13" t="s">
        <v>1216</v>
      </c>
      <c r="J15" s="12" t="s">
        <v>1257</v>
      </c>
    </row>
    <row r="16" spans="1:10" ht="30" customHeight="1" x14ac:dyDescent="0.2">
      <c r="A16" s="16">
        <v>71</v>
      </c>
      <c r="B16" s="94" t="s">
        <v>2957</v>
      </c>
      <c r="C16" s="18" t="s">
        <v>268</v>
      </c>
      <c r="D16" s="18" t="s">
        <v>18</v>
      </c>
      <c r="E16" s="18" t="s">
        <v>299</v>
      </c>
      <c r="F16" s="14" t="s">
        <v>1255</v>
      </c>
      <c r="G16" s="19">
        <v>1</v>
      </c>
      <c r="H16" s="17" t="s">
        <v>1268</v>
      </c>
      <c r="I16" s="18" t="s">
        <v>1216</v>
      </c>
      <c r="J16" s="17" t="s">
        <v>1257</v>
      </c>
    </row>
    <row r="17" spans="1:10" ht="30" customHeight="1" x14ac:dyDescent="0.2">
      <c r="A17" s="11">
        <v>126</v>
      </c>
      <c r="B17" s="12" t="s">
        <v>506</v>
      </c>
      <c r="C17" s="13" t="s">
        <v>507</v>
      </c>
      <c r="D17" s="13" t="s">
        <v>18</v>
      </c>
      <c r="E17" s="13" t="s">
        <v>19</v>
      </c>
      <c r="F17" s="14" t="s">
        <v>1255</v>
      </c>
      <c r="G17" s="15">
        <v>1</v>
      </c>
      <c r="H17" s="12" t="s">
        <v>1269</v>
      </c>
      <c r="I17" s="13" t="s">
        <v>1216</v>
      </c>
      <c r="J17" s="12" t="s">
        <v>1257</v>
      </c>
    </row>
    <row r="18" spans="1:10" ht="30" customHeight="1" x14ac:dyDescent="0.2">
      <c r="A18" s="16">
        <v>127</v>
      </c>
      <c r="B18" s="94" t="s">
        <v>2958</v>
      </c>
      <c r="C18" s="18" t="s">
        <v>507</v>
      </c>
      <c r="D18" s="18" t="s">
        <v>18</v>
      </c>
      <c r="E18" s="18" t="s">
        <v>513</v>
      </c>
      <c r="F18" s="14" t="s">
        <v>1255</v>
      </c>
      <c r="G18" s="19">
        <v>1</v>
      </c>
      <c r="H18" s="17" t="s">
        <v>1270</v>
      </c>
      <c r="I18" s="18" t="s">
        <v>1216</v>
      </c>
      <c r="J18" s="17" t="s">
        <v>1257</v>
      </c>
    </row>
    <row r="19" spans="1:10" ht="30" customHeight="1" x14ac:dyDescent="0.2">
      <c r="A19" s="11">
        <v>129</v>
      </c>
      <c r="B19" s="93" t="s">
        <v>2959</v>
      </c>
      <c r="C19" s="13" t="s">
        <v>507</v>
      </c>
      <c r="D19" s="13" t="s">
        <v>18</v>
      </c>
      <c r="E19" s="13" t="s">
        <v>356</v>
      </c>
      <c r="F19" s="14" t="s">
        <v>1255</v>
      </c>
      <c r="G19" s="15">
        <v>1</v>
      </c>
      <c r="H19" s="12" t="s">
        <v>1271</v>
      </c>
      <c r="I19" s="13" t="s">
        <v>1216</v>
      </c>
      <c r="J19" s="12" t="s">
        <v>1257</v>
      </c>
    </row>
    <row r="20" spans="1:10" ht="30" customHeight="1" x14ac:dyDescent="0.2">
      <c r="A20" s="16">
        <v>139</v>
      </c>
      <c r="B20" s="94" t="s">
        <v>2960</v>
      </c>
      <c r="C20" s="18" t="s">
        <v>507</v>
      </c>
      <c r="D20" s="18" t="s">
        <v>18</v>
      </c>
      <c r="E20" s="18" t="s">
        <v>558</v>
      </c>
      <c r="F20" s="14" t="s">
        <v>1255</v>
      </c>
      <c r="G20" s="19">
        <v>1</v>
      </c>
      <c r="H20" s="17" t="s">
        <v>1272</v>
      </c>
      <c r="I20" s="18" t="s">
        <v>1216</v>
      </c>
      <c r="J20" s="17" t="s">
        <v>1257</v>
      </c>
    </row>
    <row r="21" spans="1:10" ht="30" customHeight="1" x14ac:dyDescent="0.2">
      <c r="A21" s="11">
        <v>251</v>
      </c>
      <c r="B21" s="93" t="s">
        <v>1273</v>
      </c>
      <c r="C21" s="13" t="s">
        <v>973</v>
      </c>
      <c r="D21" s="13" t="s">
        <v>18</v>
      </c>
      <c r="E21" s="13" t="s">
        <v>19</v>
      </c>
      <c r="F21" s="14" t="s">
        <v>1255</v>
      </c>
      <c r="G21" s="15">
        <v>1</v>
      </c>
      <c r="H21" s="12" t="s">
        <v>1274</v>
      </c>
      <c r="I21" s="13" t="s">
        <v>1216</v>
      </c>
      <c r="J21" s="12" t="s">
        <v>1257</v>
      </c>
    </row>
    <row r="22" spans="1:10" ht="30" customHeight="1" x14ac:dyDescent="0.2">
      <c r="A22" s="16">
        <v>253</v>
      </c>
      <c r="B22" s="94" t="s">
        <v>986</v>
      </c>
      <c r="C22" s="18" t="s">
        <v>973</v>
      </c>
      <c r="D22" s="18" t="s">
        <v>18</v>
      </c>
      <c r="E22" s="18" t="s">
        <v>513</v>
      </c>
      <c r="F22" s="14" t="s">
        <v>1255</v>
      </c>
      <c r="G22" s="19">
        <v>1</v>
      </c>
      <c r="H22" s="17" t="s">
        <v>1275</v>
      </c>
      <c r="I22" s="18" t="s">
        <v>1216</v>
      </c>
      <c r="J22" s="17" t="s">
        <v>1257</v>
      </c>
    </row>
    <row r="23" spans="1:10" ht="30" customHeight="1" x14ac:dyDescent="0.2">
      <c r="A23" s="11">
        <v>255</v>
      </c>
      <c r="B23" s="93" t="s">
        <v>992</v>
      </c>
      <c r="C23" s="13" t="s">
        <v>973</v>
      </c>
      <c r="D23" s="13" t="s">
        <v>18</v>
      </c>
      <c r="E23" s="13" t="s">
        <v>19</v>
      </c>
      <c r="F23" s="14" t="s">
        <v>1255</v>
      </c>
      <c r="G23" s="15">
        <v>1</v>
      </c>
      <c r="H23" s="12" t="s">
        <v>1276</v>
      </c>
      <c r="I23" s="13" t="s">
        <v>1216</v>
      </c>
      <c r="J23" s="12" t="s">
        <v>1257</v>
      </c>
    </row>
    <row r="24" spans="1:10" ht="30" customHeight="1" x14ac:dyDescent="0.2">
      <c r="A24" s="16">
        <v>256</v>
      </c>
      <c r="B24" s="94" t="s">
        <v>996</v>
      </c>
      <c r="C24" s="18" t="s">
        <v>973</v>
      </c>
      <c r="D24" s="18" t="s">
        <v>18</v>
      </c>
      <c r="E24" s="18" t="s">
        <v>19</v>
      </c>
      <c r="F24" s="14" t="s">
        <v>1255</v>
      </c>
      <c r="G24" s="19">
        <v>1</v>
      </c>
      <c r="H24" s="17" t="s">
        <v>1277</v>
      </c>
      <c r="I24" s="18" t="s">
        <v>1216</v>
      </c>
      <c r="J24" s="17" t="s">
        <v>1257</v>
      </c>
    </row>
    <row r="25" spans="1:10" ht="30" customHeight="1" x14ac:dyDescent="0.2">
      <c r="A25" s="11">
        <v>221</v>
      </c>
      <c r="B25" s="93" t="s">
        <v>2965</v>
      </c>
      <c r="C25" s="13" t="s">
        <v>745</v>
      </c>
      <c r="D25" s="13" t="s">
        <v>163</v>
      </c>
      <c r="E25" s="13" t="s">
        <v>19</v>
      </c>
      <c r="F25" s="14" t="s">
        <v>1255</v>
      </c>
      <c r="G25" s="15">
        <v>1</v>
      </c>
      <c r="H25" s="12" t="s">
        <v>1278</v>
      </c>
      <c r="I25" s="13" t="s">
        <v>1216</v>
      </c>
      <c r="J25" s="12" t="s">
        <v>1257</v>
      </c>
    </row>
    <row r="26" spans="1:10" ht="30" customHeight="1" x14ac:dyDescent="0.2">
      <c r="A26" s="16">
        <v>228</v>
      </c>
      <c r="B26" s="94" t="s">
        <v>885</v>
      </c>
      <c r="C26" s="18" t="s">
        <v>745</v>
      </c>
      <c r="D26" s="18" t="s">
        <v>163</v>
      </c>
      <c r="E26" s="18" t="s">
        <v>356</v>
      </c>
      <c r="F26" s="14" t="s">
        <v>1255</v>
      </c>
      <c r="G26" s="19">
        <v>1</v>
      </c>
      <c r="H26" s="17" t="s">
        <v>1279</v>
      </c>
      <c r="I26" s="18" t="s">
        <v>1216</v>
      </c>
      <c r="J26" s="17" t="s">
        <v>1257</v>
      </c>
    </row>
    <row r="27" spans="1:10" ht="30" customHeight="1" x14ac:dyDescent="0.2">
      <c r="A27" s="11">
        <v>234</v>
      </c>
      <c r="B27" s="93" t="s">
        <v>904</v>
      </c>
      <c r="C27" s="13" t="s">
        <v>745</v>
      </c>
      <c r="D27" s="13" t="s">
        <v>163</v>
      </c>
      <c r="E27" s="13" t="s">
        <v>245</v>
      </c>
      <c r="F27" s="14" t="s">
        <v>1255</v>
      </c>
      <c r="G27" s="15">
        <v>1</v>
      </c>
      <c r="H27" s="12" t="s">
        <v>1280</v>
      </c>
      <c r="I27" s="13" t="s">
        <v>1216</v>
      </c>
      <c r="J27" s="12" t="s">
        <v>1257</v>
      </c>
    </row>
    <row r="28" spans="1:10" ht="30" customHeight="1" x14ac:dyDescent="0.2">
      <c r="A28" s="16">
        <v>33</v>
      </c>
      <c r="B28" s="17" t="s">
        <v>162</v>
      </c>
      <c r="C28" s="18" t="s">
        <v>17</v>
      </c>
      <c r="D28" s="18" t="s">
        <v>163</v>
      </c>
      <c r="E28" s="18" t="s">
        <v>40</v>
      </c>
      <c r="F28" s="14" t="s">
        <v>1255</v>
      </c>
      <c r="G28" s="19">
        <v>1</v>
      </c>
      <c r="H28" s="17" t="s">
        <v>1281</v>
      </c>
      <c r="I28" s="18" t="s">
        <v>1216</v>
      </c>
      <c r="J28" s="17" t="s">
        <v>1257</v>
      </c>
    </row>
    <row r="29" spans="1:10" ht="30" customHeight="1" x14ac:dyDescent="0.2">
      <c r="A29" s="11">
        <v>35</v>
      </c>
      <c r="B29" s="12" t="s">
        <v>170</v>
      </c>
      <c r="C29" s="13" t="s">
        <v>17</v>
      </c>
      <c r="D29" s="13" t="s">
        <v>163</v>
      </c>
      <c r="E29" s="13" t="s">
        <v>59</v>
      </c>
      <c r="F29" s="14" t="s">
        <v>1255</v>
      </c>
      <c r="G29" s="15">
        <v>1</v>
      </c>
      <c r="H29" s="12" t="s">
        <v>1282</v>
      </c>
      <c r="I29" s="13" t="s">
        <v>1216</v>
      </c>
      <c r="J29" s="12" t="s">
        <v>1257</v>
      </c>
    </row>
    <row r="30" spans="1:10" ht="30" customHeight="1" x14ac:dyDescent="0.2">
      <c r="A30" s="16">
        <v>46</v>
      </c>
      <c r="B30" s="17" t="s">
        <v>205</v>
      </c>
      <c r="C30" s="18" t="s">
        <v>17</v>
      </c>
      <c r="D30" s="18" t="s">
        <v>163</v>
      </c>
      <c r="E30" s="18" t="s">
        <v>41</v>
      </c>
      <c r="F30" s="14" t="s">
        <v>1255</v>
      </c>
      <c r="G30" s="19">
        <v>1</v>
      </c>
      <c r="H30" s="17" t="s">
        <v>1283</v>
      </c>
      <c r="I30" s="18" t="s">
        <v>1216</v>
      </c>
      <c r="J30" s="17" t="s">
        <v>1257</v>
      </c>
    </row>
    <row r="31" spans="1:10" ht="30" customHeight="1" x14ac:dyDescent="0.2">
      <c r="A31" s="11">
        <v>96</v>
      </c>
      <c r="B31" s="12" t="s">
        <v>377</v>
      </c>
      <c r="C31" s="13" t="s">
        <v>268</v>
      </c>
      <c r="D31" s="13" t="s">
        <v>163</v>
      </c>
      <c r="E31" s="13" t="s">
        <v>79</v>
      </c>
      <c r="F31" s="14" t="s">
        <v>1255</v>
      </c>
      <c r="G31" s="15">
        <v>1</v>
      </c>
      <c r="H31" s="12" t="s">
        <v>1284</v>
      </c>
      <c r="I31" s="13" t="s">
        <v>1216</v>
      </c>
      <c r="J31" s="12" t="s">
        <v>1257</v>
      </c>
    </row>
    <row r="32" spans="1:10" ht="30" customHeight="1" x14ac:dyDescent="0.2">
      <c r="A32" s="16">
        <v>99</v>
      </c>
      <c r="B32" s="17" t="s">
        <v>391</v>
      </c>
      <c r="C32" s="18" t="s">
        <v>268</v>
      </c>
      <c r="D32" s="18" t="s">
        <v>163</v>
      </c>
      <c r="E32" s="18" t="s">
        <v>299</v>
      </c>
      <c r="F32" s="14" t="s">
        <v>1255</v>
      </c>
      <c r="G32" s="19">
        <v>1</v>
      </c>
      <c r="H32" s="17" t="s">
        <v>1285</v>
      </c>
      <c r="I32" s="18" t="s">
        <v>1216</v>
      </c>
      <c r="J32" s="17" t="s">
        <v>1257</v>
      </c>
    </row>
    <row r="33" spans="1:10" ht="30" customHeight="1" x14ac:dyDescent="0.2">
      <c r="A33" s="11">
        <v>101</v>
      </c>
      <c r="B33" s="12" t="s">
        <v>402</v>
      </c>
      <c r="C33" s="13" t="s">
        <v>268</v>
      </c>
      <c r="D33" s="13" t="s">
        <v>163</v>
      </c>
      <c r="E33" s="13" t="s">
        <v>299</v>
      </c>
      <c r="F33" s="14" t="s">
        <v>1255</v>
      </c>
      <c r="G33" s="15">
        <v>1</v>
      </c>
      <c r="H33" s="12" t="s">
        <v>1286</v>
      </c>
      <c r="I33" s="13" t="s">
        <v>1216</v>
      </c>
      <c r="J33" s="12" t="s">
        <v>1257</v>
      </c>
    </row>
    <row r="34" spans="1:10" ht="30" customHeight="1" x14ac:dyDescent="0.2">
      <c r="A34" s="16">
        <v>162</v>
      </c>
      <c r="B34" s="94" t="s">
        <v>2961</v>
      </c>
      <c r="C34" s="18" t="s">
        <v>507</v>
      </c>
      <c r="D34" s="18" t="s">
        <v>163</v>
      </c>
      <c r="E34" s="18" t="s">
        <v>558</v>
      </c>
      <c r="F34" s="14" t="s">
        <v>1255</v>
      </c>
      <c r="G34" s="19">
        <v>1</v>
      </c>
      <c r="H34" s="17" t="s">
        <v>1287</v>
      </c>
      <c r="I34" s="18" t="s">
        <v>1216</v>
      </c>
      <c r="J34" s="17" t="s">
        <v>1257</v>
      </c>
    </row>
    <row r="35" spans="1:10" ht="30" customHeight="1" x14ac:dyDescent="0.2">
      <c r="A35" s="11">
        <v>171</v>
      </c>
      <c r="B35" s="93" t="s">
        <v>2962</v>
      </c>
      <c r="C35" s="13" t="s">
        <v>507</v>
      </c>
      <c r="D35" s="13" t="s">
        <v>163</v>
      </c>
      <c r="E35" s="13" t="s">
        <v>64</v>
      </c>
      <c r="F35" s="14" t="s">
        <v>1255</v>
      </c>
      <c r="G35" s="15">
        <v>2</v>
      </c>
      <c r="H35" s="12" t="s">
        <v>1288</v>
      </c>
      <c r="I35" s="13" t="s">
        <v>1216</v>
      </c>
      <c r="J35" s="12" t="s">
        <v>1257</v>
      </c>
    </row>
    <row r="36" spans="1:10" ht="30" customHeight="1" x14ac:dyDescent="0.2">
      <c r="A36" s="16">
        <v>172</v>
      </c>
      <c r="B36" s="94" t="s">
        <v>2963</v>
      </c>
      <c r="C36" s="18" t="s">
        <v>507</v>
      </c>
      <c r="D36" s="18" t="s">
        <v>163</v>
      </c>
      <c r="E36" s="18" t="s">
        <v>59</v>
      </c>
      <c r="F36" s="14" t="s">
        <v>1255</v>
      </c>
      <c r="G36" s="19">
        <v>1</v>
      </c>
      <c r="H36" s="17" t="s">
        <v>1289</v>
      </c>
      <c r="I36" s="18" t="s">
        <v>1216</v>
      </c>
      <c r="J36" s="17" t="s">
        <v>1257</v>
      </c>
    </row>
    <row r="37" spans="1:10" ht="30" customHeight="1" x14ac:dyDescent="0.2">
      <c r="A37" s="11">
        <v>282</v>
      </c>
      <c r="B37" s="95" t="s">
        <v>1290</v>
      </c>
      <c r="C37" s="13" t="s">
        <v>973</v>
      </c>
      <c r="D37" s="13" t="s">
        <v>163</v>
      </c>
      <c r="E37" s="13" t="s">
        <v>513</v>
      </c>
      <c r="F37" s="20" t="s">
        <v>1255</v>
      </c>
      <c r="G37" s="15">
        <v>0</v>
      </c>
      <c r="H37" s="12" t="s">
        <v>1291</v>
      </c>
      <c r="I37" s="13" t="s">
        <v>1216</v>
      </c>
      <c r="J37" s="12" t="s">
        <v>1292</v>
      </c>
    </row>
    <row r="38" spans="1:10" ht="30" customHeight="1" x14ac:dyDescent="0.2">
      <c r="A38" s="16">
        <v>283</v>
      </c>
      <c r="B38" s="94" t="s">
        <v>1293</v>
      </c>
      <c r="C38" s="18" t="s">
        <v>973</v>
      </c>
      <c r="D38" s="18" t="s">
        <v>163</v>
      </c>
      <c r="E38" s="18" t="s">
        <v>513</v>
      </c>
      <c r="F38" s="20" t="s">
        <v>1255</v>
      </c>
      <c r="G38" s="19">
        <v>0</v>
      </c>
      <c r="H38" s="17" t="s">
        <v>1291</v>
      </c>
      <c r="I38" s="18" t="s">
        <v>1216</v>
      </c>
      <c r="J38" s="17" t="s">
        <v>1292</v>
      </c>
    </row>
    <row r="39" spans="1:10" ht="30" customHeight="1" x14ac:dyDescent="0.2">
      <c r="A39" s="11">
        <v>285</v>
      </c>
      <c r="B39" s="93" t="s">
        <v>1090</v>
      </c>
      <c r="C39" s="13" t="s">
        <v>973</v>
      </c>
      <c r="D39" s="13" t="s">
        <v>163</v>
      </c>
      <c r="E39" s="13" t="s">
        <v>245</v>
      </c>
      <c r="F39" s="20" t="s">
        <v>1255</v>
      </c>
      <c r="G39" s="15">
        <v>0</v>
      </c>
      <c r="H39" s="12" t="s">
        <v>1291</v>
      </c>
      <c r="I39" s="13" t="s">
        <v>1216</v>
      </c>
      <c r="J39" s="12" t="s">
        <v>1292</v>
      </c>
    </row>
    <row r="40" spans="1:10" ht="30" customHeight="1" x14ac:dyDescent="0.2">
      <c r="A40" s="16">
        <v>286</v>
      </c>
      <c r="B40" s="17" t="s">
        <v>1093</v>
      </c>
      <c r="C40" s="18" t="s">
        <v>973</v>
      </c>
      <c r="D40" s="18" t="s">
        <v>163</v>
      </c>
      <c r="E40" s="18" t="s">
        <v>554</v>
      </c>
      <c r="F40" s="20" t="s">
        <v>1255</v>
      </c>
      <c r="G40" s="19">
        <v>0</v>
      </c>
      <c r="H40" s="17" t="s">
        <v>1291</v>
      </c>
      <c r="I40" s="18" t="s">
        <v>1216</v>
      </c>
      <c r="J40" s="17" t="s">
        <v>1292</v>
      </c>
    </row>
    <row r="41" spans="1:10" ht="30" customHeight="1" x14ac:dyDescent="0.2">
      <c r="A41" s="11">
        <v>236</v>
      </c>
      <c r="B41" s="93" t="s">
        <v>2966</v>
      </c>
      <c r="C41" s="13" t="s">
        <v>745</v>
      </c>
      <c r="D41" s="13" t="s">
        <v>218</v>
      </c>
      <c r="E41" s="13" t="s">
        <v>19</v>
      </c>
      <c r="F41" s="14" t="s">
        <v>1255</v>
      </c>
      <c r="G41" s="15">
        <v>1</v>
      </c>
      <c r="H41" s="12" t="s">
        <v>1294</v>
      </c>
      <c r="I41" s="13" t="s">
        <v>1216</v>
      </c>
      <c r="J41" s="12" t="s">
        <v>1257</v>
      </c>
    </row>
    <row r="42" spans="1:10" ht="30" customHeight="1" x14ac:dyDescent="0.2">
      <c r="A42" s="16">
        <v>239</v>
      </c>
      <c r="B42" s="94" t="s">
        <v>924</v>
      </c>
      <c r="C42" s="18" t="s">
        <v>745</v>
      </c>
      <c r="D42" s="18" t="s">
        <v>218</v>
      </c>
      <c r="E42" s="18" t="s">
        <v>412</v>
      </c>
      <c r="F42" s="14" t="s">
        <v>1255</v>
      </c>
      <c r="G42" s="19">
        <v>1</v>
      </c>
      <c r="H42" s="17" t="s">
        <v>1295</v>
      </c>
      <c r="I42" s="18" t="s">
        <v>1216</v>
      </c>
      <c r="J42" s="17" t="s">
        <v>1257</v>
      </c>
    </row>
    <row r="43" spans="1:10" ht="30" customHeight="1" x14ac:dyDescent="0.2">
      <c r="A43" s="11">
        <v>49</v>
      </c>
      <c r="B43" s="12" t="s">
        <v>217</v>
      </c>
      <c r="C43" s="13" t="s">
        <v>17</v>
      </c>
      <c r="D43" s="13" t="s">
        <v>218</v>
      </c>
      <c r="E43" s="13" t="s">
        <v>19</v>
      </c>
      <c r="F43" s="14" t="s">
        <v>1255</v>
      </c>
      <c r="G43" s="15">
        <v>1</v>
      </c>
      <c r="H43" s="12" t="s">
        <v>1296</v>
      </c>
      <c r="I43" s="13" t="s">
        <v>1216</v>
      </c>
      <c r="J43" s="12" t="s">
        <v>1257</v>
      </c>
    </row>
    <row r="44" spans="1:10" ht="30" customHeight="1" x14ac:dyDescent="0.2">
      <c r="A44" s="16">
        <v>53</v>
      </c>
      <c r="B44" s="17" t="s">
        <v>230</v>
      </c>
      <c r="C44" s="18" t="s">
        <v>17</v>
      </c>
      <c r="D44" s="18" t="s">
        <v>218</v>
      </c>
      <c r="E44" s="18" t="s">
        <v>40</v>
      </c>
      <c r="F44" s="14" t="s">
        <v>1255</v>
      </c>
      <c r="G44" s="19">
        <v>1</v>
      </c>
      <c r="H44" s="17" t="s">
        <v>1297</v>
      </c>
      <c r="I44" s="18" t="s">
        <v>1216</v>
      </c>
      <c r="J44" s="17" t="s">
        <v>1257</v>
      </c>
    </row>
    <row r="45" spans="1:10" ht="30" customHeight="1" x14ac:dyDescent="0.2">
      <c r="A45" s="11">
        <v>112</v>
      </c>
      <c r="B45" s="93" t="s">
        <v>1298</v>
      </c>
      <c r="C45" s="13" t="s">
        <v>268</v>
      </c>
      <c r="D45" s="13" t="s">
        <v>218</v>
      </c>
      <c r="E45" s="13" t="s">
        <v>64</v>
      </c>
      <c r="F45" s="96" t="s">
        <v>1255</v>
      </c>
      <c r="G45" s="15">
        <v>0</v>
      </c>
      <c r="H45" s="12" t="s">
        <v>1291</v>
      </c>
      <c r="I45" s="13" t="s">
        <v>1216</v>
      </c>
      <c r="J45" s="12" t="s">
        <v>1292</v>
      </c>
    </row>
    <row r="46" spans="1:10" ht="30" customHeight="1" x14ac:dyDescent="0.2">
      <c r="A46" s="16">
        <v>117</v>
      </c>
      <c r="B46" s="94" t="s">
        <v>463</v>
      </c>
      <c r="C46" s="18" t="s">
        <v>268</v>
      </c>
      <c r="D46" s="18" t="s">
        <v>218</v>
      </c>
      <c r="E46" s="18" t="s">
        <v>412</v>
      </c>
      <c r="F46" s="20" t="s">
        <v>1255</v>
      </c>
      <c r="G46" s="19">
        <v>0</v>
      </c>
      <c r="H46" s="17" t="s">
        <v>1291</v>
      </c>
      <c r="I46" s="18" t="s">
        <v>1216</v>
      </c>
      <c r="J46" s="17" t="s">
        <v>1292</v>
      </c>
    </row>
    <row r="47" spans="1:10" ht="30" customHeight="1" x14ac:dyDescent="0.2">
      <c r="A47" s="11">
        <v>174</v>
      </c>
      <c r="B47" s="12" t="s">
        <v>681</v>
      </c>
      <c r="C47" s="13" t="s">
        <v>507</v>
      </c>
      <c r="D47" s="13" t="s">
        <v>218</v>
      </c>
      <c r="E47" s="13" t="s">
        <v>554</v>
      </c>
      <c r="F47" s="14" t="s">
        <v>1255</v>
      </c>
      <c r="G47" s="15">
        <v>1</v>
      </c>
      <c r="H47" s="12" t="s">
        <v>1299</v>
      </c>
      <c r="I47" s="13" t="s">
        <v>1216</v>
      </c>
      <c r="J47" s="12" t="s">
        <v>1257</v>
      </c>
    </row>
    <row r="48" spans="1:10" ht="30" customHeight="1" x14ac:dyDescent="0.2">
      <c r="A48" s="16">
        <v>176</v>
      </c>
      <c r="B48" s="17" t="s">
        <v>691</v>
      </c>
      <c r="C48" s="18" t="s">
        <v>507</v>
      </c>
      <c r="D48" s="18" t="s">
        <v>218</v>
      </c>
      <c r="E48" s="18" t="s">
        <v>299</v>
      </c>
      <c r="F48" s="14" t="s">
        <v>1255</v>
      </c>
      <c r="G48" s="19">
        <v>1</v>
      </c>
      <c r="H48" s="17" t="s">
        <v>1300</v>
      </c>
      <c r="I48" s="18" t="s">
        <v>1216</v>
      </c>
      <c r="J48" s="17" t="s">
        <v>1257</v>
      </c>
    </row>
    <row r="49" spans="1:10" ht="30" customHeight="1" x14ac:dyDescent="0.2">
      <c r="A49" s="11">
        <v>298</v>
      </c>
      <c r="B49" s="93" t="s">
        <v>1301</v>
      </c>
      <c r="C49" s="13" t="s">
        <v>973</v>
      </c>
      <c r="D49" s="13" t="s">
        <v>218</v>
      </c>
      <c r="E49" s="13" t="s">
        <v>554</v>
      </c>
      <c r="F49" s="20" t="s">
        <v>1255</v>
      </c>
      <c r="G49" s="15">
        <v>0</v>
      </c>
      <c r="H49" s="12" t="s">
        <v>1291</v>
      </c>
      <c r="I49" s="13" t="s">
        <v>1216</v>
      </c>
      <c r="J49" s="12" t="s">
        <v>1292</v>
      </c>
    </row>
    <row r="50" spans="1:10" ht="30" customHeight="1" x14ac:dyDescent="0.2">
      <c r="A50" s="16">
        <v>302</v>
      </c>
      <c r="B50" s="94" t="s">
        <v>1153</v>
      </c>
      <c r="C50" s="18" t="s">
        <v>973</v>
      </c>
      <c r="D50" s="18" t="s">
        <v>218</v>
      </c>
      <c r="E50" s="18" t="s">
        <v>513</v>
      </c>
      <c r="F50" s="20" t="s">
        <v>1255</v>
      </c>
      <c r="G50" s="19">
        <v>0</v>
      </c>
      <c r="H50" s="17" t="s">
        <v>1291</v>
      </c>
      <c r="I50" s="18" t="s">
        <v>1216</v>
      </c>
      <c r="J50" s="17" t="s">
        <v>1292</v>
      </c>
    </row>
    <row r="51" spans="1:10" ht="30" customHeight="1" x14ac:dyDescent="0.2">
      <c r="A51" s="11">
        <v>57</v>
      </c>
      <c r="B51" s="93" t="s">
        <v>1302</v>
      </c>
      <c r="C51" s="13" t="s">
        <v>17</v>
      </c>
      <c r="D51" s="13" t="s">
        <v>244</v>
      </c>
      <c r="E51" s="13" t="s">
        <v>245</v>
      </c>
      <c r="F51" s="20" t="s">
        <v>1255</v>
      </c>
      <c r="G51" s="15">
        <v>0</v>
      </c>
      <c r="H51" s="12" t="s">
        <v>1291</v>
      </c>
      <c r="I51" s="13" t="s">
        <v>1216</v>
      </c>
      <c r="J51" s="12" t="s">
        <v>1292</v>
      </c>
    </row>
    <row r="52" spans="1:10" ht="30" customHeight="1" x14ac:dyDescent="0.2">
      <c r="A52" s="16">
        <v>120</v>
      </c>
      <c r="B52" s="94" t="s">
        <v>1303</v>
      </c>
      <c r="C52" s="18" t="s">
        <v>268</v>
      </c>
      <c r="D52" s="18" t="s">
        <v>244</v>
      </c>
      <c r="E52" s="18" t="s">
        <v>79</v>
      </c>
      <c r="F52" s="20" t="s">
        <v>1255</v>
      </c>
      <c r="G52" s="19">
        <v>0</v>
      </c>
      <c r="H52" s="17" t="s">
        <v>1291</v>
      </c>
      <c r="I52" s="18" t="s">
        <v>1216</v>
      </c>
      <c r="J52" s="17" t="s">
        <v>1292</v>
      </c>
    </row>
    <row r="53" spans="1:10" ht="30" customHeight="1" x14ac:dyDescent="0.2">
      <c r="A53" s="11">
        <v>184</v>
      </c>
      <c r="B53" s="12" t="s">
        <v>727</v>
      </c>
      <c r="C53" s="13" t="s">
        <v>507</v>
      </c>
      <c r="D53" s="13" t="s">
        <v>244</v>
      </c>
      <c r="E53" s="13" t="s">
        <v>558</v>
      </c>
      <c r="F53" s="14" t="s">
        <v>1255</v>
      </c>
      <c r="G53" s="15">
        <v>1</v>
      </c>
      <c r="H53" s="12" t="s">
        <v>1304</v>
      </c>
      <c r="I53" s="13" t="s">
        <v>1216</v>
      </c>
      <c r="J53" s="12" t="s">
        <v>1257</v>
      </c>
    </row>
    <row r="54" spans="1:10" ht="30" customHeight="1" x14ac:dyDescent="0.2">
      <c r="A54" s="16">
        <v>244</v>
      </c>
      <c r="B54" s="94" t="s">
        <v>2967</v>
      </c>
      <c r="C54" s="18" t="s">
        <v>745</v>
      </c>
      <c r="D54" s="18" t="s">
        <v>244</v>
      </c>
      <c r="E54" s="18" t="s">
        <v>40</v>
      </c>
      <c r="F54" s="14" t="s">
        <v>1255</v>
      </c>
      <c r="G54" s="19">
        <v>2</v>
      </c>
      <c r="H54" s="17" t="s">
        <v>1305</v>
      </c>
      <c r="I54" s="18" t="s">
        <v>1216</v>
      </c>
      <c r="J54" s="17" t="s">
        <v>1257</v>
      </c>
    </row>
    <row r="55" spans="1:10" ht="30" customHeight="1" x14ac:dyDescent="0.2">
      <c r="A55" s="11">
        <v>306</v>
      </c>
      <c r="B55" s="93" t="s">
        <v>1306</v>
      </c>
      <c r="C55" s="13" t="s">
        <v>973</v>
      </c>
      <c r="D55" s="13" t="s">
        <v>244</v>
      </c>
      <c r="E55" s="13" t="s">
        <v>59</v>
      </c>
      <c r="F55" s="20" t="s">
        <v>1255</v>
      </c>
      <c r="G55" s="15">
        <v>0</v>
      </c>
      <c r="H55" s="12" t="s">
        <v>1291</v>
      </c>
      <c r="I55" s="13" t="s">
        <v>1216</v>
      </c>
      <c r="J55" s="12" t="s">
        <v>1292</v>
      </c>
    </row>
    <row r="56" spans="1:10" ht="30" customHeight="1" x14ac:dyDescent="0.2">
      <c r="A56" s="16">
        <v>61</v>
      </c>
      <c r="B56" s="94" t="s">
        <v>1307</v>
      </c>
      <c r="C56" s="18" t="s">
        <v>17</v>
      </c>
      <c r="D56" s="18" t="s">
        <v>258</v>
      </c>
      <c r="E56" s="18" t="s">
        <v>212</v>
      </c>
      <c r="F56" s="20" t="s">
        <v>1255</v>
      </c>
      <c r="G56" s="19">
        <v>0</v>
      </c>
      <c r="H56" s="17" t="s">
        <v>1291</v>
      </c>
      <c r="I56" s="18" t="s">
        <v>1216</v>
      </c>
      <c r="J56" s="17" t="s">
        <v>1292</v>
      </c>
    </row>
    <row r="57" spans="1:10" ht="30" customHeight="1" x14ac:dyDescent="0.2">
      <c r="A57" s="11">
        <v>124</v>
      </c>
      <c r="B57" s="93" t="s">
        <v>1308</v>
      </c>
      <c r="C57" s="13" t="s">
        <v>268</v>
      </c>
      <c r="D57" s="13" t="s">
        <v>258</v>
      </c>
      <c r="E57" s="13" t="s">
        <v>79</v>
      </c>
      <c r="F57" s="20" t="s">
        <v>1255</v>
      </c>
      <c r="G57" s="15">
        <v>0</v>
      </c>
      <c r="H57" s="12" t="s">
        <v>1291</v>
      </c>
      <c r="I57" s="13" t="s">
        <v>1216</v>
      </c>
      <c r="J57" s="12" t="s">
        <v>1292</v>
      </c>
    </row>
    <row r="58" spans="1:10" ht="30" customHeight="1" x14ac:dyDescent="0.2">
      <c r="A58" s="16">
        <v>186</v>
      </c>
      <c r="B58" s="17" t="s">
        <v>734</v>
      </c>
      <c r="C58" s="18" t="s">
        <v>507</v>
      </c>
      <c r="D58" s="18" t="s">
        <v>258</v>
      </c>
      <c r="E58" s="18" t="s">
        <v>356</v>
      </c>
      <c r="F58" s="14" t="s">
        <v>1255</v>
      </c>
      <c r="G58" s="19">
        <v>1</v>
      </c>
      <c r="H58" s="17" t="s">
        <v>1309</v>
      </c>
      <c r="I58" s="18" t="s">
        <v>1216</v>
      </c>
      <c r="J58" s="17" t="s">
        <v>1257</v>
      </c>
    </row>
    <row r="59" spans="1:10" ht="30" customHeight="1" x14ac:dyDescent="0.2">
      <c r="A59" s="11">
        <v>248</v>
      </c>
      <c r="B59" s="93" t="s">
        <v>2968</v>
      </c>
      <c r="C59" s="13" t="s">
        <v>745</v>
      </c>
      <c r="D59" s="13" t="s">
        <v>258</v>
      </c>
      <c r="E59" s="13" t="s">
        <v>212</v>
      </c>
      <c r="F59" s="14" t="s">
        <v>1255</v>
      </c>
      <c r="G59" s="15">
        <v>1</v>
      </c>
      <c r="H59" s="12" t="s">
        <v>1310</v>
      </c>
      <c r="I59" s="13" t="s">
        <v>1216</v>
      </c>
      <c r="J59" s="12" t="s">
        <v>1257</v>
      </c>
    </row>
    <row r="60" spans="1:10" ht="30" customHeight="1" x14ac:dyDescent="0.2">
      <c r="A60" s="16">
        <v>311</v>
      </c>
      <c r="B60" s="94" t="s">
        <v>1311</v>
      </c>
      <c r="C60" s="18" t="s">
        <v>973</v>
      </c>
      <c r="D60" s="18" t="s">
        <v>258</v>
      </c>
      <c r="E60" s="18" t="s">
        <v>41</v>
      </c>
      <c r="F60" s="20" t="s">
        <v>1255</v>
      </c>
      <c r="G60" s="19">
        <v>0</v>
      </c>
      <c r="H60" s="17" t="s">
        <v>1291</v>
      </c>
      <c r="I60" s="18" t="s">
        <v>1216</v>
      </c>
      <c r="J60" s="17" t="s">
        <v>1292</v>
      </c>
    </row>
  </sheetData>
  <mergeCells count="2">
    <mergeCell ref="A1:J1"/>
    <mergeCell ref="A2:J2"/>
  </mergeCells>
  <dataValidations count="4">
    <dataValidation type="list" sqref="C5:C60" xr:uid="{00000000-0002-0000-0100-000000000000}">
      <formula1>"Destek,Ninja,Tank,Büyücü,Savaşçı"</formula1>
      <formula2>0</formula2>
    </dataValidation>
    <dataValidation type="list" sqref="D5:D60" xr:uid="{00000000-0002-0000-0100-000001000000}">
      <formula1>"Yaygın,Nadir,Ender,Efsanevi,Multi"</formula1>
      <formula2>0</formula2>
    </dataValidation>
    <dataValidation type="list" sqref="F5:F60" xr:uid="{00000000-0002-0000-0100-000002000000}">
      <formula1>"Hazır,Üretilecek"</formula1>
      <formula2>0</formula2>
    </dataValidation>
    <dataValidation type="list" sqref="I5:I60" xr:uid="{00000000-0002-0000-0100-000003000000}">
      <formula1>"Onaylı,İncelemede"</formula1>
      <formula2>0</formula2>
    </dataValidation>
  </dataValidations>
  <pageMargins left="0.25" right="0.25" top="0.35" bottom="0.45" header="0.511811023622047" footer="0.5"/>
  <pageSetup paperSize="9" fitToHeight="0" orientation="landscape" horizontalDpi="300" verticalDpi="300"/>
  <headerFooter>
    <oddFooter>&amp;C&amp;8 &amp;K6b7280&amp;F  |  Sayfa &amp;P / &amp;N</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5803B"/>
    <pageSetUpPr fitToPage="1"/>
  </sheetPr>
  <dimension ref="A1:I18"/>
  <sheetViews>
    <sheetView showGridLines="0" zoomScale="90" zoomScaleNormal="90" workbookViewId="0">
      <pane ySplit="4" topLeftCell="A5" activePane="bottomLeft" state="frozen"/>
      <selection pane="bottomLeft" activeCell="G5" sqref="G5"/>
    </sheetView>
  </sheetViews>
  <sheetFormatPr defaultColWidth="8.7109375" defaultRowHeight="12.75" x14ac:dyDescent="0.2"/>
  <cols>
    <col min="1" max="1" width="8" customWidth="1"/>
    <col min="2" max="2" width="9" customWidth="1"/>
    <col min="3" max="3" width="29" customWidth="1"/>
    <col min="4" max="5" width="14" customWidth="1"/>
    <col min="6" max="6" width="16" customWidth="1"/>
    <col min="7" max="7" width="20" customWidth="1"/>
    <col min="8" max="8" width="12" customWidth="1"/>
    <col min="9" max="9" width="16" customWidth="1"/>
  </cols>
  <sheetData>
    <row r="1" spans="1:9" ht="33.75" customHeight="1" x14ac:dyDescent="0.2">
      <c r="A1" s="99" t="s">
        <v>1312</v>
      </c>
      <c r="B1" s="100"/>
      <c r="C1" s="100"/>
      <c r="D1" s="100"/>
      <c r="E1" s="100"/>
      <c r="F1" s="100"/>
      <c r="G1" s="100"/>
      <c r="H1" s="100"/>
      <c r="I1" s="100"/>
    </row>
    <row r="2" spans="1:9" ht="24" customHeight="1" x14ac:dyDescent="0.2">
      <c r="A2" s="101" t="s">
        <v>1313</v>
      </c>
      <c r="B2" s="100"/>
      <c r="C2" s="100"/>
      <c r="D2" s="100"/>
      <c r="E2" s="100"/>
      <c r="F2" s="100"/>
      <c r="G2" s="100"/>
      <c r="H2" s="100"/>
      <c r="I2" s="100"/>
    </row>
    <row r="4" spans="1:9" ht="27.75" customHeight="1" x14ac:dyDescent="0.2">
      <c r="A4" s="10" t="s">
        <v>1314</v>
      </c>
      <c r="B4" s="10" t="s">
        <v>0</v>
      </c>
      <c r="C4" s="10" t="s">
        <v>1</v>
      </c>
      <c r="D4" s="10" t="s">
        <v>2</v>
      </c>
      <c r="E4" s="10" t="s">
        <v>3</v>
      </c>
      <c r="F4" s="10" t="s">
        <v>5</v>
      </c>
      <c r="G4" s="10" t="s">
        <v>1315</v>
      </c>
      <c r="H4" s="10" t="s">
        <v>1316</v>
      </c>
      <c r="I4" s="10" t="s">
        <v>1317</v>
      </c>
    </row>
    <row r="5" spans="1:9" ht="27.75" customHeight="1" x14ac:dyDescent="0.2">
      <c r="A5" s="15">
        <v>1</v>
      </c>
      <c r="B5" s="15">
        <v>282</v>
      </c>
      <c r="C5" s="12" t="s">
        <v>1078</v>
      </c>
      <c r="D5" s="13" t="s">
        <v>973</v>
      </c>
      <c r="E5" s="13" t="s">
        <v>163</v>
      </c>
      <c r="F5" s="13" t="s">
        <v>513</v>
      </c>
      <c r="G5" s="97" t="s">
        <v>1318</v>
      </c>
      <c r="H5" s="13" t="s">
        <v>1319</v>
      </c>
      <c r="I5" s="13" t="s">
        <v>1320</v>
      </c>
    </row>
    <row r="6" spans="1:9" ht="27.75" customHeight="1" x14ac:dyDescent="0.2">
      <c r="A6" s="19">
        <v>2</v>
      </c>
      <c r="B6" s="19">
        <v>283</v>
      </c>
      <c r="C6" s="17" t="s">
        <v>1082</v>
      </c>
      <c r="D6" s="18" t="s">
        <v>973</v>
      </c>
      <c r="E6" s="18" t="s">
        <v>163</v>
      </c>
      <c r="F6" s="18" t="s">
        <v>513</v>
      </c>
      <c r="G6" s="21" t="s">
        <v>1318</v>
      </c>
      <c r="H6" s="18" t="s">
        <v>1319</v>
      </c>
      <c r="I6" s="18" t="s">
        <v>1320</v>
      </c>
    </row>
    <row r="7" spans="1:9" ht="27.75" customHeight="1" x14ac:dyDescent="0.2">
      <c r="A7" s="15">
        <v>3</v>
      </c>
      <c r="B7" s="15">
        <v>285</v>
      </c>
      <c r="C7" s="12" t="s">
        <v>1090</v>
      </c>
      <c r="D7" s="13" t="s">
        <v>973</v>
      </c>
      <c r="E7" s="13" t="s">
        <v>163</v>
      </c>
      <c r="F7" s="13" t="s">
        <v>245</v>
      </c>
      <c r="G7" s="21" t="s">
        <v>1318</v>
      </c>
      <c r="H7" s="13" t="s">
        <v>1319</v>
      </c>
      <c r="I7" s="13" t="s">
        <v>1320</v>
      </c>
    </row>
    <row r="8" spans="1:9" ht="27.75" customHeight="1" x14ac:dyDescent="0.2">
      <c r="A8" s="19">
        <v>4</v>
      </c>
      <c r="B8" s="19">
        <v>286</v>
      </c>
      <c r="C8" s="94" t="s">
        <v>1093</v>
      </c>
      <c r="D8" s="18" t="s">
        <v>973</v>
      </c>
      <c r="E8" s="18" t="s">
        <v>163</v>
      </c>
      <c r="F8" s="18" t="s">
        <v>554</v>
      </c>
      <c r="G8" s="21" t="s">
        <v>1318</v>
      </c>
      <c r="H8" s="18" t="s">
        <v>1319</v>
      </c>
      <c r="I8" s="18" t="s">
        <v>1320</v>
      </c>
    </row>
    <row r="9" spans="1:9" ht="27.75" customHeight="1" x14ac:dyDescent="0.2">
      <c r="A9" s="15">
        <v>5</v>
      </c>
      <c r="B9" s="15">
        <v>112</v>
      </c>
      <c r="C9" s="12" t="s">
        <v>438</v>
      </c>
      <c r="D9" s="13" t="s">
        <v>268</v>
      </c>
      <c r="E9" s="13" t="s">
        <v>218</v>
      </c>
      <c r="F9" s="13" t="s">
        <v>64</v>
      </c>
      <c r="G9" s="21" t="s">
        <v>1318</v>
      </c>
      <c r="H9" s="13" t="s">
        <v>1319</v>
      </c>
      <c r="I9" s="13" t="s">
        <v>1320</v>
      </c>
    </row>
    <row r="10" spans="1:9" ht="27.75" customHeight="1" x14ac:dyDescent="0.2">
      <c r="A10" s="19">
        <v>6</v>
      </c>
      <c r="B10" s="19">
        <v>117</v>
      </c>
      <c r="C10" s="17" t="s">
        <v>463</v>
      </c>
      <c r="D10" s="18" t="s">
        <v>268</v>
      </c>
      <c r="E10" s="18" t="s">
        <v>218</v>
      </c>
      <c r="F10" s="18" t="s">
        <v>412</v>
      </c>
      <c r="G10" s="21" t="s">
        <v>1318</v>
      </c>
      <c r="H10" s="18" t="s">
        <v>1319</v>
      </c>
      <c r="I10" s="18" t="s">
        <v>1320</v>
      </c>
    </row>
    <row r="11" spans="1:9" ht="27.75" customHeight="1" x14ac:dyDescent="0.2">
      <c r="A11" s="15">
        <v>7</v>
      </c>
      <c r="B11" s="15">
        <v>298</v>
      </c>
      <c r="C11" s="93" t="s">
        <v>1136</v>
      </c>
      <c r="D11" s="13" t="s">
        <v>973</v>
      </c>
      <c r="E11" s="13" t="s">
        <v>218</v>
      </c>
      <c r="F11" s="13" t="s">
        <v>554</v>
      </c>
      <c r="G11" s="21" t="s">
        <v>1318</v>
      </c>
      <c r="H11" s="13" t="s">
        <v>1319</v>
      </c>
      <c r="I11" s="13" t="s">
        <v>1320</v>
      </c>
    </row>
    <row r="12" spans="1:9" ht="27.75" customHeight="1" x14ac:dyDescent="0.2">
      <c r="A12" s="19">
        <v>8</v>
      </c>
      <c r="B12" s="19">
        <v>302</v>
      </c>
      <c r="C12" s="17" t="s">
        <v>1153</v>
      </c>
      <c r="D12" s="18" t="s">
        <v>973</v>
      </c>
      <c r="E12" s="18" t="s">
        <v>218</v>
      </c>
      <c r="F12" s="18" t="s">
        <v>513</v>
      </c>
      <c r="G12" s="21" t="s">
        <v>1318</v>
      </c>
      <c r="H12" s="18" t="s">
        <v>1319</v>
      </c>
      <c r="I12" s="18" t="s">
        <v>1320</v>
      </c>
    </row>
    <row r="13" spans="1:9" ht="27.75" customHeight="1" x14ac:dyDescent="0.2">
      <c r="A13" s="15">
        <v>9</v>
      </c>
      <c r="B13" s="15">
        <v>57</v>
      </c>
      <c r="C13" s="12" t="s">
        <v>243</v>
      </c>
      <c r="D13" s="13" t="s">
        <v>17</v>
      </c>
      <c r="E13" s="13" t="s">
        <v>244</v>
      </c>
      <c r="F13" s="13" t="s">
        <v>245</v>
      </c>
      <c r="G13" s="21" t="s">
        <v>1318</v>
      </c>
      <c r="H13" s="13" t="s">
        <v>1319</v>
      </c>
      <c r="I13" s="13" t="s">
        <v>1320</v>
      </c>
    </row>
    <row r="14" spans="1:9" ht="27.75" customHeight="1" x14ac:dyDescent="0.2">
      <c r="A14" s="19">
        <v>10</v>
      </c>
      <c r="B14" s="19">
        <v>120</v>
      </c>
      <c r="C14" s="17" t="s">
        <v>472</v>
      </c>
      <c r="D14" s="18" t="s">
        <v>268</v>
      </c>
      <c r="E14" s="18" t="s">
        <v>244</v>
      </c>
      <c r="F14" s="18" t="s">
        <v>79</v>
      </c>
      <c r="G14" s="21" t="s">
        <v>1318</v>
      </c>
      <c r="H14" s="18" t="s">
        <v>1319</v>
      </c>
      <c r="I14" s="18" t="s">
        <v>1320</v>
      </c>
    </row>
    <row r="15" spans="1:9" ht="27.75" customHeight="1" x14ac:dyDescent="0.2">
      <c r="A15" s="15">
        <v>11</v>
      </c>
      <c r="B15" s="15">
        <v>306</v>
      </c>
      <c r="C15" s="12" t="s">
        <v>1167</v>
      </c>
      <c r="D15" s="13" t="s">
        <v>973</v>
      </c>
      <c r="E15" s="13" t="s">
        <v>244</v>
      </c>
      <c r="F15" s="13" t="s">
        <v>59</v>
      </c>
      <c r="G15" s="21" t="s">
        <v>1318</v>
      </c>
      <c r="H15" s="13" t="s">
        <v>1319</v>
      </c>
      <c r="I15" s="13" t="s">
        <v>1320</v>
      </c>
    </row>
    <row r="16" spans="1:9" ht="27.75" customHeight="1" x14ac:dyDescent="0.2">
      <c r="A16" s="19">
        <v>12</v>
      </c>
      <c r="B16" s="19">
        <v>61</v>
      </c>
      <c r="C16" s="17" t="s">
        <v>257</v>
      </c>
      <c r="D16" s="18" t="s">
        <v>17</v>
      </c>
      <c r="E16" s="18" t="s">
        <v>258</v>
      </c>
      <c r="F16" s="18" t="s">
        <v>212</v>
      </c>
      <c r="G16" s="21" t="s">
        <v>1318</v>
      </c>
      <c r="H16" s="18" t="s">
        <v>1319</v>
      </c>
      <c r="I16" s="18" t="s">
        <v>1320</v>
      </c>
    </row>
    <row r="17" spans="1:9" ht="27.75" customHeight="1" x14ac:dyDescent="0.2">
      <c r="A17" s="15">
        <v>13</v>
      </c>
      <c r="B17" s="15">
        <v>124</v>
      </c>
      <c r="C17" s="12" t="s">
        <v>494</v>
      </c>
      <c r="D17" s="13" t="s">
        <v>268</v>
      </c>
      <c r="E17" s="13" t="s">
        <v>258</v>
      </c>
      <c r="F17" s="13" t="s">
        <v>79</v>
      </c>
      <c r="G17" s="21" t="s">
        <v>1318</v>
      </c>
      <c r="H17" s="13" t="s">
        <v>1319</v>
      </c>
      <c r="I17" s="13" t="s">
        <v>1320</v>
      </c>
    </row>
    <row r="18" spans="1:9" ht="27.75" customHeight="1" x14ac:dyDescent="0.2">
      <c r="A18" s="19">
        <v>14</v>
      </c>
      <c r="B18" s="19">
        <v>311</v>
      </c>
      <c r="C18" s="17" t="s">
        <v>1190</v>
      </c>
      <c r="D18" s="18" t="s">
        <v>973</v>
      </c>
      <c r="E18" s="18" t="s">
        <v>258</v>
      </c>
      <c r="F18" s="18" t="s">
        <v>41</v>
      </c>
      <c r="G18" s="21" t="s">
        <v>1318</v>
      </c>
      <c r="H18" s="18" t="s">
        <v>1319</v>
      </c>
      <c r="I18" s="18" t="s">
        <v>1320</v>
      </c>
    </row>
  </sheetData>
  <mergeCells count="2">
    <mergeCell ref="A1:I1"/>
    <mergeCell ref="A2:I2"/>
  </mergeCells>
  <dataValidations count="1">
    <dataValidation type="list" sqref="I5:I18" xr:uid="{00000000-0002-0000-0200-000000000000}">
      <formula1>"Bekliyor,Üretimde,Kontrolde,Tamamlandı"</formula1>
      <formula2>0</formula2>
    </dataValidation>
  </dataValidations>
  <pageMargins left="0.25" right="0.25" top="0.35" bottom="0.45" header="0.511811023622047" footer="0.5"/>
  <pageSetup paperSize="9" fitToHeight="0" orientation="landscape" horizontalDpi="300" verticalDpi="300"/>
  <headerFooter>
    <oddFooter>&amp;C&amp;8 &amp;K6b7280&amp;F  |  Sayfa &amp;P / &amp;N</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C5CFC"/>
    <pageSetUpPr fitToPage="1"/>
  </sheetPr>
  <dimension ref="A1:G18"/>
  <sheetViews>
    <sheetView showGridLines="0" zoomScale="90" zoomScaleNormal="90" workbookViewId="0">
      <selection activeCell="L68" sqref="L68"/>
    </sheetView>
  </sheetViews>
  <sheetFormatPr defaultColWidth="8.7109375" defaultRowHeight="12.75" x14ac:dyDescent="0.2"/>
  <cols>
    <col min="1" max="1" width="18" customWidth="1"/>
    <col min="2" max="7" width="13" customWidth="1"/>
  </cols>
  <sheetData>
    <row r="1" spans="1:7" ht="33.75" customHeight="1" x14ac:dyDescent="0.2">
      <c r="A1" s="99" t="s">
        <v>1321</v>
      </c>
      <c r="B1" s="100"/>
      <c r="C1" s="100"/>
      <c r="D1" s="100"/>
      <c r="E1" s="100"/>
      <c r="F1" s="100"/>
      <c r="G1" s="100"/>
    </row>
    <row r="2" spans="1:7" ht="24" customHeight="1" x14ac:dyDescent="0.2">
      <c r="A2" s="101" t="s">
        <v>1322</v>
      </c>
      <c r="B2" s="100"/>
      <c r="C2" s="100"/>
      <c r="D2" s="100"/>
      <c r="E2" s="100"/>
      <c r="F2" s="100"/>
      <c r="G2" s="100"/>
    </row>
    <row r="4" spans="1:7" ht="27.75" customHeight="1" x14ac:dyDescent="0.2">
      <c r="A4" s="10" t="s">
        <v>2</v>
      </c>
      <c r="B4" s="10" t="s">
        <v>18</v>
      </c>
      <c r="C4" s="10" t="s">
        <v>163</v>
      </c>
      <c r="D4" s="10" t="s">
        <v>218</v>
      </c>
      <c r="E4" s="10" t="s">
        <v>244</v>
      </c>
      <c r="F4" s="10" t="s">
        <v>258</v>
      </c>
      <c r="G4" s="10" t="s">
        <v>1323</v>
      </c>
    </row>
    <row r="5" spans="1:7" x14ac:dyDescent="0.2">
      <c r="A5" s="12" t="s">
        <v>17</v>
      </c>
      <c r="B5" s="11">
        <f>COUNTIFS(V1_Kadro_56!$C$5:$C$60,$A5,V1_Kadro_56!$D$5:$D$60,B$4)</f>
        <v>4</v>
      </c>
      <c r="C5" s="11">
        <f>COUNTIFS(V1_Kadro_56!$C$5:$C$60,$A5,V1_Kadro_56!$D$5:$D$60,C$4)</f>
        <v>3</v>
      </c>
      <c r="D5" s="11">
        <f>COUNTIFS(V1_Kadro_56!$C$5:$C$60,$A5,V1_Kadro_56!$D$5:$D$60,D$4)</f>
        <v>2</v>
      </c>
      <c r="E5" s="11">
        <f>COUNTIFS(V1_Kadro_56!$C$5:$C$60,$A5,V1_Kadro_56!$D$5:$D$60,E$4)</f>
        <v>1</v>
      </c>
      <c r="F5" s="11">
        <f>COUNTIFS(V1_Kadro_56!$C$5:$C$60,$A5,V1_Kadro_56!$D$5:$D$60,F$4)</f>
        <v>1</v>
      </c>
      <c r="G5" s="11">
        <f>SUM(B5:F5)</f>
        <v>11</v>
      </c>
    </row>
    <row r="6" spans="1:7" x14ac:dyDescent="0.2">
      <c r="A6" s="17" t="s">
        <v>268</v>
      </c>
      <c r="B6" s="16">
        <f>COUNTIFS(V1_Kadro_56!$C$5:$C$60,$A6,V1_Kadro_56!$D$5:$D$60,B$4)</f>
        <v>4</v>
      </c>
      <c r="C6" s="16">
        <f>COUNTIFS(V1_Kadro_56!$C$5:$C$60,$A6,V1_Kadro_56!$D$5:$D$60,C$4)</f>
        <v>3</v>
      </c>
      <c r="D6" s="16">
        <f>COUNTIFS(V1_Kadro_56!$C$5:$C$60,$A6,V1_Kadro_56!$D$5:$D$60,D$4)</f>
        <v>2</v>
      </c>
      <c r="E6" s="16">
        <f>COUNTIFS(V1_Kadro_56!$C$5:$C$60,$A6,V1_Kadro_56!$D$5:$D$60,E$4)</f>
        <v>1</v>
      </c>
      <c r="F6" s="16">
        <f>COUNTIFS(V1_Kadro_56!$C$5:$C$60,$A6,V1_Kadro_56!$D$5:$D$60,F$4)</f>
        <v>1</v>
      </c>
      <c r="G6" s="16">
        <f>SUM(B6:F6)</f>
        <v>11</v>
      </c>
    </row>
    <row r="7" spans="1:7" x14ac:dyDescent="0.2">
      <c r="A7" s="12" t="s">
        <v>507</v>
      </c>
      <c r="B7" s="11">
        <f>COUNTIFS(V1_Kadro_56!$C$5:$C$60,$A7,V1_Kadro_56!$D$5:$D$60,B$4)</f>
        <v>4</v>
      </c>
      <c r="C7" s="11">
        <f>COUNTIFS(V1_Kadro_56!$C$5:$C$60,$A7,V1_Kadro_56!$D$5:$D$60,C$4)</f>
        <v>3</v>
      </c>
      <c r="D7" s="11">
        <f>COUNTIFS(V1_Kadro_56!$C$5:$C$60,$A7,V1_Kadro_56!$D$5:$D$60,D$4)</f>
        <v>2</v>
      </c>
      <c r="E7" s="11">
        <f>COUNTIFS(V1_Kadro_56!$C$5:$C$60,$A7,V1_Kadro_56!$D$5:$D$60,E$4)</f>
        <v>1</v>
      </c>
      <c r="F7" s="11">
        <f>COUNTIFS(V1_Kadro_56!$C$5:$C$60,$A7,V1_Kadro_56!$D$5:$D$60,F$4)</f>
        <v>1</v>
      </c>
      <c r="G7" s="11">
        <f>SUM(B7:F7)</f>
        <v>11</v>
      </c>
    </row>
    <row r="8" spans="1:7" x14ac:dyDescent="0.2">
      <c r="A8" s="17" t="s">
        <v>745</v>
      </c>
      <c r="B8" s="16">
        <f>COUNTIFS(V1_Kadro_56!$C$5:$C$60,$A8,V1_Kadro_56!$D$5:$D$60,B$4)</f>
        <v>4</v>
      </c>
      <c r="C8" s="16">
        <f>COUNTIFS(V1_Kadro_56!$C$5:$C$60,$A8,V1_Kadro_56!$D$5:$D$60,C$4)</f>
        <v>3</v>
      </c>
      <c r="D8" s="16">
        <f>COUNTIFS(V1_Kadro_56!$C$5:$C$60,$A8,V1_Kadro_56!$D$5:$D$60,D$4)</f>
        <v>2</v>
      </c>
      <c r="E8" s="16">
        <f>COUNTIFS(V1_Kadro_56!$C$5:$C$60,$A8,V1_Kadro_56!$D$5:$D$60,E$4)</f>
        <v>1</v>
      </c>
      <c r="F8" s="16">
        <f>COUNTIFS(V1_Kadro_56!$C$5:$C$60,$A8,V1_Kadro_56!$D$5:$D$60,F$4)</f>
        <v>1</v>
      </c>
      <c r="G8" s="16">
        <f>SUM(B8:F8)</f>
        <v>11</v>
      </c>
    </row>
    <row r="9" spans="1:7" x14ac:dyDescent="0.2">
      <c r="A9" s="12" t="s">
        <v>973</v>
      </c>
      <c r="B9" s="11">
        <f>COUNTIFS(V1_Kadro_56!$C$5:$C$60,$A9,V1_Kadro_56!$D$5:$D$60,B$4)</f>
        <v>4</v>
      </c>
      <c r="C9" s="11">
        <f>COUNTIFS(V1_Kadro_56!$C$5:$C$60,$A9,V1_Kadro_56!$D$5:$D$60,C$4)</f>
        <v>4</v>
      </c>
      <c r="D9" s="11">
        <f>COUNTIFS(V1_Kadro_56!$C$5:$C$60,$A9,V1_Kadro_56!$D$5:$D$60,D$4)</f>
        <v>2</v>
      </c>
      <c r="E9" s="11">
        <f>COUNTIFS(V1_Kadro_56!$C$5:$C$60,$A9,V1_Kadro_56!$D$5:$D$60,E$4)</f>
        <v>1</v>
      </c>
      <c r="F9" s="11">
        <f>COUNTIFS(V1_Kadro_56!$C$5:$C$60,$A9,V1_Kadro_56!$D$5:$D$60,F$4)</f>
        <v>1</v>
      </c>
      <c r="G9" s="11">
        <f>SUM(B9:F9)</f>
        <v>12</v>
      </c>
    </row>
    <row r="10" spans="1:7" x14ac:dyDescent="0.2">
      <c r="A10" s="17" t="s">
        <v>1323</v>
      </c>
      <c r="B10" s="16">
        <f t="shared" ref="B10:G10" si="0">SUM(B5:B9)</f>
        <v>20</v>
      </c>
      <c r="C10" s="16">
        <f t="shared" si="0"/>
        <v>16</v>
      </c>
      <c r="D10" s="16">
        <f t="shared" si="0"/>
        <v>10</v>
      </c>
      <c r="E10" s="16">
        <f t="shared" si="0"/>
        <v>5</v>
      </c>
      <c r="F10" s="16">
        <f t="shared" si="0"/>
        <v>5</v>
      </c>
      <c r="G10" s="16">
        <f t="shared" si="0"/>
        <v>56</v>
      </c>
    </row>
    <row r="11" spans="1:7" x14ac:dyDescent="0.2">
      <c r="B11" s="22"/>
      <c r="C11" s="22"/>
      <c r="D11" s="22"/>
      <c r="E11" s="22"/>
      <c r="F11" s="22"/>
      <c r="G11" s="22"/>
    </row>
    <row r="12" spans="1:7" ht="21.75" customHeight="1" x14ac:dyDescent="0.2">
      <c r="A12" s="110" t="s">
        <v>1324</v>
      </c>
      <c r="B12" s="100"/>
      <c r="C12" s="100"/>
      <c r="D12" s="100"/>
      <c r="E12" s="100"/>
      <c r="F12" s="100"/>
      <c r="G12" s="100"/>
    </row>
    <row r="13" spans="1:7" ht="27.75" customHeight="1" x14ac:dyDescent="0.2">
      <c r="A13" s="10" t="s">
        <v>3</v>
      </c>
      <c r="B13" s="23" t="s">
        <v>17</v>
      </c>
      <c r="C13" s="23" t="s">
        <v>268</v>
      </c>
      <c r="D13" s="23" t="s">
        <v>507</v>
      </c>
      <c r="E13" s="23" t="s">
        <v>745</v>
      </c>
      <c r="F13" s="23" t="s">
        <v>973</v>
      </c>
      <c r="G13" s="23" t="s">
        <v>1323</v>
      </c>
    </row>
    <row r="14" spans="1:7" x14ac:dyDescent="0.2">
      <c r="A14" s="17" t="s">
        <v>18</v>
      </c>
      <c r="B14" s="24">
        <v>4</v>
      </c>
      <c r="C14" s="24">
        <v>4</v>
      </c>
      <c r="D14" s="24">
        <v>4</v>
      </c>
      <c r="E14" s="24">
        <v>4</v>
      </c>
      <c r="F14" s="24">
        <v>4</v>
      </c>
      <c r="G14" s="24">
        <v>20</v>
      </c>
    </row>
    <row r="15" spans="1:7" x14ac:dyDescent="0.2">
      <c r="A15" s="12" t="s">
        <v>163</v>
      </c>
      <c r="B15" s="25">
        <v>3</v>
      </c>
      <c r="C15" s="25">
        <v>3</v>
      </c>
      <c r="D15" s="25">
        <v>3</v>
      </c>
      <c r="E15" s="25">
        <v>3</v>
      </c>
      <c r="F15" s="25">
        <v>4</v>
      </c>
      <c r="G15" s="25">
        <v>16</v>
      </c>
    </row>
    <row r="16" spans="1:7" x14ac:dyDescent="0.2">
      <c r="A16" s="17" t="s">
        <v>218</v>
      </c>
      <c r="B16" s="24">
        <v>2</v>
      </c>
      <c r="C16" s="24">
        <v>2</v>
      </c>
      <c r="D16" s="24">
        <v>2</v>
      </c>
      <c r="E16" s="24">
        <v>2</v>
      </c>
      <c r="F16" s="24">
        <v>2</v>
      </c>
      <c r="G16" s="24">
        <v>10</v>
      </c>
    </row>
    <row r="17" spans="1:7" x14ac:dyDescent="0.2">
      <c r="A17" s="12" t="s">
        <v>244</v>
      </c>
      <c r="B17" s="25">
        <v>1</v>
      </c>
      <c r="C17" s="25">
        <v>1</v>
      </c>
      <c r="D17" s="25">
        <v>1</v>
      </c>
      <c r="E17" s="25">
        <v>1</v>
      </c>
      <c r="F17" s="25">
        <v>1</v>
      </c>
      <c r="G17" s="25">
        <v>5</v>
      </c>
    </row>
    <row r="18" spans="1:7" x14ac:dyDescent="0.2">
      <c r="A18" s="17" t="s">
        <v>258</v>
      </c>
      <c r="B18" s="24">
        <v>1</v>
      </c>
      <c r="C18" s="24">
        <v>1</v>
      </c>
      <c r="D18" s="24">
        <v>1</v>
      </c>
      <c r="E18" s="24">
        <v>1</v>
      </c>
      <c r="F18" s="24">
        <v>1</v>
      </c>
      <c r="G18" s="24">
        <v>5</v>
      </c>
    </row>
  </sheetData>
  <mergeCells count="3">
    <mergeCell ref="A2:G2"/>
    <mergeCell ref="A1:G1"/>
    <mergeCell ref="A12:G12"/>
  </mergeCells>
  <conditionalFormatting sqref="B5:F9">
    <cfRule type="expression" dxfId="7" priority="2">
      <formula>B5=MAX($B5:$F5)</formula>
    </cfRule>
  </conditionalFormatting>
  <pageMargins left="0.25" right="0.25" top="0.35" bottom="0.45" header="0.511811023622047" footer="0.5"/>
  <pageSetup paperSize="9" fitToHeight="0" orientation="portrait" horizontalDpi="300" verticalDpi="300"/>
  <headerFooter>
    <oddFooter>&amp;C&amp;8 &amp;K6b7280&amp;F  |  Sayfa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C5CFC"/>
    <pageSetUpPr fitToPage="1"/>
  </sheetPr>
  <dimension ref="A1:P10"/>
  <sheetViews>
    <sheetView showGridLines="0" zoomScale="90" zoomScaleNormal="90" workbookViewId="0">
      <selection sqref="A1:P1"/>
    </sheetView>
  </sheetViews>
  <sheetFormatPr defaultColWidth="8.7109375" defaultRowHeight="12.75" x14ac:dyDescent="0.2"/>
  <cols>
    <col min="1" max="1" width="16" customWidth="1"/>
    <col min="2" max="16" width="12" customWidth="1"/>
  </cols>
  <sheetData>
    <row r="1" spans="1:16" ht="33.75" customHeight="1" x14ac:dyDescent="0.2">
      <c r="A1" s="99" t="s">
        <v>1325</v>
      </c>
      <c r="B1" s="100"/>
      <c r="C1" s="100"/>
      <c r="D1" s="100"/>
      <c r="E1" s="100"/>
      <c r="F1" s="100"/>
      <c r="G1" s="100"/>
      <c r="H1" s="100"/>
      <c r="I1" s="100"/>
      <c r="J1" s="100"/>
      <c r="K1" s="100"/>
      <c r="L1" s="100"/>
      <c r="M1" s="100"/>
      <c r="N1" s="100"/>
      <c r="O1" s="100"/>
      <c r="P1" s="100"/>
    </row>
    <row r="2" spans="1:16" ht="24" customHeight="1" x14ac:dyDescent="0.2">
      <c r="A2" s="101" t="s">
        <v>1326</v>
      </c>
      <c r="B2" s="100"/>
      <c r="C2" s="100"/>
      <c r="D2" s="100"/>
      <c r="E2" s="100"/>
      <c r="F2" s="100"/>
      <c r="G2" s="100"/>
      <c r="H2" s="100"/>
      <c r="I2" s="100"/>
      <c r="J2" s="100"/>
      <c r="K2" s="100"/>
      <c r="L2" s="100"/>
      <c r="M2" s="100"/>
      <c r="N2" s="100"/>
      <c r="O2" s="100"/>
      <c r="P2" s="100"/>
    </row>
    <row r="4" spans="1:16" ht="27.75" customHeight="1" x14ac:dyDescent="0.2">
      <c r="A4" s="10" t="s">
        <v>2</v>
      </c>
      <c r="B4" s="10" t="s">
        <v>19</v>
      </c>
      <c r="C4" s="10" t="s">
        <v>40</v>
      </c>
      <c r="D4" s="10" t="s">
        <v>299</v>
      </c>
      <c r="E4" s="10" t="s">
        <v>558</v>
      </c>
      <c r="F4" s="10" t="s">
        <v>79</v>
      </c>
      <c r="G4" s="10" t="s">
        <v>41</v>
      </c>
      <c r="H4" s="10" t="s">
        <v>245</v>
      </c>
      <c r="I4" s="10" t="s">
        <v>212</v>
      </c>
      <c r="J4" s="10" t="s">
        <v>356</v>
      </c>
      <c r="K4" s="10" t="s">
        <v>412</v>
      </c>
      <c r="L4" s="10" t="s">
        <v>513</v>
      </c>
      <c r="M4" s="10" t="s">
        <v>64</v>
      </c>
      <c r="N4" s="10" t="s">
        <v>59</v>
      </c>
      <c r="O4" s="10" t="s">
        <v>554</v>
      </c>
      <c r="P4" s="10" t="s">
        <v>1323</v>
      </c>
    </row>
    <row r="5" spans="1:16" x14ac:dyDescent="0.2">
      <c r="A5" s="12" t="s">
        <v>17</v>
      </c>
      <c r="B5" s="26">
        <f>COUNTIFS(V1_Kadro_56!$C$5:$C$60,$A5,V1_Kadro_56!$E$5:$E$60,B$4)</f>
        <v>3</v>
      </c>
      <c r="C5" s="26">
        <f>COUNTIFS(V1_Kadro_56!$C$5:$C$60,$A5,V1_Kadro_56!$E$5:$E$60,C$4)</f>
        <v>2</v>
      </c>
      <c r="D5" s="26">
        <f>COUNTIFS(V1_Kadro_56!$C$5:$C$60,$A5,V1_Kadro_56!$E$5:$E$60,D$4)</f>
        <v>0</v>
      </c>
      <c r="E5" s="26">
        <f>COUNTIFS(V1_Kadro_56!$C$5:$C$60,$A5,V1_Kadro_56!$E$5:$E$60,E$4)</f>
        <v>0</v>
      </c>
      <c r="F5" s="26">
        <f>COUNTIFS(V1_Kadro_56!$C$5:$C$60,$A5,V1_Kadro_56!$E$5:$E$60,F$4)</f>
        <v>0</v>
      </c>
      <c r="G5" s="26">
        <f>COUNTIFS(V1_Kadro_56!$C$5:$C$60,$A5,V1_Kadro_56!$E$5:$E$60,G$4)</f>
        <v>2</v>
      </c>
      <c r="H5" s="26">
        <f>COUNTIFS(V1_Kadro_56!$C$5:$C$60,$A5,V1_Kadro_56!$E$5:$E$60,H$4)</f>
        <v>1</v>
      </c>
      <c r="I5" s="26">
        <f>COUNTIFS(V1_Kadro_56!$C$5:$C$60,$A5,V1_Kadro_56!$E$5:$E$60,I$4)</f>
        <v>1</v>
      </c>
      <c r="J5" s="26">
        <f>COUNTIFS(V1_Kadro_56!$C$5:$C$60,$A5,V1_Kadro_56!$E$5:$E$60,J$4)</f>
        <v>0</v>
      </c>
      <c r="K5" s="26">
        <f>COUNTIFS(V1_Kadro_56!$C$5:$C$60,$A5,V1_Kadro_56!$E$5:$E$60,K$4)</f>
        <v>0</v>
      </c>
      <c r="L5" s="26">
        <f>COUNTIFS(V1_Kadro_56!$C$5:$C$60,$A5,V1_Kadro_56!$E$5:$E$60,L$4)</f>
        <v>0</v>
      </c>
      <c r="M5" s="26">
        <f>COUNTIFS(V1_Kadro_56!$C$5:$C$60,$A5,V1_Kadro_56!$E$5:$E$60,M$4)</f>
        <v>1</v>
      </c>
      <c r="N5" s="26">
        <f>COUNTIFS(V1_Kadro_56!$C$5:$C$60,$A5,V1_Kadro_56!$E$5:$E$60,N$4)</f>
        <v>1</v>
      </c>
      <c r="O5" s="26">
        <f>COUNTIFS(V1_Kadro_56!$C$5:$C$60,$A5,V1_Kadro_56!$E$5:$E$60,O$4)</f>
        <v>0</v>
      </c>
      <c r="P5" s="26">
        <f>SUM(B5:O5)</f>
        <v>11</v>
      </c>
    </row>
    <row r="6" spans="1:16" x14ac:dyDescent="0.2">
      <c r="A6" s="17" t="s">
        <v>268</v>
      </c>
      <c r="B6" s="27">
        <f>COUNTIFS(V1_Kadro_56!$C$5:$C$60,$A6,V1_Kadro_56!$E$5:$E$60,B$4)</f>
        <v>0</v>
      </c>
      <c r="C6" s="27">
        <f>COUNTIFS(V1_Kadro_56!$C$5:$C$60,$A6,V1_Kadro_56!$E$5:$E$60,C$4)</f>
        <v>0</v>
      </c>
      <c r="D6" s="27">
        <f>COUNTIFS(V1_Kadro_56!$C$5:$C$60,$A6,V1_Kadro_56!$E$5:$E$60,D$4)</f>
        <v>3</v>
      </c>
      <c r="E6" s="27">
        <f>COUNTIFS(V1_Kadro_56!$C$5:$C$60,$A6,V1_Kadro_56!$E$5:$E$60,E$4)</f>
        <v>0</v>
      </c>
      <c r="F6" s="27">
        <f>COUNTIFS(V1_Kadro_56!$C$5:$C$60,$A6,V1_Kadro_56!$E$5:$E$60,F$4)</f>
        <v>6</v>
      </c>
      <c r="G6" s="27">
        <f>COUNTIFS(V1_Kadro_56!$C$5:$C$60,$A6,V1_Kadro_56!$E$5:$E$60,G$4)</f>
        <v>0</v>
      </c>
      <c r="H6" s="27">
        <f>COUNTIFS(V1_Kadro_56!$C$5:$C$60,$A6,V1_Kadro_56!$E$5:$E$60,H$4)</f>
        <v>0</v>
      </c>
      <c r="I6" s="27">
        <f>COUNTIFS(V1_Kadro_56!$C$5:$C$60,$A6,V1_Kadro_56!$E$5:$E$60,I$4)</f>
        <v>0</v>
      </c>
      <c r="J6" s="27">
        <f>COUNTIFS(V1_Kadro_56!$C$5:$C$60,$A6,V1_Kadro_56!$E$5:$E$60,J$4)</f>
        <v>0</v>
      </c>
      <c r="K6" s="27">
        <f>COUNTIFS(V1_Kadro_56!$C$5:$C$60,$A6,V1_Kadro_56!$E$5:$E$60,K$4)</f>
        <v>1</v>
      </c>
      <c r="L6" s="27">
        <f>COUNTIFS(V1_Kadro_56!$C$5:$C$60,$A6,V1_Kadro_56!$E$5:$E$60,L$4)</f>
        <v>0</v>
      </c>
      <c r="M6" s="27">
        <f>COUNTIFS(V1_Kadro_56!$C$5:$C$60,$A6,V1_Kadro_56!$E$5:$E$60,M$4)</f>
        <v>1</v>
      </c>
      <c r="N6" s="27">
        <f>COUNTIFS(V1_Kadro_56!$C$5:$C$60,$A6,V1_Kadro_56!$E$5:$E$60,N$4)</f>
        <v>0</v>
      </c>
      <c r="O6" s="27">
        <f>COUNTIFS(V1_Kadro_56!$C$5:$C$60,$A6,V1_Kadro_56!$E$5:$E$60,O$4)</f>
        <v>0</v>
      </c>
      <c r="P6" s="27">
        <f>SUM(B6:O6)</f>
        <v>11</v>
      </c>
    </row>
    <row r="7" spans="1:16" x14ac:dyDescent="0.2">
      <c r="A7" s="12" t="s">
        <v>507</v>
      </c>
      <c r="B7" s="26">
        <f>COUNTIFS(V1_Kadro_56!$C$5:$C$60,$A7,V1_Kadro_56!$E$5:$E$60,B$4)</f>
        <v>1</v>
      </c>
      <c r="C7" s="26">
        <f>COUNTIFS(V1_Kadro_56!$C$5:$C$60,$A7,V1_Kadro_56!$E$5:$E$60,C$4)</f>
        <v>0</v>
      </c>
      <c r="D7" s="26">
        <f>COUNTIFS(V1_Kadro_56!$C$5:$C$60,$A7,V1_Kadro_56!$E$5:$E$60,D$4)</f>
        <v>1</v>
      </c>
      <c r="E7" s="26">
        <f>COUNTIFS(V1_Kadro_56!$C$5:$C$60,$A7,V1_Kadro_56!$E$5:$E$60,E$4)</f>
        <v>3</v>
      </c>
      <c r="F7" s="26">
        <f>COUNTIFS(V1_Kadro_56!$C$5:$C$60,$A7,V1_Kadro_56!$E$5:$E$60,F$4)</f>
        <v>0</v>
      </c>
      <c r="G7" s="26">
        <f>COUNTIFS(V1_Kadro_56!$C$5:$C$60,$A7,V1_Kadro_56!$E$5:$E$60,G$4)</f>
        <v>0</v>
      </c>
      <c r="H7" s="26">
        <f>COUNTIFS(V1_Kadro_56!$C$5:$C$60,$A7,V1_Kadro_56!$E$5:$E$60,H$4)</f>
        <v>0</v>
      </c>
      <c r="I7" s="26">
        <f>COUNTIFS(V1_Kadro_56!$C$5:$C$60,$A7,V1_Kadro_56!$E$5:$E$60,I$4)</f>
        <v>0</v>
      </c>
      <c r="J7" s="26">
        <f>COUNTIFS(V1_Kadro_56!$C$5:$C$60,$A7,V1_Kadro_56!$E$5:$E$60,J$4)</f>
        <v>2</v>
      </c>
      <c r="K7" s="26">
        <f>COUNTIFS(V1_Kadro_56!$C$5:$C$60,$A7,V1_Kadro_56!$E$5:$E$60,K$4)</f>
        <v>0</v>
      </c>
      <c r="L7" s="26">
        <f>COUNTIFS(V1_Kadro_56!$C$5:$C$60,$A7,V1_Kadro_56!$E$5:$E$60,L$4)</f>
        <v>1</v>
      </c>
      <c r="M7" s="26">
        <f>COUNTIFS(V1_Kadro_56!$C$5:$C$60,$A7,V1_Kadro_56!$E$5:$E$60,M$4)</f>
        <v>1</v>
      </c>
      <c r="N7" s="26">
        <f>COUNTIFS(V1_Kadro_56!$C$5:$C$60,$A7,V1_Kadro_56!$E$5:$E$60,N$4)</f>
        <v>1</v>
      </c>
      <c r="O7" s="26">
        <f>COUNTIFS(V1_Kadro_56!$C$5:$C$60,$A7,V1_Kadro_56!$E$5:$E$60,O$4)</f>
        <v>1</v>
      </c>
      <c r="P7" s="26">
        <f>SUM(B7:O7)</f>
        <v>11</v>
      </c>
    </row>
    <row r="8" spans="1:16" x14ac:dyDescent="0.2">
      <c r="A8" s="17" t="s">
        <v>745</v>
      </c>
      <c r="B8" s="27">
        <f>COUNTIFS(V1_Kadro_56!$C$5:$C$60,$A8,V1_Kadro_56!$E$5:$E$60,B$4)</f>
        <v>5</v>
      </c>
      <c r="C8" s="27">
        <f>COUNTIFS(V1_Kadro_56!$C$5:$C$60,$A8,V1_Kadro_56!$E$5:$E$60,C$4)</f>
        <v>1</v>
      </c>
      <c r="D8" s="27">
        <f>COUNTIFS(V1_Kadro_56!$C$5:$C$60,$A8,V1_Kadro_56!$E$5:$E$60,D$4)</f>
        <v>0</v>
      </c>
      <c r="E8" s="27">
        <f>COUNTIFS(V1_Kadro_56!$C$5:$C$60,$A8,V1_Kadro_56!$E$5:$E$60,E$4)</f>
        <v>0</v>
      </c>
      <c r="F8" s="27">
        <f>COUNTIFS(V1_Kadro_56!$C$5:$C$60,$A8,V1_Kadro_56!$E$5:$E$60,F$4)</f>
        <v>0</v>
      </c>
      <c r="G8" s="27">
        <f>COUNTIFS(V1_Kadro_56!$C$5:$C$60,$A8,V1_Kadro_56!$E$5:$E$60,G$4)</f>
        <v>1</v>
      </c>
      <c r="H8" s="27">
        <f>COUNTIFS(V1_Kadro_56!$C$5:$C$60,$A8,V1_Kadro_56!$E$5:$E$60,H$4)</f>
        <v>1</v>
      </c>
      <c r="I8" s="27">
        <f>COUNTIFS(V1_Kadro_56!$C$5:$C$60,$A8,V1_Kadro_56!$E$5:$E$60,I$4)</f>
        <v>1</v>
      </c>
      <c r="J8" s="27">
        <f>COUNTIFS(V1_Kadro_56!$C$5:$C$60,$A8,V1_Kadro_56!$E$5:$E$60,J$4)</f>
        <v>1</v>
      </c>
      <c r="K8" s="27">
        <f>COUNTIFS(V1_Kadro_56!$C$5:$C$60,$A8,V1_Kadro_56!$E$5:$E$60,K$4)</f>
        <v>1</v>
      </c>
      <c r="L8" s="27">
        <f>COUNTIFS(V1_Kadro_56!$C$5:$C$60,$A8,V1_Kadro_56!$E$5:$E$60,L$4)</f>
        <v>0</v>
      </c>
      <c r="M8" s="27">
        <f>COUNTIFS(V1_Kadro_56!$C$5:$C$60,$A8,V1_Kadro_56!$E$5:$E$60,M$4)</f>
        <v>0</v>
      </c>
      <c r="N8" s="27">
        <f>COUNTIFS(V1_Kadro_56!$C$5:$C$60,$A8,V1_Kadro_56!$E$5:$E$60,N$4)</f>
        <v>0</v>
      </c>
      <c r="O8" s="27">
        <f>COUNTIFS(V1_Kadro_56!$C$5:$C$60,$A8,V1_Kadro_56!$E$5:$E$60,O$4)</f>
        <v>0</v>
      </c>
      <c r="P8" s="27">
        <f>SUM(B8:O8)</f>
        <v>11</v>
      </c>
    </row>
    <row r="9" spans="1:16" x14ac:dyDescent="0.2">
      <c r="A9" s="12" t="s">
        <v>973</v>
      </c>
      <c r="B9" s="26">
        <f>COUNTIFS(V1_Kadro_56!$C$5:$C$60,$A9,V1_Kadro_56!$E$5:$E$60,B$4)</f>
        <v>3</v>
      </c>
      <c r="C9" s="26">
        <f>COUNTIFS(V1_Kadro_56!$C$5:$C$60,$A9,V1_Kadro_56!$E$5:$E$60,C$4)</f>
        <v>0</v>
      </c>
      <c r="D9" s="26">
        <f>COUNTIFS(V1_Kadro_56!$C$5:$C$60,$A9,V1_Kadro_56!$E$5:$E$60,D$4)</f>
        <v>0</v>
      </c>
      <c r="E9" s="26">
        <f>COUNTIFS(V1_Kadro_56!$C$5:$C$60,$A9,V1_Kadro_56!$E$5:$E$60,E$4)</f>
        <v>0</v>
      </c>
      <c r="F9" s="26">
        <f>COUNTIFS(V1_Kadro_56!$C$5:$C$60,$A9,V1_Kadro_56!$E$5:$E$60,F$4)</f>
        <v>0</v>
      </c>
      <c r="G9" s="26">
        <f>COUNTIFS(V1_Kadro_56!$C$5:$C$60,$A9,V1_Kadro_56!$E$5:$E$60,G$4)</f>
        <v>1</v>
      </c>
      <c r="H9" s="26">
        <f>COUNTIFS(V1_Kadro_56!$C$5:$C$60,$A9,V1_Kadro_56!$E$5:$E$60,H$4)</f>
        <v>1</v>
      </c>
      <c r="I9" s="26">
        <f>COUNTIFS(V1_Kadro_56!$C$5:$C$60,$A9,V1_Kadro_56!$E$5:$E$60,I$4)</f>
        <v>0</v>
      </c>
      <c r="J9" s="26">
        <f>COUNTIFS(V1_Kadro_56!$C$5:$C$60,$A9,V1_Kadro_56!$E$5:$E$60,J$4)</f>
        <v>0</v>
      </c>
      <c r="K9" s="26">
        <f>COUNTIFS(V1_Kadro_56!$C$5:$C$60,$A9,V1_Kadro_56!$E$5:$E$60,K$4)</f>
        <v>0</v>
      </c>
      <c r="L9" s="26">
        <f>COUNTIFS(V1_Kadro_56!$C$5:$C$60,$A9,V1_Kadro_56!$E$5:$E$60,L$4)</f>
        <v>4</v>
      </c>
      <c r="M9" s="26">
        <f>COUNTIFS(V1_Kadro_56!$C$5:$C$60,$A9,V1_Kadro_56!$E$5:$E$60,M$4)</f>
        <v>0</v>
      </c>
      <c r="N9" s="26">
        <f>COUNTIFS(V1_Kadro_56!$C$5:$C$60,$A9,V1_Kadro_56!$E$5:$E$60,N$4)</f>
        <v>1</v>
      </c>
      <c r="O9" s="26">
        <f>COUNTIFS(V1_Kadro_56!$C$5:$C$60,$A9,V1_Kadro_56!$E$5:$E$60,O$4)</f>
        <v>2</v>
      </c>
      <c r="P9" s="26">
        <f>SUM(B9:O9)</f>
        <v>12</v>
      </c>
    </row>
    <row r="10" spans="1:16" x14ac:dyDescent="0.2">
      <c r="A10" s="17" t="s">
        <v>1323</v>
      </c>
      <c r="B10" s="27">
        <f t="shared" ref="B10:P10" si="0">SUM(B5:B9)</f>
        <v>12</v>
      </c>
      <c r="C10" s="27">
        <f t="shared" si="0"/>
        <v>3</v>
      </c>
      <c r="D10" s="27">
        <f t="shared" si="0"/>
        <v>4</v>
      </c>
      <c r="E10" s="27">
        <f t="shared" si="0"/>
        <v>3</v>
      </c>
      <c r="F10" s="27">
        <f t="shared" si="0"/>
        <v>6</v>
      </c>
      <c r="G10" s="27">
        <f t="shared" si="0"/>
        <v>4</v>
      </c>
      <c r="H10" s="27">
        <f t="shared" si="0"/>
        <v>3</v>
      </c>
      <c r="I10" s="27">
        <f t="shared" si="0"/>
        <v>2</v>
      </c>
      <c r="J10" s="27">
        <f t="shared" si="0"/>
        <v>3</v>
      </c>
      <c r="K10" s="27">
        <f t="shared" si="0"/>
        <v>2</v>
      </c>
      <c r="L10" s="27">
        <f t="shared" si="0"/>
        <v>5</v>
      </c>
      <c r="M10" s="27">
        <f t="shared" si="0"/>
        <v>3</v>
      </c>
      <c r="N10" s="27">
        <f t="shared" si="0"/>
        <v>3</v>
      </c>
      <c r="O10" s="27">
        <f t="shared" si="0"/>
        <v>3</v>
      </c>
      <c r="P10" s="27">
        <f t="shared" si="0"/>
        <v>56</v>
      </c>
    </row>
  </sheetData>
  <mergeCells count="2">
    <mergeCell ref="A1:P1"/>
    <mergeCell ref="A2:P2"/>
  </mergeCells>
  <pageMargins left="0.25" right="0.25" top="0.35" bottom="0.45" header="0.511811023622047" footer="0.5"/>
  <pageSetup paperSize="9" fitToHeight="0" orientation="landscape" horizontalDpi="300" verticalDpi="300"/>
  <headerFooter>
    <oddFooter>&amp;C&amp;8 &amp;K6b7280&amp;F  |  Sayfa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C5CFC"/>
    <pageSetUpPr fitToPage="1"/>
  </sheetPr>
  <dimension ref="A1:C19"/>
  <sheetViews>
    <sheetView showGridLines="0" zoomScale="90" zoomScaleNormal="90" workbookViewId="0">
      <selection sqref="A1:C1"/>
    </sheetView>
  </sheetViews>
  <sheetFormatPr defaultColWidth="8.7109375" defaultRowHeight="12.75" x14ac:dyDescent="0.2"/>
  <cols>
    <col min="1" max="1" width="22" customWidth="1"/>
    <col min="2" max="2" width="18" customWidth="1"/>
    <col min="3" max="3" width="14" customWidth="1"/>
  </cols>
  <sheetData>
    <row r="1" spans="1:3" ht="33.75" customHeight="1" x14ac:dyDescent="0.2">
      <c r="A1" s="99" t="s">
        <v>1327</v>
      </c>
      <c r="B1" s="100"/>
      <c r="C1" s="100"/>
    </row>
    <row r="2" spans="1:3" ht="24" customHeight="1" x14ac:dyDescent="0.2">
      <c r="A2" s="101" t="s">
        <v>1328</v>
      </c>
      <c r="B2" s="100"/>
      <c r="C2" s="100"/>
    </row>
    <row r="4" spans="1:3" ht="27.75" customHeight="1" x14ac:dyDescent="0.2">
      <c r="A4" s="10" t="s">
        <v>5</v>
      </c>
      <c r="B4" s="10" t="s">
        <v>1329</v>
      </c>
      <c r="C4" s="10" t="s">
        <v>1330</v>
      </c>
    </row>
    <row r="5" spans="1:3" x14ac:dyDescent="0.2">
      <c r="A5" s="12" t="s">
        <v>19</v>
      </c>
      <c r="B5" s="12">
        <f>COUNTIF(V1_Kadro_56!$E$5:$E$60,A5)</f>
        <v>12</v>
      </c>
      <c r="C5" s="28">
        <f t="shared" ref="C5:C18" si="0">B5/56</f>
        <v>0.21428571428571427</v>
      </c>
    </row>
    <row r="6" spans="1:3" x14ac:dyDescent="0.2">
      <c r="A6" s="17" t="s">
        <v>40</v>
      </c>
      <c r="B6" s="17">
        <f>COUNTIF(V1_Kadro_56!$E$5:$E$60,A6)</f>
        <v>3</v>
      </c>
      <c r="C6" s="29">
        <f t="shared" si="0"/>
        <v>5.3571428571428568E-2</v>
      </c>
    </row>
    <row r="7" spans="1:3" x14ac:dyDescent="0.2">
      <c r="A7" s="12" t="s">
        <v>299</v>
      </c>
      <c r="B7" s="12">
        <f>COUNTIF(V1_Kadro_56!$E$5:$E$60,A7)</f>
        <v>4</v>
      </c>
      <c r="C7" s="28">
        <f t="shared" si="0"/>
        <v>7.1428571428571425E-2</v>
      </c>
    </row>
    <row r="8" spans="1:3" x14ac:dyDescent="0.2">
      <c r="A8" s="17" t="s">
        <v>558</v>
      </c>
      <c r="B8" s="17">
        <f>COUNTIF(V1_Kadro_56!$E$5:$E$60,A8)</f>
        <v>3</v>
      </c>
      <c r="C8" s="29">
        <f t="shared" si="0"/>
        <v>5.3571428571428568E-2</v>
      </c>
    </row>
    <row r="9" spans="1:3" x14ac:dyDescent="0.2">
      <c r="A9" s="12" t="s">
        <v>79</v>
      </c>
      <c r="B9" s="12">
        <f>COUNTIF(V1_Kadro_56!$E$5:$E$60,A9)</f>
        <v>6</v>
      </c>
      <c r="C9" s="28">
        <f t="shared" si="0"/>
        <v>0.10714285714285714</v>
      </c>
    </row>
    <row r="10" spans="1:3" x14ac:dyDescent="0.2">
      <c r="A10" s="17" t="s">
        <v>41</v>
      </c>
      <c r="B10" s="17">
        <f>COUNTIF(V1_Kadro_56!$E$5:$E$60,A10)</f>
        <v>4</v>
      </c>
      <c r="C10" s="29">
        <f t="shared" si="0"/>
        <v>7.1428571428571425E-2</v>
      </c>
    </row>
    <row r="11" spans="1:3" x14ac:dyDescent="0.2">
      <c r="A11" s="12" t="s">
        <v>245</v>
      </c>
      <c r="B11" s="12">
        <f>COUNTIF(V1_Kadro_56!$E$5:$E$60,A11)</f>
        <v>3</v>
      </c>
      <c r="C11" s="28">
        <f t="shared" si="0"/>
        <v>5.3571428571428568E-2</v>
      </c>
    </row>
    <row r="12" spans="1:3" x14ac:dyDescent="0.2">
      <c r="A12" s="17" t="s">
        <v>212</v>
      </c>
      <c r="B12" s="17">
        <f>COUNTIF(V1_Kadro_56!$E$5:$E$60,A12)</f>
        <v>2</v>
      </c>
      <c r="C12" s="29">
        <f t="shared" si="0"/>
        <v>3.5714285714285712E-2</v>
      </c>
    </row>
    <row r="13" spans="1:3" x14ac:dyDescent="0.2">
      <c r="A13" s="12" t="s">
        <v>356</v>
      </c>
      <c r="B13" s="12">
        <f>COUNTIF(V1_Kadro_56!$E$5:$E$60,A13)</f>
        <v>3</v>
      </c>
      <c r="C13" s="28">
        <f t="shared" si="0"/>
        <v>5.3571428571428568E-2</v>
      </c>
    </row>
    <row r="14" spans="1:3" x14ac:dyDescent="0.2">
      <c r="A14" s="17" t="s">
        <v>412</v>
      </c>
      <c r="B14" s="17">
        <f>COUNTIF(V1_Kadro_56!$E$5:$E$60,A14)</f>
        <v>2</v>
      </c>
      <c r="C14" s="29">
        <f t="shared" si="0"/>
        <v>3.5714285714285712E-2</v>
      </c>
    </row>
    <row r="15" spans="1:3" x14ac:dyDescent="0.2">
      <c r="A15" s="12" t="s">
        <v>513</v>
      </c>
      <c r="B15" s="12">
        <f>COUNTIF(V1_Kadro_56!$E$5:$E$60,A15)</f>
        <v>5</v>
      </c>
      <c r="C15" s="28">
        <f t="shared" si="0"/>
        <v>8.9285714285714288E-2</v>
      </c>
    </row>
    <row r="16" spans="1:3" x14ac:dyDescent="0.2">
      <c r="A16" s="17" t="s">
        <v>64</v>
      </c>
      <c r="B16" s="17">
        <f>COUNTIF(V1_Kadro_56!$E$5:$E$60,A16)</f>
        <v>3</v>
      </c>
      <c r="C16" s="29">
        <f t="shared" si="0"/>
        <v>5.3571428571428568E-2</v>
      </c>
    </row>
    <row r="17" spans="1:3" x14ac:dyDescent="0.2">
      <c r="A17" s="12" t="s">
        <v>59</v>
      </c>
      <c r="B17" s="12">
        <f>COUNTIF(V1_Kadro_56!$E$5:$E$60,A17)</f>
        <v>3</v>
      </c>
      <c r="C17" s="28">
        <f t="shared" si="0"/>
        <v>5.3571428571428568E-2</v>
      </c>
    </row>
    <row r="18" spans="1:3" x14ac:dyDescent="0.2">
      <c r="A18" s="17" t="s">
        <v>554</v>
      </c>
      <c r="B18" s="17">
        <f>COUNTIF(V1_Kadro_56!$E$5:$E$60,A18)</f>
        <v>3</v>
      </c>
      <c r="C18" s="29">
        <f t="shared" si="0"/>
        <v>5.3571428571428568E-2</v>
      </c>
    </row>
    <row r="19" spans="1:3" x14ac:dyDescent="0.2">
      <c r="A19" s="12" t="s">
        <v>1323</v>
      </c>
      <c r="B19" s="12">
        <f>SUM(B5:B18)</f>
        <v>56</v>
      </c>
      <c r="C19" s="28">
        <f>SUM(C5:C18)</f>
        <v>1</v>
      </c>
    </row>
  </sheetData>
  <mergeCells count="2">
    <mergeCell ref="A1:C1"/>
    <mergeCell ref="A2:C2"/>
  </mergeCells>
  <pageMargins left="0.25" right="0.25" top="0.35" bottom="0.45" header="0.511811023622047" footer="0.5"/>
  <pageSetup paperSize="9" fitToHeight="0" orientation="portrait" horizontalDpi="300" verticalDpi="300"/>
  <headerFooter>
    <oddFooter>&amp;C&amp;8 &amp;K6b7280&amp;F  |  Sayfa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6A171"/>
    <pageSetUpPr fitToPage="1"/>
  </sheetPr>
  <dimension ref="A1:D16"/>
  <sheetViews>
    <sheetView showGridLines="0" zoomScale="90" zoomScaleNormal="90" workbookViewId="0">
      <selection activeCell="B15" sqref="B15"/>
    </sheetView>
  </sheetViews>
  <sheetFormatPr defaultColWidth="8.7109375" defaultRowHeight="12.75" x14ac:dyDescent="0.2"/>
  <cols>
    <col min="1" max="1" width="36" customWidth="1"/>
    <col min="2" max="4" width="16" customWidth="1"/>
  </cols>
  <sheetData>
    <row r="1" spans="1:4" ht="33.75" customHeight="1" x14ac:dyDescent="0.2">
      <c r="A1" s="99" t="s">
        <v>1331</v>
      </c>
      <c r="B1" s="100"/>
      <c r="C1" s="100"/>
      <c r="D1" s="100"/>
    </row>
    <row r="2" spans="1:4" ht="24" customHeight="1" x14ac:dyDescent="0.2">
      <c r="A2" s="101" t="s">
        <v>1332</v>
      </c>
      <c r="B2" s="100"/>
      <c r="C2" s="100"/>
      <c r="D2" s="100"/>
    </row>
    <row r="4" spans="1:4" ht="27.75" customHeight="1" x14ac:dyDescent="0.2">
      <c r="A4" s="10" t="s">
        <v>1333</v>
      </c>
      <c r="B4" s="10" t="s">
        <v>1334</v>
      </c>
      <c r="C4" s="10" t="s">
        <v>1335</v>
      </c>
      <c r="D4" s="10" t="s">
        <v>1336</v>
      </c>
    </row>
    <row r="5" spans="1:4" x14ac:dyDescent="0.2">
      <c r="A5" s="12" t="s">
        <v>1337</v>
      </c>
      <c r="B5" s="30">
        <v>56</v>
      </c>
      <c r="C5" s="30">
        <f>COUNTA(V1_Kadro_56!A5:A60)</f>
        <v>56</v>
      </c>
      <c r="D5" s="31" t="str">
        <f>IF(C5=56,"GEÇTİ","HATA")</f>
        <v>GEÇTİ</v>
      </c>
    </row>
    <row r="6" spans="1:4" x14ac:dyDescent="0.2">
      <c r="A6" s="17" t="s">
        <v>1338</v>
      </c>
      <c r="B6" s="32">
        <v>56</v>
      </c>
      <c r="C6" s="32">
        <f>SUMPRODUCT(1/COUNTIF(V1_Kadro_56!A5:A60,V1_Kadro_56!A5:A60))</f>
        <v>56</v>
      </c>
      <c r="D6" s="33" t="str">
        <f>IF(C6=56,"GEÇTİ","HATA")</f>
        <v>GEÇTİ</v>
      </c>
    </row>
    <row r="7" spans="1:4" x14ac:dyDescent="0.2">
      <c r="A7" s="12" t="s">
        <v>1339</v>
      </c>
      <c r="B7" s="30">
        <v>20</v>
      </c>
      <c r="C7" s="30">
        <f>COUNTIF(V1_Kadro_56!D5:D60,"Yaygın")</f>
        <v>20</v>
      </c>
      <c r="D7" s="31" t="str">
        <f>IF(C7=20,"GEÇTİ","HATA")</f>
        <v>GEÇTİ</v>
      </c>
    </row>
    <row r="8" spans="1:4" x14ac:dyDescent="0.2">
      <c r="A8" s="17" t="s">
        <v>1340</v>
      </c>
      <c r="B8" s="32">
        <v>16</v>
      </c>
      <c r="C8" s="32">
        <f>COUNTIF(V1_Kadro_56!D5:D60,"Nadir")</f>
        <v>16</v>
      </c>
      <c r="D8" s="33" t="str">
        <f>IF(C8=16,"GEÇTİ","HATA")</f>
        <v>GEÇTİ</v>
      </c>
    </row>
    <row r="9" spans="1:4" x14ac:dyDescent="0.2">
      <c r="A9" s="12" t="s">
        <v>1341</v>
      </c>
      <c r="B9" s="30">
        <v>10</v>
      </c>
      <c r="C9" s="30">
        <f>COUNTIF(V1_Kadro_56!D5:D60,"Ender")</f>
        <v>10</v>
      </c>
      <c r="D9" s="31" t="str">
        <f>IF(C9=10,"GEÇTİ","HATA")</f>
        <v>GEÇTİ</v>
      </c>
    </row>
    <row r="10" spans="1:4" x14ac:dyDescent="0.2">
      <c r="A10" s="17" t="s">
        <v>1342</v>
      </c>
      <c r="B10" s="32">
        <v>5</v>
      </c>
      <c r="C10" s="32">
        <f>COUNTIF(V1_Kadro_56!D5:D60,"Efsanevi")</f>
        <v>5</v>
      </c>
      <c r="D10" s="33" t="str">
        <f>IF(C10=5,"GEÇTİ","HATA")</f>
        <v>GEÇTİ</v>
      </c>
    </row>
    <row r="11" spans="1:4" x14ac:dyDescent="0.2">
      <c r="A11" s="12" t="s">
        <v>1343</v>
      </c>
      <c r="B11" s="30">
        <v>5</v>
      </c>
      <c r="C11" s="30">
        <f>COUNTIF(V1_Kadro_56!D5:D60,"Multi")</f>
        <v>5</v>
      </c>
      <c r="D11" s="31" t="str">
        <f>IF(C11=5,"GEÇTİ","HATA")</f>
        <v>GEÇTİ</v>
      </c>
    </row>
    <row r="12" spans="1:4" x14ac:dyDescent="0.2">
      <c r="A12" s="17" t="s">
        <v>1344</v>
      </c>
      <c r="B12" s="32">
        <v>14</v>
      </c>
      <c r="C12" s="32">
        <f>COUNTIF(V1_Kadro_56!F5:F60,"Üretilecek")</f>
        <v>0</v>
      </c>
      <c r="D12" s="33" t="str">
        <f>IF(C12=14,"GEÇTİ","HATA")</f>
        <v>HATA</v>
      </c>
    </row>
    <row r="13" spans="1:4" x14ac:dyDescent="0.2">
      <c r="A13" s="12" t="s">
        <v>1345</v>
      </c>
      <c r="B13" s="30">
        <v>311</v>
      </c>
      <c r="C13" s="30">
        <f>COUNTA(Tum_Karakterler_311!A2:A312)</f>
        <v>311</v>
      </c>
      <c r="D13" s="31" t="str">
        <f>IF(C13=311,"GEÇTİ","HATA")</f>
        <v>GEÇTİ</v>
      </c>
    </row>
    <row r="14" spans="1:4" x14ac:dyDescent="0.2">
      <c r="A14" s="17" t="s">
        <v>1346</v>
      </c>
      <c r="B14" s="32">
        <v>0</v>
      </c>
      <c r="C14" s="32">
        <f>COUNTIF(Tum_Karakterler_311!N2:N312,"130 karakteri aşıyor")</f>
        <v>1</v>
      </c>
      <c r="D14" s="33" t="str">
        <f>IF(C14=0,"GEÇTİ","HATA")</f>
        <v>HATA</v>
      </c>
    </row>
    <row r="15" spans="1:4" x14ac:dyDescent="0.2">
      <c r="A15" s="12" t="s">
        <v>1347</v>
      </c>
      <c r="B15" s="30">
        <v>130</v>
      </c>
      <c r="C15" s="30">
        <f>INDEX(Tum_Karakterler_311!M2:M312,MATCH(192,Tum_Karakterler_311!A2:A312,0))</f>
        <v>130</v>
      </c>
      <c r="D15" s="31" t="str">
        <f>IF(C15&lt;=130,"GEÇTİ","HATA")</f>
        <v>GEÇTİ</v>
      </c>
    </row>
    <row r="16" spans="1:4" x14ac:dyDescent="0.2">
      <c r="A16" s="17" t="s">
        <v>1348</v>
      </c>
      <c r="B16" s="32">
        <v>2</v>
      </c>
      <c r="C16" s="32">
        <f>COUNTIF(Tum_Karakterler_311!B2:B312,"Kara_Pence")</f>
        <v>2</v>
      </c>
      <c r="D16" s="33" t="str">
        <f>IF(C16=2,"GEÇTİ","HATA")</f>
        <v>GEÇTİ</v>
      </c>
    </row>
  </sheetData>
  <mergeCells count="2">
    <mergeCell ref="A1:D1"/>
    <mergeCell ref="A2:D2"/>
  </mergeCells>
  <conditionalFormatting sqref="D5:D16">
    <cfRule type="expression" dxfId="6" priority="2">
      <formula>D5="GEÇTİ"</formula>
    </cfRule>
    <cfRule type="expression" dxfId="5" priority="3">
      <formula>D5="HATA"</formula>
    </cfRule>
  </conditionalFormatting>
  <pageMargins left="0.25" right="0.25" top="0.35" bottom="0.45" header="0.511811023622047" footer="0.5"/>
  <pageSetup paperSize="9" fitToHeight="0" orientation="portrait" horizontalDpi="300" verticalDpi="300"/>
  <headerFooter>
    <oddFooter>&amp;C&amp;8 &amp;K6b7280&amp;F  |  Sayfa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783DE"/>
    <pageSetUpPr fitToPage="1"/>
  </sheetPr>
  <dimension ref="A1:D12"/>
  <sheetViews>
    <sheetView showGridLines="0" zoomScale="90" zoomScaleNormal="90" workbookViewId="0">
      <selection sqref="A1:D1"/>
    </sheetView>
  </sheetViews>
  <sheetFormatPr defaultColWidth="8.7109375" defaultRowHeight="12.75" x14ac:dyDescent="0.2"/>
  <cols>
    <col min="1" max="1" width="28" customWidth="1"/>
    <col min="2" max="2" width="29" customWidth="1"/>
    <col min="3" max="3" width="64" customWidth="1"/>
    <col min="4" max="4" width="14" customWidth="1"/>
  </cols>
  <sheetData>
    <row r="1" spans="1:4" ht="33.75" customHeight="1" x14ac:dyDescent="0.2">
      <c r="A1" s="99" t="s">
        <v>1349</v>
      </c>
      <c r="B1" s="100"/>
      <c r="C1" s="100"/>
      <c r="D1" s="100"/>
    </row>
    <row r="2" spans="1:4" ht="24" customHeight="1" x14ac:dyDescent="0.2">
      <c r="A2" s="101" t="s">
        <v>1350</v>
      </c>
      <c r="B2" s="100"/>
      <c r="C2" s="100"/>
      <c r="D2" s="100"/>
    </row>
    <row r="4" spans="1:4" ht="27.75" customHeight="1" x14ac:dyDescent="0.2">
      <c r="A4" s="10" t="s">
        <v>1351</v>
      </c>
      <c r="B4" s="10" t="s">
        <v>1352</v>
      </c>
      <c r="C4" s="10" t="s">
        <v>1353</v>
      </c>
      <c r="D4" s="10" t="s">
        <v>1336</v>
      </c>
    </row>
    <row r="5" spans="1:4" ht="31.5" customHeight="1" x14ac:dyDescent="0.2">
      <c r="A5" s="12" t="s">
        <v>1242</v>
      </c>
      <c r="B5" s="12" t="s">
        <v>1354</v>
      </c>
      <c r="C5" s="12" t="s">
        <v>1355</v>
      </c>
      <c r="D5" s="12" t="s">
        <v>1356</v>
      </c>
    </row>
    <row r="6" spans="1:4" ht="31.5" customHeight="1" x14ac:dyDescent="0.2">
      <c r="A6" s="17" t="s">
        <v>1232</v>
      </c>
      <c r="B6" s="17" t="s">
        <v>1357</v>
      </c>
      <c r="C6" s="17" t="s">
        <v>1358</v>
      </c>
      <c r="D6" s="17" t="s">
        <v>1356</v>
      </c>
    </row>
    <row r="7" spans="1:4" ht="31.5" customHeight="1" x14ac:dyDescent="0.2">
      <c r="A7" s="12" t="s">
        <v>1238</v>
      </c>
      <c r="B7" s="12" t="s">
        <v>1359</v>
      </c>
      <c r="C7" s="12" t="s">
        <v>1360</v>
      </c>
      <c r="D7" s="12" t="s">
        <v>1356</v>
      </c>
    </row>
    <row r="8" spans="1:4" ht="31.5" customHeight="1" x14ac:dyDescent="0.2">
      <c r="A8" s="17" t="s">
        <v>1234</v>
      </c>
      <c r="B8" s="17" t="s">
        <v>1361</v>
      </c>
      <c r="C8" s="17" t="s">
        <v>1362</v>
      </c>
      <c r="D8" s="17" t="s">
        <v>1356</v>
      </c>
    </row>
    <row r="9" spans="1:4" ht="31.5" customHeight="1" x14ac:dyDescent="0.2">
      <c r="A9" s="12" t="s">
        <v>1240</v>
      </c>
      <c r="B9" s="12" t="s">
        <v>1363</v>
      </c>
      <c r="C9" s="12" t="s">
        <v>1364</v>
      </c>
      <c r="D9" s="12" t="s">
        <v>1356</v>
      </c>
    </row>
    <row r="10" spans="1:4" ht="31.5" customHeight="1" x14ac:dyDescent="0.2">
      <c r="A10" s="17" t="s">
        <v>1205</v>
      </c>
      <c r="B10" s="17" t="s">
        <v>1365</v>
      </c>
      <c r="C10" s="17" t="s">
        <v>1366</v>
      </c>
      <c r="D10" s="17" t="s">
        <v>1367</v>
      </c>
    </row>
    <row r="11" spans="1:4" ht="31.5" customHeight="1" x14ac:dyDescent="0.2">
      <c r="A11" s="12" t="s">
        <v>1368</v>
      </c>
      <c r="B11" s="12" t="s">
        <v>1369</v>
      </c>
      <c r="C11" s="12" t="s">
        <v>1370</v>
      </c>
      <c r="D11" s="12" t="s">
        <v>1356</v>
      </c>
    </row>
    <row r="12" spans="1:4" ht="31.5" customHeight="1" x14ac:dyDescent="0.2">
      <c r="A12" s="17" t="s">
        <v>1371</v>
      </c>
      <c r="B12" s="17" t="s">
        <v>1372</v>
      </c>
      <c r="C12" s="17" t="s">
        <v>1373</v>
      </c>
      <c r="D12" s="17" t="s">
        <v>1374</v>
      </c>
    </row>
  </sheetData>
  <mergeCells count="2">
    <mergeCell ref="A1:D1"/>
    <mergeCell ref="A2:D2"/>
  </mergeCells>
  <pageMargins left="0.25" right="0.25" top="0.35" bottom="0.45" header="0.511811023622047" footer="0.5"/>
  <pageSetup paperSize="9" fitToHeight="0" orientation="landscape" horizontalDpi="300" verticalDpi="300"/>
  <headerFooter>
    <oddFooter>&amp;C&amp;8 &amp;K6b7280&amp;F  |  Sayfa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6A171"/>
  </sheetPr>
  <dimension ref="A1:J312"/>
  <sheetViews>
    <sheetView showGridLines="0" zoomScale="90" zoomScaleNormal="90" workbookViewId="0">
      <pane ySplit="1" topLeftCell="A18" activePane="bottomLeft" state="frozen"/>
      <selection pane="bottomLeft" activeCell="A47" sqref="A47:XFD47"/>
    </sheetView>
  </sheetViews>
  <sheetFormatPr defaultColWidth="8.7109375" defaultRowHeight="12.75" x14ac:dyDescent="0.2"/>
  <cols>
    <col min="1" max="1" width="8" customWidth="1"/>
    <col min="2" max="2" width="34" customWidth="1"/>
    <col min="3" max="4" width="14" customWidth="1"/>
    <col min="5" max="5" width="17" customWidth="1"/>
    <col min="6" max="6" width="13" customWidth="1"/>
    <col min="7" max="7" width="31" customWidth="1"/>
    <col min="8" max="8" width="18" customWidth="1"/>
    <col min="9" max="9" width="62" customWidth="1"/>
    <col min="10" max="10" width="78" customWidth="1"/>
  </cols>
  <sheetData>
    <row r="1" spans="1:10" ht="28.5" customHeight="1" x14ac:dyDescent="0.2">
      <c r="A1" s="34" t="s">
        <v>0</v>
      </c>
      <c r="B1" s="34" t="s">
        <v>1</v>
      </c>
      <c r="C1" s="34" t="s">
        <v>2</v>
      </c>
      <c r="D1" s="34" t="s">
        <v>3</v>
      </c>
      <c r="E1" s="34" t="s">
        <v>1375</v>
      </c>
      <c r="F1" s="34" t="s">
        <v>1251</v>
      </c>
      <c r="G1" s="34" t="s">
        <v>1376</v>
      </c>
      <c r="H1" s="34" t="s">
        <v>1336</v>
      </c>
      <c r="I1" s="34" t="s">
        <v>1377</v>
      </c>
      <c r="J1" s="34" t="s">
        <v>1252</v>
      </c>
    </row>
    <row r="2" spans="1:10" hidden="1" x14ac:dyDescent="0.2">
      <c r="A2" s="35">
        <v>1</v>
      </c>
      <c r="B2" s="35" t="s">
        <v>16</v>
      </c>
      <c r="C2" s="35" t="s">
        <v>17</v>
      </c>
      <c r="D2" s="35" t="s">
        <v>18</v>
      </c>
      <c r="E2" s="35" t="s">
        <v>19</v>
      </c>
      <c r="F2" s="35">
        <v>1</v>
      </c>
      <c r="G2" s="35" t="s">
        <v>1378</v>
      </c>
      <c r="H2" s="36" t="s">
        <v>1255</v>
      </c>
      <c r="I2" s="35" t="s">
        <v>1379</v>
      </c>
      <c r="J2" s="35" t="s">
        <v>1261</v>
      </c>
    </row>
    <row r="3" spans="1:10" hidden="1" x14ac:dyDescent="0.2">
      <c r="A3" s="35">
        <v>2</v>
      </c>
      <c r="B3" s="35" t="s">
        <v>27</v>
      </c>
      <c r="C3" s="35" t="s">
        <v>17</v>
      </c>
      <c r="D3" s="35" t="s">
        <v>18</v>
      </c>
      <c r="E3" s="35" t="s">
        <v>19</v>
      </c>
      <c r="F3" s="35">
        <v>1</v>
      </c>
      <c r="G3" s="35" t="s">
        <v>1378</v>
      </c>
      <c r="H3" s="36" t="s">
        <v>1255</v>
      </c>
      <c r="I3" s="35" t="s">
        <v>1379</v>
      </c>
      <c r="J3" s="35" t="s">
        <v>1262</v>
      </c>
    </row>
    <row r="4" spans="1:10" hidden="1" x14ac:dyDescent="0.2">
      <c r="A4" s="35">
        <v>3</v>
      </c>
      <c r="B4" s="35" t="s">
        <v>33</v>
      </c>
      <c r="C4" s="35" t="s">
        <v>17</v>
      </c>
      <c r="D4" s="35" t="s">
        <v>18</v>
      </c>
      <c r="E4" s="35" t="s">
        <v>19</v>
      </c>
      <c r="F4" s="35">
        <v>1</v>
      </c>
      <c r="G4" s="35" t="s">
        <v>1378</v>
      </c>
      <c r="H4" s="36" t="s">
        <v>1255</v>
      </c>
      <c r="I4" s="35" t="s">
        <v>1379</v>
      </c>
      <c r="J4" s="35" t="s">
        <v>1380</v>
      </c>
    </row>
    <row r="5" spans="1:10" ht="25.5" hidden="1" customHeight="1" x14ac:dyDescent="0.2">
      <c r="A5" s="35">
        <v>4</v>
      </c>
      <c r="B5" s="35" t="s">
        <v>39</v>
      </c>
      <c r="C5" s="35" t="s">
        <v>17</v>
      </c>
      <c r="D5" s="35" t="s">
        <v>18</v>
      </c>
      <c r="E5" s="35" t="s">
        <v>40</v>
      </c>
      <c r="F5" s="35">
        <v>1</v>
      </c>
      <c r="G5" s="35" t="s">
        <v>1378</v>
      </c>
      <c r="H5" s="37" t="s">
        <v>1381</v>
      </c>
      <c r="I5" s="35" t="s">
        <v>1382</v>
      </c>
      <c r="J5" s="35" t="s">
        <v>1383</v>
      </c>
    </row>
    <row r="6" spans="1:10" hidden="1" x14ac:dyDescent="0.2">
      <c r="A6" s="35">
        <v>5</v>
      </c>
      <c r="B6" s="35" t="s">
        <v>46</v>
      </c>
      <c r="C6" s="35" t="s">
        <v>17</v>
      </c>
      <c r="D6" s="35" t="s">
        <v>18</v>
      </c>
      <c r="E6" s="35" t="s">
        <v>19</v>
      </c>
      <c r="F6" s="35">
        <v>1</v>
      </c>
      <c r="G6" s="35" t="s">
        <v>1378</v>
      </c>
      <c r="H6" s="36" t="s">
        <v>1255</v>
      </c>
      <c r="I6" s="35" t="s">
        <v>1379</v>
      </c>
      <c r="J6" s="35" t="s">
        <v>1384</v>
      </c>
    </row>
    <row r="7" spans="1:10" hidden="1" x14ac:dyDescent="0.2">
      <c r="A7" s="35">
        <v>6</v>
      </c>
      <c r="B7" s="35" t="s">
        <v>52</v>
      </c>
      <c r="C7" s="35" t="s">
        <v>17</v>
      </c>
      <c r="D7" s="35" t="s">
        <v>18</v>
      </c>
      <c r="E7" s="35" t="s">
        <v>40</v>
      </c>
      <c r="F7" s="35">
        <v>1</v>
      </c>
      <c r="G7" s="35" t="s">
        <v>1385</v>
      </c>
      <c r="H7" s="36" t="s">
        <v>1255</v>
      </c>
      <c r="I7" s="35" t="s">
        <v>1379</v>
      </c>
      <c r="J7" s="35" t="s">
        <v>1386</v>
      </c>
    </row>
    <row r="8" spans="1:10" ht="25.5" hidden="1" customHeight="1" x14ac:dyDescent="0.2">
      <c r="A8" s="35">
        <v>7</v>
      </c>
      <c r="B8" s="35" t="s">
        <v>58</v>
      </c>
      <c r="C8" s="35" t="s">
        <v>17</v>
      </c>
      <c r="D8" s="35" t="s">
        <v>18</v>
      </c>
      <c r="E8" s="35" t="s">
        <v>59</v>
      </c>
      <c r="F8" s="35">
        <v>1</v>
      </c>
      <c r="G8" s="35" t="s">
        <v>1378</v>
      </c>
      <c r="H8" s="37" t="s">
        <v>1381</v>
      </c>
      <c r="I8" s="35" t="s">
        <v>1382</v>
      </c>
      <c r="J8" s="35" t="s">
        <v>1387</v>
      </c>
    </row>
    <row r="9" spans="1:10" hidden="1" x14ac:dyDescent="0.2">
      <c r="A9" s="35">
        <v>8</v>
      </c>
      <c r="B9" s="35" t="s">
        <v>63</v>
      </c>
      <c r="C9" s="35" t="s">
        <v>17</v>
      </c>
      <c r="D9" s="35" t="s">
        <v>18</v>
      </c>
      <c r="E9" s="35" t="s">
        <v>64</v>
      </c>
      <c r="F9" s="35">
        <v>1</v>
      </c>
      <c r="G9" s="35" t="s">
        <v>1378</v>
      </c>
      <c r="H9" s="36" t="s">
        <v>1255</v>
      </c>
      <c r="I9" s="35" t="s">
        <v>1379</v>
      </c>
      <c r="J9" s="35" t="s">
        <v>1263</v>
      </c>
    </row>
    <row r="10" spans="1:10" hidden="1" x14ac:dyDescent="0.2">
      <c r="A10" s="35">
        <v>9</v>
      </c>
      <c r="B10" s="35" t="s">
        <v>67</v>
      </c>
      <c r="C10" s="35" t="s">
        <v>17</v>
      </c>
      <c r="D10" s="35" t="s">
        <v>18</v>
      </c>
      <c r="E10" s="35" t="s">
        <v>19</v>
      </c>
      <c r="F10" s="35">
        <v>1</v>
      </c>
      <c r="G10" s="35" t="s">
        <v>1378</v>
      </c>
      <c r="H10" s="36" t="s">
        <v>1255</v>
      </c>
      <c r="I10" s="35" t="s">
        <v>1379</v>
      </c>
      <c r="J10" s="35" t="s">
        <v>1388</v>
      </c>
    </row>
    <row r="11" spans="1:10" hidden="1" x14ac:dyDescent="0.2">
      <c r="A11" s="35">
        <v>10</v>
      </c>
      <c r="B11" s="35" t="s">
        <v>72</v>
      </c>
      <c r="C11" s="35" t="s">
        <v>17</v>
      </c>
      <c r="D11" s="35" t="s">
        <v>18</v>
      </c>
      <c r="E11" s="35" t="s">
        <v>40</v>
      </c>
      <c r="F11" s="35">
        <v>1</v>
      </c>
      <c r="G11" s="35" t="s">
        <v>1385</v>
      </c>
      <c r="H11" s="36" t="s">
        <v>1255</v>
      </c>
      <c r="I11" s="35" t="s">
        <v>1379</v>
      </c>
      <c r="J11" s="35" t="s">
        <v>1389</v>
      </c>
    </row>
    <row r="12" spans="1:10" hidden="1" x14ac:dyDescent="0.2">
      <c r="A12" s="35">
        <v>11</v>
      </c>
      <c r="B12" s="35" t="s">
        <v>78</v>
      </c>
      <c r="C12" s="35" t="s">
        <v>17</v>
      </c>
      <c r="D12" s="35" t="s">
        <v>18</v>
      </c>
      <c r="E12" s="35" t="s">
        <v>19</v>
      </c>
      <c r="F12" s="35">
        <v>1</v>
      </c>
      <c r="G12" s="35" t="s">
        <v>1378</v>
      </c>
      <c r="H12" s="36" t="s">
        <v>1255</v>
      </c>
      <c r="I12" s="35" t="s">
        <v>1379</v>
      </c>
      <c r="J12" s="35" t="s">
        <v>1390</v>
      </c>
    </row>
    <row r="13" spans="1:10" hidden="1" x14ac:dyDescent="0.2">
      <c r="A13" s="35">
        <v>12</v>
      </c>
      <c r="B13" s="35" t="s">
        <v>84</v>
      </c>
      <c r="C13" s="35" t="s">
        <v>17</v>
      </c>
      <c r="D13" s="35" t="s">
        <v>18</v>
      </c>
      <c r="E13" s="35" t="s">
        <v>19</v>
      </c>
      <c r="F13" s="35">
        <v>1</v>
      </c>
      <c r="G13" s="35" t="s">
        <v>1378</v>
      </c>
      <c r="H13" s="36" t="s">
        <v>1255</v>
      </c>
      <c r="I13" s="35" t="s">
        <v>1391</v>
      </c>
      <c r="J13" s="35" t="s">
        <v>1392</v>
      </c>
    </row>
    <row r="14" spans="1:10" ht="25.5" hidden="1" customHeight="1" x14ac:dyDescent="0.2">
      <c r="A14" s="35">
        <v>13</v>
      </c>
      <c r="B14" s="35" t="s">
        <v>87</v>
      </c>
      <c r="C14" s="35" t="s">
        <v>17</v>
      </c>
      <c r="D14" s="35" t="s">
        <v>18</v>
      </c>
      <c r="E14" s="35" t="s">
        <v>40</v>
      </c>
      <c r="F14" s="35">
        <v>1</v>
      </c>
      <c r="G14" s="35" t="s">
        <v>1378</v>
      </c>
      <c r="H14" s="37" t="s">
        <v>1381</v>
      </c>
      <c r="I14" s="35" t="s">
        <v>1382</v>
      </c>
      <c r="J14" s="35" t="s">
        <v>1393</v>
      </c>
    </row>
    <row r="15" spans="1:10" hidden="1" x14ac:dyDescent="0.2">
      <c r="A15" s="35">
        <v>14</v>
      </c>
      <c r="B15" s="35" t="s">
        <v>92</v>
      </c>
      <c r="C15" s="35" t="s">
        <v>17</v>
      </c>
      <c r="D15" s="35" t="s">
        <v>18</v>
      </c>
      <c r="E15" s="35" t="s">
        <v>19</v>
      </c>
      <c r="F15" s="35">
        <v>1</v>
      </c>
      <c r="G15" s="35" t="s">
        <v>1378</v>
      </c>
      <c r="H15" s="36" t="s">
        <v>1255</v>
      </c>
      <c r="I15" s="35" t="s">
        <v>1379</v>
      </c>
      <c r="J15" s="35" t="s">
        <v>1394</v>
      </c>
    </row>
    <row r="16" spans="1:10" hidden="1" x14ac:dyDescent="0.2">
      <c r="A16" s="35">
        <v>15</v>
      </c>
      <c r="B16" s="35" t="s">
        <v>96</v>
      </c>
      <c r="C16" s="35" t="s">
        <v>17</v>
      </c>
      <c r="D16" s="35" t="s">
        <v>18</v>
      </c>
      <c r="E16" s="35" t="s">
        <v>19</v>
      </c>
      <c r="F16" s="35">
        <v>1</v>
      </c>
      <c r="G16" s="35" t="s">
        <v>1378</v>
      </c>
      <c r="H16" s="36" t="s">
        <v>1255</v>
      </c>
      <c r="I16" s="35" t="s">
        <v>1379</v>
      </c>
      <c r="J16" s="35" t="s">
        <v>1395</v>
      </c>
    </row>
    <row r="17" spans="1:10" hidden="1" x14ac:dyDescent="0.2">
      <c r="A17" s="35">
        <v>16</v>
      </c>
      <c r="B17" s="35" t="s">
        <v>99</v>
      </c>
      <c r="C17" s="35" t="s">
        <v>17</v>
      </c>
      <c r="D17" s="35" t="s">
        <v>18</v>
      </c>
      <c r="E17" s="35" t="s">
        <v>19</v>
      </c>
      <c r="F17" s="35">
        <v>1</v>
      </c>
      <c r="G17" s="35" t="s">
        <v>1378</v>
      </c>
      <c r="H17" s="36" t="s">
        <v>1255</v>
      </c>
      <c r="I17" s="35" t="s">
        <v>1391</v>
      </c>
      <c r="J17" s="35" t="s">
        <v>1396</v>
      </c>
    </row>
    <row r="18" spans="1:10" x14ac:dyDescent="0.2">
      <c r="A18" s="35">
        <v>17</v>
      </c>
      <c r="B18" s="35" t="s">
        <v>103</v>
      </c>
      <c r="C18" s="35" t="s">
        <v>17</v>
      </c>
      <c r="D18" s="35" t="s">
        <v>18</v>
      </c>
      <c r="E18" s="35" t="s">
        <v>41</v>
      </c>
      <c r="F18" s="35">
        <v>1</v>
      </c>
      <c r="G18" s="35" t="s">
        <v>1397</v>
      </c>
      <c r="H18" s="36" t="s">
        <v>1255</v>
      </c>
      <c r="I18" s="35" t="s">
        <v>1391</v>
      </c>
      <c r="J18" s="35" t="s">
        <v>1264</v>
      </c>
    </row>
    <row r="19" spans="1:10" ht="25.5" hidden="1" customHeight="1" x14ac:dyDescent="0.2">
      <c r="A19" s="35">
        <v>18</v>
      </c>
      <c r="B19" s="35" t="s">
        <v>106</v>
      </c>
      <c r="C19" s="35" t="s">
        <v>17</v>
      </c>
      <c r="D19" s="35" t="s">
        <v>18</v>
      </c>
      <c r="E19" s="35" t="s">
        <v>59</v>
      </c>
      <c r="F19" s="35">
        <v>1</v>
      </c>
      <c r="G19" s="35" t="s">
        <v>1378</v>
      </c>
      <c r="H19" s="37" t="s">
        <v>1381</v>
      </c>
      <c r="I19" s="35" t="s">
        <v>1382</v>
      </c>
      <c r="J19" s="35" t="s">
        <v>1398</v>
      </c>
    </row>
    <row r="20" spans="1:10" hidden="1" x14ac:dyDescent="0.2">
      <c r="A20" s="35">
        <v>19</v>
      </c>
      <c r="B20" s="35" t="s">
        <v>109</v>
      </c>
      <c r="C20" s="35" t="s">
        <v>17</v>
      </c>
      <c r="D20" s="35" t="s">
        <v>18</v>
      </c>
      <c r="E20" s="35" t="s">
        <v>19</v>
      </c>
      <c r="F20" s="35">
        <v>1</v>
      </c>
      <c r="G20" s="35" t="s">
        <v>1378</v>
      </c>
      <c r="H20" s="36" t="s">
        <v>1255</v>
      </c>
      <c r="I20" s="35" t="s">
        <v>1379</v>
      </c>
      <c r="J20" s="35" t="s">
        <v>1399</v>
      </c>
    </row>
    <row r="21" spans="1:10" hidden="1" x14ac:dyDescent="0.2">
      <c r="A21" s="35">
        <v>20</v>
      </c>
      <c r="B21" s="35" t="s">
        <v>115</v>
      </c>
      <c r="C21" s="35" t="s">
        <v>17</v>
      </c>
      <c r="D21" s="35" t="s">
        <v>18</v>
      </c>
      <c r="E21" s="35" t="s">
        <v>40</v>
      </c>
      <c r="F21" s="35">
        <v>1</v>
      </c>
      <c r="G21" s="35" t="s">
        <v>1385</v>
      </c>
      <c r="H21" s="36" t="s">
        <v>1255</v>
      </c>
      <c r="I21" s="35" t="s">
        <v>1379</v>
      </c>
      <c r="J21" s="35" t="s">
        <v>1400</v>
      </c>
    </row>
    <row r="22" spans="1:10" ht="25.5" hidden="1" customHeight="1" x14ac:dyDescent="0.2">
      <c r="A22" s="35">
        <v>21</v>
      </c>
      <c r="B22" s="35" t="s">
        <v>119</v>
      </c>
      <c r="C22" s="35" t="s">
        <v>17</v>
      </c>
      <c r="D22" s="35" t="s">
        <v>18</v>
      </c>
      <c r="E22" s="35" t="s">
        <v>41</v>
      </c>
      <c r="F22" s="35">
        <v>1</v>
      </c>
      <c r="G22" s="35" t="s">
        <v>1378</v>
      </c>
      <c r="H22" s="37" t="s">
        <v>1381</v>
      </c>
      <c r="I22" s="35" t="s">
        <v>1382</v>
      </c>
      <c r="J22" s="35" t="s">
        <v>1401</v>
      </c>
    </row>
    <row r="23" spans="1:10" ht="25.5" hidden="1" customHeight="1" x14ac:dyDescent="0.2">
      <c r="A23" s="35">
        <v>22</v>
      </c>
      <c r="B23" s="35" t="s">
        <v>122</v>
      </c>
      <c r="C23" s="35" t="s">
        <v>17</v>
      </c>
      <c r="D23" s="35" t="s">
        <v>18</v>
      </c>
      <c r="E23" s="35" t="s">
        <v>40</v>
      </c>
      <c r="F23" s="35">
        <v>1</v>
      </c>
      <c r="G23" s="35" t="s">
        <v>1378</v>
      </c>
      <c r="H23" s="37" t="s">
        <v>1381</v>
      </c>
      <c r="I23" s="35" t="s">
        <v>1382</v>
      </c>
      <c r="J23" s="35" t="s">
        <v>1402</v>
      </c>
    </row>
    <row r="24" spans="1:10" hidden="1" x14ac:dyDescent="0.2">
      <c r="A24" s="35">
        <v>23</v>
      </c>
      <c r="B24" s="35" t="s">
        <v>126</v>
      </c>
      <c r="C24" s="35" t="s">
        <v>17</v>
      </c>
      <c r="D24" s="35" t="s">
        <v>18</v>
      </c>
      <c r="E24" s="35" t="s">
        <v>40</v>
      </c>
      <c r="F24" s="35">
        <v>1</v>
      </c>
      <c r="G24" s="35" t="s">
        <v>1385</v>
      </c>
      <c r="H24" s="36" t="s">
        <v>1255</v>
      </c>
      <c r="I24" s="35" t="s">
        <v>1379</v>
      </c>
      <c r="J24" s="35" t="s">
        <v>1403</v>
      </c>
    </row>
    <row r="25" spans="1:10" ht="25.5" hidden="1" customHeight="1" x14ac:dyDescent="0.2">
      <c r="A25" s="35">
        <v>24</v>
      </c>
      <c r="B25" s="35" t="s">
        <v>131</v>
      </c>
      <c r="C25" s="35" t="s">
        <v>17</v>
      </c>
      <c r="D25" s="35" t="s">
        <v>18</v>
      </c>
      <c r="E25" s="35" t="s">
        <v>41</v>
      </c>
      <c r="F25" s="35">
        <v>1</v>
      </c>
      <c r="G25" s="35" t="s">
        <v>1378</v>
      </c>
      <c r="H25" s="37" t="s">
        <v>1381</v>
      </c>
      <c r="I25" s="35" t="s">
        <v>1382</v>
      </c>
      <c r="J25" s="35" t="s">
        <v>1404</v>
      </c>
    </row>
    <row r="26" spans="1:10" hidden="1" x14ac:dyDescent="0.2">
      <c r="A26" s="35">
        <v>25</v>
      </c>
      <c r="B26" s="35" t="s">
        <v>135</v>
      </c>
      <c r="C26" s="35" t="s">
        <v>17</v>
      </c>
      <c r="D26" s="35" t="s">
        <v>18</v>
      </c>
      <c r="E26" s="35" t="s">
        <v>19</v>
      </c>
      <c r="F26" s="35">
        <v>1</v>
      </c>
      <c r="G26" s="35" t="s">
        <v>1378</v>
      </c>
      <c r="H26" s="36" t="s">
        <v>1255</v>
      </c>
      <c r="I26" s="35" t="s">
        <v>1379</v>
      </c>
      <c r="J26" s="35" t="s">
        <v>1405</v>
      </c>
    </row>
    <row r="27" spans="1:10" ht="25.5" customHeight="1" x14ac:dyDescent="0.2">
      <c r="A27" s="35">
        <v>26</v>
      </c>
      <c r="B27" s="35" t="s">
        <v>138</v>
      </c>
      <c r="C27" s="35" t="s">
        <v>17</v>
      </c>
      <c r="D27" s="35" t="s">
        <v>18</v>
      </c>
      <c r="E27" s="35" t="s">
        <v>41</v>
      </c>
      <c r="F27" s="35">
        <v>1</v>
      </c>
      <c r="G27" s="35" t="s">
        <v>1378</v>
      </c>
      <c r="H27" s="37" t="s">
        <v>1381</v>
      </c>
      <c r="I27" s="35" t="s">
        <v>1382</v>
      </c>
      <c r="J27" s="35" t="s">
        <v>1406</v>
      </c>
    </row>
    <row r="28" spans="1:10" hidden="1" x14ac:dyDescent="0.2">
      <c r="A28" s="35">
        <v>27</v>
      </c>
      <c r="B28" s="35" t="s">
        <v>141</v>
      </c>
      <c r="C28" s="35" t="s">
        <v>17</v>
      </c>
      <c r="D28" s="35" t="s">
        <v>18</v>
      </c>
      <c r="E28" s="35" t="s">
        <v>40</v>
      </c>
      <c r="F28" s="35">
        <v>1</v>
      </c>
      <c r="G28" s="35" t="s">
        <v>1385</v>
      </c>
      <c r="H28" s="36" t="s">
        <v>1255</v>
      </c>
      <c r="I28" s="35" t="s">
        <v>1379</v>
      </c>
      <c r="J28" s="35" t="s">
        <v>1407</v>
      </c>
    </row>
    <row r="29" spans="1:10" hidden="1" x14ac:dyDescent="0.2">
      <c r="A29" s="35">
        <v>28</v>
      </c>
      <c r="B29" s="35" t="s">
        <v>144</v>
      </c>
      <c r="C29" s="35" t="s">
        <v>17</v>
      </c>
      <c r="D29" s="35" t="s">
        <v>18</v>
      </c>
      <c r="E29" s="35" t="s">
        <v>19</v>
      </c>
      <c r="F29" s="35">
        <v>1</v>
      </c>
      <c r="G29" s="35" t="s">
        <v>1378</v>
      </c>
      <c r="H29" s="36" t="s">
        <v>1255</v>
      </c>
      <c r="I29" s="35" t="s">
        <v>1379</v>
      </c>
      <c r="J29" s="35" t="s">
        <v>1408</v>
      </c>
    </row>
    <row r="30" spans="1:10" hidden="1" x14ac:dyDescent="0.2">
      <c r="A30" s="35">
        <v>29</v>
      </c>
      <c r="B30" s="35" t="s">
        <v>147</v>
      </c>
      <c r="C30" s="35" t="s">
        <v>17</v>
      </c>
      <c r="D30" s="35" t="s">
        <v>18</v>
      </c>
      <c r="E30" s="35" t="s">
        <v>19</v>
      </c>
      <c r="F30" s="35">
        <v>1</v>
      </c>
      <c r="G30" s="35" t="s">
        <v>1378</v>
      </c>
      <c r="H30" s="36" t="s">
        <v>1255</v>
      </c>
      <c r="I30" s="35" t="s">
        <v>1379</v>
      </c>
      <c r="J30" s="35" t="s">
        <v>1409</v>
      </c>
    </row>
    <row r="31" spans="1:10" hidden="1" x14ac:dyDescent="0.2">
      <c r="A31" s="35">
        <v>30</v>
      </c>
      <c r="B31" s="35" t="s">
        <v>150</v>
      </c>
      <c r="C31" s="35" t="s">
        <v>17</v>
      </c>
      <c r="D31" s="35" t="s">
        <v>18</v>
      </c>
      <c r="E31" s="35" t="s">
        <v>40</v>
      </c>
      <c r="F31" s="35">
        <v>1</v>
      </c>
      <c r="G31" s="35" t="s">
        <v>1385</v>
      </c>
      <c r="H31" s="36" t="s">
        <v>1255</v>
      </c>
      <c r="I31" s="35" t="s">
        <v>1379</v>
      </c>
      <c r="J31" s="35" t="s">
        <v>1410</v>
      </c>
    </row>
    <row r="32" spans="1:10" hidden="1" x14ac:dyDescent="0.2">
      <c r="A32" s="35">
        <v>31</v>
      </c>
      <c r="B32" s="35" t="s">
        <v>153</v>
      </c>
      <c r="C32" s="35" t="s">
        <v>17</v>
      </c>
      <c r="D32" s="35" t="s">
        <v>18</v>
      </c>
      <c r="E32" s="35" t="s">
        <v>19</v>
      </c>
      <c r="F32" s="35">
        <v>1</v>
      </c>
      <c r="G32" s="35" t="s">
        <v>1378</v>
      </c>
      <c r="H32" s="36" t="s">
        <v>1255</v>
      </c>
      <c r="I32" s="35" t="s">
        <v>1379</v>
      </c>
      <c r="J32" s="35" t="s">
        <v>1411</v>
      </c>
    </row>
    <row r="33" spans="1:10" hidden="1" x14ac:dyDescent="0.2">
      <c r="A33" s="35">
        <v>32</v>
      </c>
      <c r="B33" s="35" t="s">
        <v>159</v>
      </c>
      <c r="C33" s="35" t="s">
        <v>17</v>
      </c>
      <c r="D33" s="35" t="s">
        <v>18</v>
      </c>
      <c r="E33" s="35" t="s">
        <v>19</v>
      </c>
      <c r="F33" s="35">
        <v>1</v>
      </c>
      <c r="G33" s="35" t="s">
        <v>1378</v>
      </c>
      <c r="H33" s="36" t="s">
        <v>1255</v>
      </c>
      <c r="I33" s="35" t="s">
        <v>1379</v>
      </c>
      <c r="J33" s="35" t="s">
        <v>1412</v>
      </c>
    </row>
    <row r="34" spans="1:10" hidden="1" x14ac:dyDescent="0.2">
      <c r="A34" s="35">
        <v>33</v>
      </c>
      <c r="B34" s="35" t="s">
        <v>162</v>
      </c>
      <c r="C34" s="35" t="s">
        <v>17</v>
      </c>
      <c r="D34" s="35" t="s">
        <v>163</v>
      </c>
      <c r="E34" s="35" t="s">
        <v>40</v>
      </c>
      <c r="F34" s="35">
        <v>1</v>
      </c>
      <c r="G34" s="35" t="s">
        <v>1385</v>
      </c>
      <c r="H34" s="36" t="s">
        <v>1255</v>
      </c>
      <c r="I34" s="35" t="s">
        <v>1379</v>
      </c>
      <c r="J34" s="35" t="s">
        <v>1281</v>
      </c>
    </row>
    <row r="35" spans="1:10" hidden="1" x14ac:dyDescent="0.2">
      <c r="A35" s="35">
        <v>34</v>
      </c>
      <c r="B35" s="35" t="s">
        <v>167</v>
      </c>
      <c r="C35" s="35" t="s">
        <v>17</v>
      </c>
      <c r="D35" s="35" t="s">
        <v>163</v>
      </c>
      <c r="E35" s="35" t="s">
        <v>19</v>
      </c>
      <c r="F35" s="35">
        <v>1</v>
      </c>
      <c r="G35" s="35" t="s">
        <v>1378</v>
      </c>
      <c r="H35" s="36" t="s">
        <v>1255</v>
      </c>
      <c r="I35" s="35" t="s">
        <v>1379</v>
      </c>
      <c r="J35" s="35" t="s">
        <v>1413</v>
      </c>
    </row>
    <row r="36" spans="1:10" hidden="1" x14ac:dyDescent="0.2">
      <c r="A36" s="35">
        <v>35</v>
      </c>
      <c r="B36" s="35" t="s">
        <v>170</v>
      </c>
      <c r="C36" s="35" t="s">
        <v>17</v>
      </c>
      <c r="D36" s="35" t="s">
        <v>163</v>
      </c>
      <c r="E36" s="35" t="s">
        <v>59</v>
      </c>
      <c r="F36" s="35">
        <v>1</v>
      </c>
      <c r="G36" s="35" t="s">
        <v>1414</v>
      </c>
      <c r="H36" s="36" t="s">
        <v>1255</v>
      </c>
      <c r="I36" s="35" t="s">
        <v>1379</v>
      </c>
      <c r="J36" s="35" t="s">
        <v>1282</v>
      </c>
    </row>
    <row r="37" spans="1:10" ht="25.5" hidden="1" customHeight="1" x14ac:dyDescent="0.2">
      <c r="A37" s="35">
        <v>36</v>
      </c>
      <c r="B37" s="35" t="s">
        <v>173</v>
      </c>
      <c r="C37" s="35" t="s">
        <v>17</v>
      </c>
      <c r="D37" s="35" t="s">
        <v>163</v>
      </c>
      <c r="E37" s="35" t="s">
        <v>41</v>
      </c>
      <c r="F37" s="35">
        <v>1</v>
      </c>
      <c r="G37" s="35" t="s">
        <v>1378</v>
      </c>
      <c r="H37" s="37" t="s">
        <v>1381</v>
      </c>
      <c r="I37" s="35" t="s">
        <v>1382</v>
      </c>
      <c r="J37" s="35" t="s">
        <v>1415</v>
      </c>
    </row>
    <row r="38" spans="1:10" hidden="1" x14ac:dyDescent="0.2">
      <c r="A38" s="35">
        <v>37</v>
      </c>
      <c r="B38" s="35" t="s">
        <v>177</v>
      </c>
      <c r="C38" s="35" t="s">
        <v>17</v>
      </c>
      <c r="D38" s="35" t="s">
        <v>163</v>
      </c>
      <c r="E38" s="35" t="s">
        <v>40</v>
      </c>
      <c r="F38" s="35">
        <v>1</v>
      </c>
      <c r="G38" s="35" t="s">
        <v>1385</v>
      </c>
      <c r="H38" s="36" t="s">
        <v>1255</v>
      </c>
      <c r="I38" s="35" t="s">
        <v>1379</v>
      </c>
      <c r="J38" s="35" t="s">
        <v>1416</v>
      </c>
    </row>
    <row r="39" spans="1:10" hidden="1" x14ac:dyDescent="0.2">
      <c r="A39" s="35">
        <v>38</v>
      </c>
      <c r="B39" s="35" t="s">
        <v>181</v>
      </c>
      <c r="C39" s="35" t="s">
        <v>17</v>
      </c>
      <c r="D39" s="35" t="s">
        <v>163</v>
      </c>
      <c r="E39" s="35" t="s">
        <v>19</v>
      </c>
      <c r="F39" s="35">
        <v>1</v>
      </c>
      <c r="G39" s="35" t="s">
        <v>1378</v>
      </c>
      <c r="H39" s="36" t="s">
        <v>1255</v>
      </c>
      <c r="I39" s="35" t="s">
        <v>1379</v>
      </c>
      <c r="J39" s="35" t="s">
        <v>1417</v>
      </c>
    </row>
    <row r="40" spans="1:10" hidden="1" x14ac:dyDescent="0.2">
      <c r="A40" s="35">
        <v>39</v>
      </c>
      <c r="B40" s="35" t="s">
        <v>184</v>
      </c>
      <c r="C40" s="35" t="s">
        <v>17</v>
      </c>
      <c r="D40" s="35" t="s">
        <v>163</v>
      </c>
      <c r="E40" s="35" t="s">
        <v>19</v>
      </c>
      <c r="F40" s="35">
        <v>1</v>
      </c>
      <c r="G40" s="35" t="s">
        <v>1378</v>
      </c>
      <c r="H40" s="36" t="s">
        <v>1255</v>
      </c>
      <c r="I40" s="35" t="s">
        <v>1379</v>
      </c>
      <c r="J40" s="35" t="s">
        <v>1418</v>
      </c>
    </row>
    <row r="41" spans="1:10" ht="25.5" hidden="1" customHeight="1" x14ac:dyDescent="0.2">
      <c r="A41" s="35">
        <v>40</v>
      </c>
      <c r="B41" s="35" t="s">
        <v>187</v>
      </c>
      <c r="C41" s="35" t="s">
        <v>17</v>
      </c>
      <c r="D41" s="35" t="s">
        <v>163</v>
      </c>
      <c r="E41" s="35" t="s">
        <v>59</v>
      </c>
      <c r="F41" s="35">
        <v>1</v>
      </c>
      <c r="G41" s="35" t="s">
        <v>1378</v>
      </c>
      <c r="H41" s="37" t="s">
        <v>1381</v>
      </c>
      <c r="I41" s="35" t="s">
        <v>1382</v>
      </c>
      <c r="J41" s="35" t="s">
        <v>1419</v>
      </c>
    </row>
    <row r="42" spans="1:10" hidden="1" x14ac:dyDescent="0.2">
      <c r="A42" s="35">
        <v>41</v>
      </c>
      <c r="B42" s="35" t="s">
        <v>190</v>
      </c>
      <c r="C42" s="35" t="s">
        <v>17</v>
      </c>
      <c r="D42" s="35" t="s">
        <v>163</v>
      </c>
      <c r="E42" s="35" t="s">
        <v>19</v>
      </c>
      <c r="F42" s="35">
        <v>1</v>
      </c>
      <c r="G42" s="35" t="s">
        <v>1378</v>
      </c>
      <c r="H42" s="36" t="s">
        <v>1255</v>
      </c>
      <c r="I42" s="35" t="s">
        <v>1379</v>
      </c>
      <c r="J42" s="35" t="s">
        <v>1420</v>
      </c>
    </row>
    <row r="43" spans="1:10" ht="25.5" hidden="1" customHeight="1" x14ac:dyDescent="0.2">
      <c r="A43" s="35">
        <v>42</v>
      </c>
      <c r="B43" s="35" t="s">
        <v>193</v>
      </c>
      <c r="C43" s="35" t="s">
        <v>17</v>
      </c>
      <c r="D43" s="35" t="s">
        <v>163</v>
      </c>
      <c r="E43" s="35" t="s">
        <v>40</v>
      </c>
      <c r="F43" s="35">
        <v>1</v>
      </c>
      <c r="G43" s="35" t="s">
        <v>1378</v>
      </c>
      <c r="H43" s="37" t="s">
        <v>1381</v>
      </c>
      <c r="I43" s="35" t="s">
        <v>1382</v>
      </c>
      <c r="J43" s="35" t="s">
        <v>1421</v>
      </c>
    </row>
    <row r="44" spans="1:10" ht="25.5" hidden="1" customHeight="1" x14ac:dyDescent="0.2">
      <c r="A44" s="35">
        <v>43</v>
      </c>
      <c r="B44" s="35" t="s">
        <v>196</v>
      </c>
      <c r="C44" s="35" t="s">
        <v>17</v>
      </c>
      <c r="D44" s="35" t="s">
        <v>163</v>
      </c>
      <c r="E44" s="35" t="s">
        <v>41</v>
      </c>
      <c r="F44" s="35">
        <v>1</v>
      </c>
      <c r="G44" s="35" t="s">
        <v>1378</v>
      </c>
      <c r="H44" s="37" t="s">
        <v>1381</v>
      </c>
      <c r="I44" s="35" t="s">
        <v>1382</v>
      </c>
      <c r="J44" s="35" t="s">
        <v>1422</v>
      </c>
    </row>
    <row r="45" spans="1:10" hidden="1" x14ac:dyDescent="0.2">
      <c r="A45" s="35">
        <v>44</v>
      </c>
      <c r="B45" s="35" t="s">
        <v>199</v>
      </c>
      <c r="C45" s="35" t="s">
        <v>17</v>
      </c>
      <c r="D45" s="35" t="s">
        <v>163</v>
      </c>
      <c r="E45" s="35" t="s">
        <v>19</v>
      </c>
      <c r="F45" s="35">
        <v>1</v>
      </c>
      <c r="G45" s="35" t="s">
        <v>1378</v>
      </c>
      <c r="H45" s="36" t="s">
        <v>1255</v>
      </c>
      <c r="I45" s="35" t="s">
        <v>1379</v>
      </c>
      <c r="J45" s="35" t="s">
        <v>1423</v>
      </c>
    </row>
    <row r="46" spans="1:10" ht="25.5" hidden="1" customHeight="1" x14ac:dyDescent="0.2">
      <c r="A46" s="35">
        <v>45</v>
      </c>
      <c r="B46" s="35" t="s">
        <v>202</v>
      </c>
      <c r="C46" s="35" t="s">
        <v>17</v>
      </c>
      <c r="D46" s="35" t="s">
        <v>163</v>
      </c>
      <c r="E46" s="35" t="s">
        <v>41</v>
      </c>
      <c r="F46" s="35">
        <v>1</v>
      </c>
      <c r="G46" s="35" t="s">
        <v>1378</v>
      </c>
      <c r="H46" s="37" t="s">
        <v>1381</v>
      </c>
      <c r="I46" s="35" t="s">
        <v>1382</v>
      </c>
      <c r="J46" s="35" t="s">
        <v>1424</v>
      </c>
    </row>
    <row r="47" spans="1:10" x14ac:dyDescent="0.2">
      <c r="A47" s="35">
        <v>46</v>
      </c>
      <c r="B47" s="35" t="s">
        <v>205</v>
      </c>
      <c r="C47" s="35" t="s">
        <v>17</v>
      </c>
      <c r="D47" s="35" t="s">
        <v>163</v>
      </c>
      <c r="E47" s="35" t="s">
        <v>41</v>
      </c>
      <c r="F47" s="35">
        <v>1</v>
      </c>
      <c r="G47" s="35" t="s">
        <v>1397</v>
      </c>
      <c r="H47" s="36" t="s">
        <v>1255</v>
      </c>
      <c r="I47" s="35" t="s">
        <v>1391</v>
      </c>
      <c r="J47" s="35" t="s">
        <v>1283</v>
      </c>
    </row>
    <row r="48" spans="1:10" hidden="1" x14ac:dyDescent="0.2">
      <c r="A48" s="35">
        <v>47</v>
      </c>
      <c r="B48" s="35" t="s">
        <v>208</v>
      </c>
      <c r="C48" s="35" t="s">
        <v>17</v>
      </c>
      <c r="D48" s="35" t="s">
        <v>163</v>
      </c>
      <c r="E48" s="35" t="s">
        <v>19</v>
      </c>
      <c r="F48" s="35">
        <v>1</v>
      </c>
      <c r="G48" s="35" t="s">
        <v>1378</v>
      </c>
      <c r="H48" s="36" t="s">
        <v>1255</v>
      </c>
      <c r="I48" s="35" t="s">
        <v>1379</v>
      </c>
      <c r="J48" s="35" t="s">
        <v>1425</v>
      </c>
    </row>
    <row r="49" spans="1:10" hidden="1" x14ac:dyDescent="0.2">
      <c r="A49" s="35">
        <v>48</v>
      </c>
      <c r="B49" s="35" t="s">
        <v>211</v>
      </c>
      <c r="C49" s="35" t="s">
        <v>17</v>
      </c>
      <c r="D49" s="35" t="s">
        <v>163</v>
      </c>
      <c r="E49" s="35" t="s">
        <v>212</v>
      </c>
      <c r="F49" s="35">
        <v>1</v>
      </c>
      <c r="G49" s="35" t="s">
        <v>1378</v>
      </c>
      <c r="H49" s="36" t="s">
        <v>1255</v>
      </c>
      <c r="I49" s="35" t="s">
        <v>1379</v>
      </c>
      <c r="J49" s="35" t="s">
        <v>1426</v>
      </c>
    </row>
    <row r="50" spans="1:10" hidden="1" x14ac:dyDescent="0.2">
      <c r="A50" s="35">
        <v>49</v>
      </c>
      <c r="B50" s="35" t="s">
        <v>217</v>
      </c>
      <c r="C50" s="35" t="s">
        <v>17</v>
      </c>
      <c r="D50" s="35" t="s">
        <v>218</v>
      </c>
      <c r="E50" s="35" t="s">
        <v>19</v>
      </c>
      <c r="F50" s="35">
        <v>1</v>
      </c>
      <c r="G50" s="35" t="s">
        <v>1378</v>
      </c>
      <c r="H50" s="36" t="s">
        <v>1255</v>
      </c>
      <c r="I50" s="35" t="s">
        <v>1379</v>
      </c>
      <c r="J50" s="35" t="s">
        <v>1296</v>
      </c>
    </row>
    <row r="51" spans="1:10" hidden="1" x14ac:dyDescent="0.2">
      <c r="A51" s="35">
        <v>50</v>
      </c>
      <c r="B51" s="35" t="s">
        <v>221</v>
      </c>
      <c r="C51" s="35" t="s">
        <v>17</v>
      </c>
      <c r="D51" s="35" t="s">
        <v>218</v>
      </c>
      <c r="E51" s="35" t="s">
        <v>19</v>
      </c>
      <c r="F51" s="35">
        <v>1</v>
      </c>
      <c r="G51" s="35" t="s">
        <v>1378</v>
      </c>
      <c r="H51" s="36" t="s">
        <v>1255</v>
      </c>
      <c r="I51" s="35" t="s">
        <v>1379</v>
      </c>
      <c r="J51" s="35" t="s">
        <v>1427</v>
      </c>
    </row>
    <row r="52" spans="1:10" hidden="1" x14ac:dyDescent="0.2">
      <c r="A52" s="35">
        <v>51</v>
      </c>
      <c r="B52" s="35" t="s">
        <v>224</v>
      </c>
      <c r="C52" s="35" t="s">
        <v>17</v>
      </c>
      <c r="D52" s="35" t="s">
        <v>218</v>
      </c>
      <c r="E52" s="35" t="s">
        <v>19</v>
      </c>
      <c r="F52" s="35">
        <v>1</v>
      </c>
      <c r="G52" s="35" t="s">
        <v>1378</v>
      </c>
      <c r="H52" s="36" t="s">
        <v>1255</v>
      </c>
      <c r="I52" s="35" t="s">
        <v>1379</v>
      </c>
      <c r="J52" s="35" t="s">
        <v>1428</v>
      </c>
    </row>
    <row r="53" spans="1:10" hidden="1" x14ac:dyDescent="0.2">
      <c r="A53" s="35">
        <v>52</v>
      </c>
      <c r="B53" s="35" t="s">
        <v>227</v>
      </c>
      <c r="C53" s="35" t="s">
        <v>17</v>
      </c>
      <c r="D53" s="35" t="s">
        <v>218</v>
      </c>
      <c r="E53" s="35" t="s">
        <v>19</v>
      </c>
      <c r="F53" s="35">
        <v>1</v>
      </c>
      <c r="G53" s="35" t="s">
        <v>1378</v>
      </c>
      <c r="H53" s="36" t="s">
        <v>1255</v>
      </c>
      <c r="I53" s="35" t="s">
        <v>1379</v>
      </c>
      <c r="J53" s="35" t="s">
        <v>1429</v>
      </c>
    </row>
    <row r="54" spans="1:10" hidden="1" x14ac:dyDescent="0.2">
      <c r="A54" s="35">
        <v>53</v>
      </c>
      <c r="B54" s="35" t="s">
        <v>230</v>
      </c>
      <c r="C54" s="35" t="s">
        <v>17</v>
      </c>
      <c r="D54" s="35" t="s">
        <v>218</v>
      </c>
      <c r="E54" s="35" t="s">
        <v>40</v>
      </c>
      <c r="F54" s="35">
        <v>1</v>
      </c>
      <c r="G54" s="35" t="s">
        <v>1430</v>
      </c>
      <c r="H54" s="36" t="s">
        <v>1255</v>
      </c>
      <c r="I54" s="35" t="s">
        <v>1379</v>
      </c>
      <c r="J54" s="35" t="s">
        <v>1297</v>
      </c>
    </row>
    <row r="55" spans="1:10" ht="25.5" hidden="1" customHeight="1" x14ac:dyDescent="0.2">
      <c r="A55" s="35">
        <v>54</v>
      </c>
      <c r="B55" s="35" t="s">
        <v>234</v>
      </c>
      <c r="C55" s="35" t="s">
        <v>17</v>
      </c>
      <c r="D55" s="35" t="s">
        <v>218</v>
      </c>
      <c r="E55" s="35" t="s">
        <v>59</v>
      </c>
      <c r="F55" s="35">
        <v>1</v>
      </c>
      <c r="G55" s="35" t="s">
        <v>1378</v>
      </c>
      <c r="H55" s="37" t="s">
        <v>1381</v>
      </c>
      <c r="I55" s="35" t="s">
        <v>1382</v>
      </c>
      <c r="J55" s="35" t="s">
        <v>1431</v>
      </c>
    </row>
    <row r="56" spans="1:10" ht="25.5" hidden="1" customHeight="1" x14ac:dyDescent="0.2">
      <c r="A56" s="35">
        <v>55</v>
      </c>
      <c r="B56" s="35" t="s">
        <v>237</v>
      </c>
      <c r="C56" s="35" t="s">
        <v>17</v>
      </c>
      <c r="D56" s="35" t="s">
        <v>218</v>
      </c>
      <c r="E56" s="35" t="s">
        <v>64</v>
      </c>
      <c r="F56" s="35">
        <v>1</v>
      </c>
      <c r="G56" s="35" t="s">
        <v>1432</v>
      </c>
      <c r="H56" s="37" t="s">
        <v>1381</v>
      </c>
      <c r="I56" s="35" t="s">
        <v>1382</v>
      </c>
      <c r="J56" s="35" t="s">
        <v>1433</v>
      </c>
    </row>
    <row r="57" spans="1:10" ht="25.5" hidden="1" customHeight="1" x14ac:dyDescent="0.2">
      <c r="A57" s="35">
        <v>56</v>
      </c>
      <c r="B57" s="35" t="s">
        <v>240</v>
      </c>
      <c r="C57" s="35" t="s">
        <v>17</v>
      </c>
      <c r="D57" s="35" t="s">
        <v>218</v>
      </c>
      <c r="E57" s="35" t="s">
        <v>212</v>
      </c>
      <c r="F57" s="35">
        <v>1</v>
      </c>
      <c r="G57" s="35" t="s">
        <v>1434</v>
      </c>
      <c r="H57" s="36" t="s">
        <v>1255</v>
      </c>
      <c r="I57" s="35" t="s">
        <v>1391</v>
      </c>
      <c r="J57" s="35"/>
    </row>
    <row r="58" spans="1:10" hidden="1" x14ac:dyDescent="0.2">
      <c r="A58" s="35">
        <v>57</v>
      </c>
      <c r="B58" s="35" t="s">
        <v>243</v>
      </c>
      <c r="C58" s="35" t="s">
        <v>17</v>
      </c>
      <c r="D58" s="35" t="s">
        <v>244</v>
      </c>
      <c r="E58" s="35" t="s">
        <v>245</v>
      </c>
      <c r="F58" s="35">
        <v>0</v>
      </c>
      <c r="G58" s="35"/>
      <c r="H58" s="38" t="s">
        <v>1435</v>
      </c>
      <c r="I58" s="35" t="s">
        <v>1436</v>
      </c>
      <c r="J58" s="35"/>
    </row>
    <row r="59" spans="1:10" hidden="1" x14ac:dyDescent="0.2">
      <c r="A59" s="35">
        <v>58</v>
      </c>
      <c r="B59" s="35" t="s">
        <v>248</v>
      </c>
      <c r="C59" s="35" t="s">
        <v>17</v>
      </c>
      <c r="D59" s="35" t="s">
        <v>244</v>
      </c>
      <c r="E59" s="35" t="s">
        <v>59</v>
      </c>
      <c r="F59" s="35">
        <v>0</v>
      </c>
      <c r="G59" s="35"/>
      <c r="H59" s="38" t="s">
        <v>1435</v>
      </c>
      <c r="I59" s="35" t="s">
        <v>1436</v>
      </c>
      <c r="J59" s="35"/>
    </row>
    <row r="60" spans="1:10" hidden="1" x14ac:dyDescent="0.2">
      <c r="A60" s="35">
        <v>59</v>
      </c>
      <c r="B60" s="35" t="s">
        <v>251</v>
      </c>
      <c r="C60" s="35" t="s">
        <v>17</v>
      </c>
      <c r="D60" s="35" t="s">
        <v>244</v>
      </c>
      <c r="E60" s="35" t="s">
        <v>41</v>
      </c>
      <c r="F60" s="35">
        <v>0</v>
      </c>
      <c r="G60" s="35"/>
      <c r="H60" s="38" t="s">
        <v>1435</v>
      </c>
      <c r="I60" s="35" t="s">
        <v>1436</v>
      </c>
      <c r="J60" s="35"/>
    </row>
    <row r="61" spans="1:10" hidden="1" x14ac:dyDescent="0.2">
      <c r="A61" s="35">
        <v>60</v>
      </c>
      <c r="B61" s="35" t="s">
        <v>254</v>
      </c>
      <c r="C61" s="35" t="s">
        <v>17</v>
      </c>
      <c r="D61" s="35" t="s">
        <v>244</v>
      </c>
      <c r="E61" s="35" t="s">
        <v>245</v>
      </c>
      <c r="F61" s="35">
        <v>0</v>
      </c>
      <c r="G61" s="35"/>
      <c r="H61" s="38" t="s">
        <v>1435</v>
      </c>
      <c r="I61" s="35" t="s">
        <v>1436</v>
      </c>
      <c r="J61" s="35"/>
    </row>
    <row r="62" spans="1:10" hidden="1" x14ac:dyDescent="0.2">
      <c r="A62" s="35">
        <v>61</v>
      </c>
      <c r="B62" s="35" t="s">
        <v>257</v>
      </c>
      <c r="C62" s="35" t="s">
        <v>17</v>
      </c>
      <c r="D62" s="35" t="s">
        <v>258</v>
      </c>
      <c r="E62" s="35" t="s">
        <v>212</v>
      </c>
      <c r="F62" s="35">
        <v>0</v>
      </c>
      <c r="G62" s="35"/>
      <c r="H62" s="38" t="s">
        <v>1435</v>
      </c>
      <c r="I62" s="35" t="s">
        <v>1436</v>
      </c>
      <c r="J62" s="35"/>
    </row>
    <row r="63" spans="1:10" hidden="1" x14ac:dyDescent="0.2">
      <c r="A63" s="35">
        <v>62</v>
      </c>
      <c r="B63" s="35" t="s">
        <v>261</v>
      </c>
      <c r="C63" s="35" t="s">
        <v>17</v>
      </c>
      <c r="D63" s="35" t="s">
        <v>258</v>
      </c>
      <c r="E63" s="35" t="s">
        <v>212</v>
      </c>
      <c r="F63" s="35">
        <v>0</v>
      </c>
      <c r="G63" s="35"/>
      <c r="H63" s="38" t="s">
        <v>1435</v>
      </c>
      <c r="I63" s="35" t="s">
        <v>1436</v>
      </c>
      <c r="J63" s="35"/>
    </row>
    <row r="64" spans="1:10" hidden="1" x14ac:dyDescent="0.2">
      <c r="A64" s="35">
        <v>63</v>
      </c>
      <c r="B64" s="35" t="s">
        <v>264</v>
      </c>
      <c r="C64" s="35" t="s">
        <v>17</v>
      </c>
      <c r="D64" s="35" t="s">
        <v>258</v>
      </c>
      <c r="E64" s="35" t="s">
        <v>212</v>
      </c>
      <c r="F64" s="35">
        <v>0</v>
      </c>
      <c r="G64" s="35"/>
      <c r="H64" s="38" t="s">
        <v>1435</v>
      </c>
      <c r="I64" s="35" t="s">
        <v>1436</v>
      </c>
      <c r="J64" s="35"/>
    </row>
    <row r="65" spans="1:10" hidden="1" x14ac:dyDescent="0.2">
      <c r="A65" s="35">
        <v>64</v>
      </c>
      <c r="B65" s="35" t="s">
        <v>267</v>
      </c>
      <c r="C65" s="35" t="s">
        <v>268</v>
      </c>
      <c r="D65" s="35" t="s">
        <v>18</v>
      </c>
      <c r="E65" s="35" t="s">
        <v>79</v>
      </c>
      <c r="F65" s="35">
        <v>1</v>
      </c>
      <c r="G65" s="35" t="s">
        <v>1437</v>
      </c>
      <c r="H65" s="36" t="s">
        <v>1255</v>
      </c>
      <c r="I65" s="35" t="s">
        <v>1379</v>
      </c>
      <c r="J65" s="35" t="s">
        <v>1265</v>
      </c>
    </row>
    <row r="66" spans="1:10" ht="25.5" hidden="1" customHeight="1" x14ac:dyDescent="0.2">
      <c r="A66" s="35">
        <v>65</v>
      </c>
      <c r="B66" s="35" t="s">
        <v>275</v>
      </c>
      <c r="C66" s="35" t="s">
        <v>268</v>
      </c>
      <c r="D66" s="35" t="s">
        <v>18</v>
      </c>
      <c r="E66" s="35" t="s">
        <v>79</v>
      </c>
      <c r="F66" s="35">
        <v>1</v>
      </c>
      <c r="G66" s="35" t="s">
        <v>1378</v>
      </c>
      <c r="H66" s="37" t="s">
        <v>1381</v>
      </c>
      <c r="I66" s="35" t="s">
        <v>1382</v>
      </c>
      <c r="J66" s="35" t="s">
        <v>1438</v>
      </c>
    </row>
    <row r="67" spans="1:10" ht="25.5" hidden="1" customHeight="1" x14ac:dyDescent="0.2">
      <c r="A67" s="35">
        <v>66</v>
      </c>
      <c r="B67" s="35" t="s">
        <v>281</v>
      </c>
      <c r="C67" s="35" t="s">
        <v>268</v>
      </c>
      <c r="D67" s="35" t="s">
        <v>18</v>
      </c>
      <c r="E67" s="35" t="s">
        <v>79</v>
      </c>
      <c r="F67" s="35">
        <v>1</v>
      </c>
      <c r="G67" s="35" t="s">
        <v>1378</v>
      </c>
      <c r="H67" s="37" t="s">
        <v>1381</v>
      </c>
      <c r="I67" s="35" t="s">
        <v>1382</v>
      </c>
      <c r="J67" s="35" t="s">
        <v>1439</v>
      </c>
    </row>
    <row r="68" spans="1:10" hidden="1" x14ac:dyDescent="0.2">
      <c r="A68" s="35">
        <v>67</v>
      </c>
      <c r="B68" s="35" t="s">
        <v>285</v>
      </c>
      <c r="C68" s="35" t="s">
        <v>268</v>
      </c>
      <c r="D68" s="35" t="s">
        <v>18</v>
      </c>
      <c r="E68" s="35" t="s">
        <v>79</v>
      </c>
      <c r="F68" s="35">
        <v>1</v>
      </c>
      <c r="G68" s="35" t="s">
        <v>1437</v>
      </c>
      <c r="H68" s="36" t="s">
        <v>1255</v>
      </c>
      <c r="I68" s="35" t="s">
        <v>1379</v>
      </c>
      <c r="J68" s="35" t="s">
        <v>1266</v>
      </c>
    </row>
    <row r="69" spans="1:10" ht="25.5" hidden="1" customHeight="1" x14ac:dyDescent="0.2">
      <c r="A69" s="35">
        <v>68</v>
      </c>
      <c r="B69" s="35" t="s">
        <v>289</v>
      </c>
      <c r="C69" s="35" t="s">
        <v>268</v>
      </c>
      <c r="D69" s="35" t="s">
        <v>18</v>
      </c>
      <c r="E69" s="35" t="s">
        <v>79</v>
      </c>
      <c r="F69" s="35">
        <v>1</v>
      </c>
      <c r="G69" s="35" t="s">
        <v>1378</v>
      </c>
      <c r="H69" s="37" t="s">
        <v>1381</v>
      </c>
      <c r="I69" s="35" t="s">
        <v>1382</v>
      </c>
      <c r="J69" s="35" t="s">
        <v>1440</v>
      </c>
    </row>
    <row r="70" spans="1:10" ht="25.5" hidden="1" customHeight="1" x14ac:dyDescent="0.2">
      <c r="A70" s="35">
        <v>69</v>
      </c>
      <c r="B70" s="35" t="s">
        <v>292</v>
      </c>
      <c r="C70" s="35" t="s">
        <v>268</v>
      </c>
      <c r="D70" s="35" t="s">
        <v>18</v>
      </c>
      <c r="E70" s="35" t="s">
        <v>79</v>
      </c>
      <c r="F70" s="35">
        <v>1</v>
      </c>
      <c r="G70" s="35" t="s">
        <v>1378</v>
      </c>
      <c r="H70" s="37" t="s">
        <v>1381</v>
      </c>
      <c r="I70" s="35" t="s">
        <v>1382</v>
      </c>
      <c r="J70" s="35" t="s">
        <v>1441</v>
      </c>
    </row>
    <row r="71" spans="1:10" hidden="1" x14ac:dyDescent="0.2">
      <c r="A71" s="35">
        <v>70</v>
      </c>
      <c r="B71" s="35" t="s">
        <v>295</v>
      </c>
      <c r="C71" s="35" t="s">
        <v>268</v>
      </c>
      <c r="D71" s="35" t="s">
        <v>18</v>
      </c>
      <c r="E71" s="35" t="s">
        <v>79</v>
      </c>
      <c r="F71" s="35">
        <v>1</v>
      </c>
      <c r="G71" s="35" t="s">
        <v>1437</v>
      </c>
      <c r="H71" s="36" t="s">
        <v>1255</v>
      </c>
      <c r="I71" s="35" t="s">
        <v>1379</v>
      </c>
      <c r="J71" s="35" t="s">
        <v>1267</v>
      </c>
    </row>
    <row r="72" spans="1:10" hidden="1" x14ac:dyDescent="0.2">
      <c r="A72" s="35">
        <v>71</v>
      </c>
      <c r="B72" s="35" t="s">
        <v>298</v>
      </c>
      <c r="C72" s="35" t="s">
        <v>268</v>
      </c>
      <c r="D72" s="35" t="s">
        <v>18</v>
      </c>
      <c r="E72" s="35" t="s">
        <v>299</v>
      </c>
      <c r="F72" s="35">
        <v>1</v>
      </c>
      <c r="G72" s="35" t="s">
        <v>1442</v>
      </c>
      <c r="H72" s="36" t="s">
        <v>1255</v>
      </c>
      <c r="I72" s="35" t="s">
        <v>1379</v>
      </c>
      <c r="J72" s="35" t="s">
        <v>1268</v>
      </c>
    </row>
    <row r="73" spans="1:10" hidden="1" x14ac:dyDescent="0.2">
      <c r="A73" s="35">
        <v>72</v>
      </c>
      <c r="B73" s="35" t="s">
        <v>302</v>
      </c>
      <c r="C73" s="35" t="s">
        <v>268</v>
      </c>
      <c r="D73" s="35" t="s">
        <v>18</v>
      </c>
      <c r="E73" s="35" t="s">
        <v>79</v>
      </c>
      <c r="F73" s="35">
        <v>1</v>
      </c>
      <c r="G73" s="35" t="s">
        <v>1437</v>
      </c>
      <c r="H73" s="36" t="s">
        <v>1255</v>
      </c>
      <c r="I73" s="35" t="s">
        <v>1379</v>
      </c>
      <c r="J73" s="35" t="s">
        <v>1443</v>
      </c>
    </row>
    <row r="74" spans="1:10" ht="25.5" hidden="1" customHeight="1" x14ac:dyDescent="0.2">
      <c r="A74" s="35">
        <v>73</v>
      </c>
      <c r="B74" s="35" t="s">
        <v>305</v>
      </c>
      <c r="C74" s="35" t="s">
        <v>268</v>
      </c>
      <c r="D74" s="35" t="s">
        <v>18</v>
      </c>
      <c r="E74" s="35" t="s">
        <v>79</v>
      </c>
      <c r="F74" s="35">
        <v>1</v>
      </c>
      <c r="G74" s="35" t="s">
        <v>1378</v>
      </c>
      <c r="H74" s="37" t="s">
        <v>1381</v>
      </c>
      <c r="I74" s="35" t="s">
        <v>1382</v>
      </c>
      <c r="J74" s="35" t="s">
        <v>1444</v>
      </c>
    </row>
    <row r="75" spans="1:10" ht="25.5" hidden="1" customHeight="1" x14ac:dyDescent="0.2">
      <c r="A75" s="35">
        <v>74</v>
      </c>
      <c r="B75" s="35" t="s">
        <v>308</v>
      </c>
      <c r="C75" s="35" t="s">
        <v>268</v>
      </c>
      <c r="D75" s="35" t="s">
        <v>18</v>
      </c>
      <c r="E75" s="35" t="s">
        <v>79</v>
      </c>
      <c r="F75" s="35">
        <v>1</v>
      </c>
      <c r="G75" s="35" t="s">
        <v>1378</v>
      </c>
      <c r="H75" s="37" t="s">
        <v>1381</v>
      </c>
      <c r="I75" s="35" t="s">
        <v>1382</v>
      </c>
      <c r="J75" s="35" t="s">
        <v>1445</v>
      </c>
    </row>
    <row r="76" spans="1:10" ht="25.5" hidden="1" customHeight="1" x14ac:dyDescent="0.2">
      <c r="A76" s="35">
        <v>75</v>
      </c>
      <c r="B76" s="35" t="s">
        <v>311</v>
      </c>
      <c r="C76" s="35" t="s">
        <v>268</v>
      </c>
      <c r="D76" s="35" t="s">
        <v>18</v>
      </c>
      <c r="E76" s="35" t="s">
        <v>79</v>
      </c>
      <c r="F76" s="35">
        <v>1</v>
      </c>
      <c r="G76" s="35" t="s">
        <v>1446</v>
      </c>
      <c r="H76" s="37" t="s">
        <v>1381</v>
      </c>
      <c r="I76" s="35" t="s">
        <v>1382</v>
      </c>
      <c r="J76" s="35" t="s">
        <v>1447</v>
      </c>
    </row>
    <row r="77" spans="1:10" hidden="1" x14ac:dyDescent="0.2">
      <c r="A77" s="35">
        <v>76</v>
      </c>
      <c r="B77" s="35" t="s">
        <v>314</v>
      </c>
      <c r="C77" s="35" t="s">
        <v>268</v>
      </c>
      <c r="D77" s="35" t="s">
        <v>18</v>
      </c>
      <c r="E77" s="35" t="s">
        <v>64</v>
      </c>
      <c r="F77" s="35">
        <v>1</v>
      </c>
      <c r="G77" s="35" t="s">
        <v>1437</v>
      </c>
      <c r="H77" s="36" t="s">
        <v>1255</v>
      </c>
      <c r="I77" s="35" t="s">
        <v>1379</v>
      </c>
      <c r="J77" s="35" t="s">
        <v>1448</v>
      </c>
    </row>
    <row r="78" spans="1:10" hidden="1" x14ac:dyDescent="0.2">
      <c r="A78" s="35">
        <v>77</v>
      </c>
      <c r="B78" s="35" t="s">
        <v>317</v>
      </c>
      <c r="C78" s="35" t="s">
        <v>268</v>
      </c>
      <c r="D78" s="35" t="s">
        <v>18</v>
      </c>
      <c r="E78" s="35" t="s">
        <v>19</v>
      </c>
      <c r="F78" s="35">
        <v>1</v>
      </c>
      <c r="G78" s="35" t="s">
        <v>1378</v>
      </c>
      <c r="H78" s="36" t="s">
        <v>1255</v>
      </c>
      <c r="I78" s="35" t="s">
        <v>1379</v>
      </c>
      <c r="J78" s="35" t="s">
        <v>1449</v>
      </c>
    </row>
    <row r="79" spans="1:10" hidden="1" x14ac:dyDescent="0.2">
      <c r="A79" s="35">
        <v>78</v>
      </c>
      <c r="B79" s="35" t="s">
        <v>320</v>
      </c>
      <c r="C79" s="35" t="s">
        <v>268</v>
      </c>
      <c r="D79" s="35" t="s">
        <v>18</v>
      </c>
      <c r="E79" s="35" t="s">
        <v>299</v>
      </c>
      <c r="F79" s="35">
        <v>1</v>
      </c>
      <c r="G79" s="35" t="s">
        <v>1442</v>
      </c>
      <c r="H79" s="36" t="s">
        <v>1255</v>
      </c>
      <c r="I79" s="35" t="s">
        <v>1379</v>
      </c>
      <c r="J79" s="35" t="s">
        <v>1450</v>
      </c>
    </row>
    <row r="80" spans="1:10" hidden="1" x14ac:dyDescent="0.2">
      <c r="A80" s="35">
        <v>79</v>
      </c>
      <c r="B80" s="35" t="s">
        <v>323</v>
      </c>
      <c r="C80" s="35" t="s">
        <v>268</v>
      </c>
      <c r="D80" s="35" t="s">
        <v>18</v>
      </c>
      <c r="E80" s="35" t="s">
        <v>79</v>
      </c>
      <c r="F80" s="35">
        <v>1</v>
      </c>
      <c r="G80" s="35" t="s">
        <v>1437</v>
      </c>
      <c r="H80" s="36" t="s">
        <v>1255</v>
      </c>
      <c r="I80" s="35" t="s">
        <v>1379</v>
      </c>
      <c r="J80" s="35" t="s">
        <v>1451</v>
      </c>
    </row>
    <row r="81" spans="1:10" ht="25.5" hidden="1" customHeight="1" x14ac:dyDescent="0.2">
      <c r="A81" s="35">
        <v>80</v>
      </c>
      <c r="B81" s="35" t="s">
        <v>326</v>
      </c>
      <c r="C81" s="35" t="s">
        <v>268</v>
      </c>
      <c r="D81" s="35" t="s">
        <v>18</v>
      </c>
      <c r="E81" s="35" t="s">
        <v>79</v>
      </c>
      <c r="F81" s="35">
        <v>1</v>
      </c>
      <c r="G81" s="35" t="s">
        <v>1378</v>
      </c>
      <c r="H81" s="37" t="s">
        <v>1381</v>
      </c>
      <c r="I81" s="35" t="s">
        <v>1382</v>
      </c>
      <c r="J81" s="35" t="s">
        <v>1452</v>
      </c>
    </row>
    <row r="82" spans="1:10" hidden="1" x14ac:dyDescent="0.2">
      <c r="A82" s="35">
        <v>81</v>
      </c>
      <c r="B82" s="35" t="s">
        <v>329</v>
      </c>
      <c r="C82" s="35" t="s">
        <v>268</v>
      </c>
      <c r="D82" s="35" t="s">
        <v>18</v>
      </c>
      <c r="E82" s="35" t="s">
        <v>19</v>
      </c>
      <c r="F82" s="35">
        <v>1</v>
      </c>
      <c r="G82" s="35" t="s">
        <v>1378</v>
      </c>
      <c r="H82" s="36" t="s">
        <v>1255</v>
      </c>
      <c r="I82" s="35" t="s">
        <v>1379</v>
      </c>
      <c r="J82" s="35" t="s">
        <v>1453</v>
      </c>
    </row>
    <row r="83" spans="1:10" ht="25.5" hidden="1" customHeight="1" x14ac:dyDescent="0.2">
      <c r="A83" s="35">
        <v>82</v>
      </c>
      <c r="B83" s="35" t="s">
        <v>334</v>
      </c>
      <c r="C83" s="35" t="s">
        <v>268</v>
      </c>
      <c r="D83" s="35" t="s">
        <v>18</v>
      </c>
      <c r="E83" s="35" t="s">
        <v>40</v>
      </c>
      <c r="F83" s="35">
        <v>1</v>
      </c>
      <c r="G83" s="35" t="s">
        <v>1378</v>
      </c>
      <c r="H83" s="37" t="s">
        <v>1381</v>
      </c>
      <c r="I83" s="35" t="s">
        <v>1382</v>
      </c>
      <c r="J83" s="35" t="s">
        <v>1454</v>
      </c>
    </row>
    <row r="84" spans="1:10" hidden="1" x14ac:dyDescent="0.2">
      <c r="A84" s="35">
        <v>83</v>
      </c>
      <c r="B84" s="35" t="s">
        <v>337</v>
      </c>
      <c r="C84" s="35" t="s">
        <v>268</v>
      </c>
      <c r="D84" s="35" t="s">
        <v>18</v>
      </c>
      <c r="E84" s="35" t="s">
        <v>79</v>
      </c>
      <c r="F84" s="35">
        <v>1</v>
      </c>
      <c r="G84" s="35" t="s">
        <v>1437</v>
      </c>
      <c r="H84" s="36" t="s">
        <v>1255</v>
      </c>
      <c r="I84" s="35" t="s">
        <v>1379</v>
      </c>
      <c r="J84" s="35" t="s">
        <v>1455</v>
      </c>
    </row>
    <row r="85" spans="1:10" hidden="1" x14ac:dyDescent="0.2">
      <c r="A85" s="35">
        <v>84</v>
      </c>
      <c r="B85" s="35" t="s">
        <v>340</v>
      </c>
      <c r="C85" s="35" t="s">
        <v>268</v>
      </c>
      <c r="D85" s="35" t="s">
        <v>18</v>
      </c>
      <c r="E85" s="35" t="s">
        <v>299</v>
      </c>
      <c r="F85" s="35">
        <v>0</v>
      </c>
      <c r="G85" s="35"/>
      <c r="H85" s="38" t="s">
        <v>1435</v>
      </c>
      <c r="I85" s="35" t="s">
        <v>1436</v>
      </c>
      <c r="J85" s="35"/>
    </row>
    <row r="86" spans="1:10" hidden="1" x14ac:dyDescent="0.2">
      <c r="A86" s="35">
        <v>85</v>
      </c>
      <c r="B86" s="35" t="s">
        <v>343</v>
      </c>
      <c r="C86" s="35" t="s">
        <v>268</v>
      </c>
      <c r="D86" s="35" t="s">
        <v>18</v>
      </c>
      <c r="E86" s="35" t="s">
        <v>79</v>
      </c>
      <c r="F86" s="35">
        <v>1</v>
      </c>
      <c r="G86" s="35" t="s">
        <v>1437</v>
      </c>
      <c r="H86" s="36" t="s">
        <v>1255</v>
      </c>
      <c r="I86" s="35" t="s">
        <v>1379</v>
      </c>
      <c r="J86" s="35" t="s">
        <v>1456</v>
      </c>
    </row>
    <row r="87" spans="1:10" ht="25.5" hidden="1" customHeight="1" x14ac:dyDescent="0.2">
      <c r="A87" s="35">
        <v>86</v>
      </c>
      <c r="B87" s="35" t="s">
        <v>346</v>
      </c>
      <c r="C87" s="35" t="s">
        <v>268</v>
      </c>
      <c r="D87" s="35" t="s">
        <v>18</v>
      </c>
      <c r="E87" s="35" t="s">
        <v>79</v>
      </c>
      <c r="F87" s="35">
        <v>1</v>
      </c>
      <c r="G87" s="35" t="s">
        <v>1378</v>
      </c>
      <c r="H87" s="37" t="s">
        <v>1381</v>
      </c>
      <c r="I87" s="35" t="s">
        <v>1382</v>
      </c>
      <c r="J87" s="35" t="s">
        <v>1457</v>
      </c>
    </row>
    <row r="88" spans="1:10" ht="25.5" hidden="1" customHeight="1" x14ac:dyDescent="0.2">
      <c r="A88" s="35">
        <v>87</v>
      </c>
      <c r="B88" s="35" t="s">
        <v>349</v>
      </c>
      <c r="C88" s="35" t="s">
        <v>268</v>
      </c>
      <c r="D88" s="35" t="s">
        <v>18</v>
      </c>
      <c r="E88" s="35" t="s">
        <v>79</v>
      </c>
      <c r="F88" s="35">
        <v>1</v>
      </c>
      <c r="G88" s="35" t="s">
        <v>1378</v>
      </c>
      <c r="H88" s="37" t="s">
        <v>1381</v>
      </c>
      <c r="I88" s="35" t="s">
        <v>1382</v>
      </c>
      <c r="J88" s="35" t="s">
        <v>1458</v>
      </c>
    </row>
    <row r="89" spans="1:10" ht="25.5" hidden="1" customHeight="1" x14ac:dyDescent="0.2">
      <c r="A89" s="35">
        <v>88</v>
      </c>
      <c r="B89" s="35" t="s">
        <v>352</v>
      </c>
      <c r="C89" s="35" t="s">
        <v>268</v>
      </c>
      <c r="D89" s="35" t="s">
        <v>18</v>
      </c>
      <c r="E89" s="35" t="s">
        <v>79</v>
      </c>
      <c r="F89" s="35">
        <v>1</v>
      </c>
      <c r="G89" s="35" t="s">
        <v>1378</v>
      </c>
      <c r="H89" s="37" t="s">
        <v>1381</v>
      </c>
      <c r="I89" s="35" t="s">
        <v>1382</v>
      </c>
      <c r="J89" s="35" t="s">
        <v>1459</v>
      </c>
    </row>
    <row r="90" spans="1:10" hidden="1" x14ac:dyDescent="0.2">
      <c r="A90" s="35">
        <v>89</v>
      </c>
      <c r="B90" s="35" t="s">
        <v>355</v>
      </c>
      <c r="C90" s="35" t="s">
        <v>268</v>
      </c>
      <c r="D90" s="35" t="s">
        <v>18</v>
      </c>
      <c r="E90" s="35" t="s">
        <v>356</v>
      </c>
      <c r="F90" s="35">
        <v>1</v>
      </c>
      <c r="G90" s="35" t="s">
        <v>1460</v>
      </c>
      <c r="H90" s="36" t="s">
        <v>1255</v>
      </c>
      <c r="I90" s="35" t="s">
        <v>1379</v>
      </c>
      <c r="J90" s="35" t="s">
        <v>1461</v>
      </c>
    </row>
    <row r="91" spans="1:10" hidden="1" x14ac:dyDescent="0.2">
      <c r="A91" s="35">
        <v>90</v>
      </c>
      <c r="B91" s="35" t="s">
        <v>359</v>
      </c>
      <c r="C91" s="35" t="s">
        <v>268</v>
      </c>
      <c r="D91" s="35" t="s">
        <v>18</v>
      </c>
      <c r="E91" s="35" t="s">
        <v>79</v>
      </c>
      <c r="F91" s="35">
        <v>1</v>
      </c>
      <c r="G91" s="35" t="s">
        <v>1437</v>
      </c>
      <c r="H91" s="36" t="s">
        <v>1255</v>
      </c>
      <c r="I91" s="35" t="s">
        <v>1379</v>
      </c>
      <c r="J91" s="35" t="s">
        <v>1462</v>
      </c>
    </row>
    <row r="92" spans="1:10" ht="25.5" hidden="1" customHeight="1" x14ac:dyDescent="0.2">
      <c r="A92" s="35">
        <v>91</v>
      </c>
      <c r="B92" s="35" t="s">
        <v>362</v>
      </c>
      <c r="C92" s="35" t="s">
        <v>268</v>
      </c>
      <c r="D92" s="35" t="s">
        <v>18</v>
      </c>
      <c r="E92" s="35" t="s">
        <v>79</v>
      </c>
      <c r="F92" s="35">
        <v>1</v>
      </c>
      <c r="G92" s="35" t="s">
        <v>1378</v>
      </c>
      <c r="H92" s="37" t="s">
        <v>1381</v>
      </c>
      <c r="I92" s="35" t="s">
        <v>1382</v>
      </c>
      <c r="J92" s="35" t="s">
        <v>1463</v>
      </c>
    </row>
    <row r="93" spans="1:10" hidden="1" x14ac:dyDescent="0.2">
      <c r="A93" s="35">
        <v>92</v>
      </c>
      <c r="B93" s="35" t="s">
        <v>365</v>
      </c>
      <c r="C93" s="35" t="s">
        <v>268</v>
      </c>
      <c r="D93" s="35" t="s">
        <v>18</v>
      </c>
      <c r="E93" s="35" t="s">
        <v>79</v>
      </c>
      <c r="F93" s="35">
        <v>1</v>
      </c>
      <c r="G93" s="35" t="s">
        <v>1437</v>
      </c>
      <c r="H93" s="36" t="s">
        <v>1255</v>
      </c>
      <c r="I93" s="35" t="s">
        <v>1379</v>
      </c>
      <c r="J93" s="35" t="s">
        <v>1464</v>
      </c>
    </row>
    <row r="94" spans="1:10" hidden="1" x14ac:dyDescent="0.2">
      <c r="A94" s="35">
        <v>93</v>
      </c>
      <c r="B94" s="35" t="s">
        <v>368</v>
      </c>
      <c r="C94" s="35" t="s">
        <v>268</v>
      </c>
      <c r="D94" s="35" t="s">
        <v>18</v>
      </c>
      <c r="E94" s="35" t="s">
        <v>79</v>
      </c>
      <c r="F94" s="35">
        <v>1</v>
      </c>
      <c r="G94" s="35" t="s">
        <v>1437</v>
      </c>
      <c r="H94" s="36" t="s">
        <v>1255</v>
      </c>
      <c r="I94" s="35" t="s">
        <v>1379</v>
      </c>
      <c r="J94" s="35" t="s">
        <v>1465</v>
      </c>
    </row>
    <row r="95" spans="1:10" hidden="1" x14ac:dyDescent="0.2">
      <c r="A95" s="35">
        <v>94</v>
      </c>
      <c r="B95" s="35" t="s">
        <v>371</v>
      </c>
      <c r="C95" s="35" t="s">
        <v>268</v>
      </c>
      <c r="D95" s="35" t="s">
        <v>18</v>
      </c>
      <c r="E95" s="35" t="s">
        <v>19</v>
      </c>
      <c r="F95" s="35">
        <v>1</v>
      </c>
      <c r="G95" s="35" t="s">
        <v>1378</v>
      </c>
      <c r="H95" s="36" t="s">
        <v>1255</v>
      </c>
      <c r="I95" s="35" t="s">
        <v>1379</v>
      </c>
      <c r="J95" s="35" t="s">
        <v>1466</v>
      </c>
    </row>
    <row r="96" spans="1:10" ht="25.5" hidden="1" customHeight="1" x14ac:dyDescent="0.2">
      <c r="A96" s="35">
        <v>95</v>
      </c>
      <c r="B96" s="35" t="s">
        <v>374</v>
      </c>
      <c r="C96" s="35" t="s">
        <v>268</v>
      </c>
      <c r="D96" s="35" t="s">
        <v>18</v>
      </c>
      <c r="E96" s="35" t="s">
        <v>79</v>
      </c>
      <c r="F96" s="35">
        <v>1</v>
      </c>
      <c r="G96" s="35" t="s">
        <v>1378</v>
      </c>
      <c r="H96" s="37" t="s">
        <v>1381</v>
      </c>
      <c r="I96" s="35" t="s">
        <v>1382</v>
      </c>
      <c r="J96" s="35" t="s">
        <v>1467</v>
      </c>
    </row>
    <row r="97" spans="1:10" hidden="1" x14ac:dyDescent="0.2">
      <c r="A97" s="35">
        <v>96</v>
      </c>
      <c r="B97" s="35" t="s">
        <v>377</v>
      </c>
      <c r="C97" s="35" t="s">
        <v>268</v>
      </c>
      <c r="D97" s="35" t="s">
        <v>163</v>
      </c>
      <c r="E97" s="35" t="s">
        <v>79</v>
      </c>
      <c r="F97" s="35">
        <v>1</v>
      </c>
      <c r="G97" s="35" t="s">
        <v>1437</v>
      </c>
      <c r="H97" s="36" t="s">
        <v>1255</v>
      </c>
      <c r="I97" s="35" t="s">
        <v>1379</v>
      </c>
      <c r="J97" s="35" t="s">
        <v>1284</v>
      </c>
    </row>
    <row r="98" spans="1:10" ht="25.5" hidden="1" customHeight="1" x14ac:dyDescent="0.2">
      <c r="A98" s="35">
        <v>97</v>
      </c>
      <c r="B98" s="35" t="s">
        <v>383</v>
      </c>
      <c r="C98" s="35" t="s">
        <v>268</v>
      </c>
      <c r="D98" s="35" t="s">
        <v>163</v>
      </c>
      <c r="E98" s="35" t="s">
        <v>79</v>
      </c>
      <c r="F98" s="35">
        <v>1</v>
      </c>
      <c r="G98" s="35" t="s">
        <v>1378</v>
      </c>
      <c r="H98" s="37" t="s">
        <v>1381</v>
      </c>
      <c r="I98" s="35" t="s">
        <v>1382</v>
      </c>
      <c r="J98" s="35" t="s">
        <v>1468</v>
      </c>
    </row>
    <row r="99" spans="1:10" ht="25.5" hidden="1" customHeight="1" x14ac:dyDescent="0.2">
      <c r="A99" s="35">
        <v>98</v>
      </c>
      <c r="B99" s="35" t="s">
        <v>387</v>
      </c>
      <c r="C99" s="35" t="s">
        <v>268</v>
      </c>
      <c r="D99" s="35" t="s">
        <v>163</v>
      </c>
      <c r="E99" s="35" t="s">
        <v>79</v>
      </c>
      <c r="F99" s="35">
        <v>1</v>
      </c>
      <c r="G99" s="35" t="s">
        <v>1378</v>
      </c>
      <c r="H99" s="37" t="s">
        <v>1381</v>
      </c>
      <c r="I99" s="35" t="s">
        <v>1382</v>
      </c>
      <c r="J99" s="35" t="s">
        <v>1469</v>
      </c>
    </row>
    <row r="100" spans="1:10" hidden="1" x14ac:dyDescent="0.2">
      <c r="A100" s="35">
        <v>99</v>
      </c>
      <c r="B100" s="35" t="s">
        <v>391</v>
      </c>
      <c r="C100" s="35" t="s">
        <v>268</v>
      </c>
      <c r="D100" s="35" t="s">
        <v>163</v>
      </c>
      <c r="E100" s="35" t="s">
        <v>299</v>
      </c>
      <c r="F100" s="35">
        <v>1</v>
      </c>
      <c r="G100" s="35" t="s">
        <v>1442</v>
      </c>
      <c r="H100" s="36" t="s">
        <v>1255</v>
      </c>
      <c r="I100" s="35" t="s">
        <v>1379</v>
      </c>
      <c r="J100" s="35" t="s">
        <v>1285</v>
      </c>
    </row>
    <row r="101" spans="1:10" ht="25.5" hidden="1" customHeight="1" x14ac:dyDescent="0.2">
      <c r="A101" s="35">
        <v>100</v>
      </c>
      <c r="B101" s="35" t="s">
        <v>397</v>
      </c>
      <c r="C101" s="35" t="s">
        <v>268</v>
      </c>
      <c r="D101" s="35" t="s">
        <v>163</v>
      </c>
      <c r="E101" s="35" t="s">
        <v>79</v>
      </c>
      <c r="F101" s="35">
        <v>1</v>
      </c>
      <c r="G101" s="35" t="s">
        <v>1378</v>
      </c>
      <c r="H101" s="37" t="s">
        <v>1381</v>
      </c>
      <c r="I101" s="35" t="s">
        <v>1382</v>
      </c>
      <c r="J101" s="35" t="s">
        <v>1470</v>
      </c>
    </row>
    <row r="102" spans="1:10" hidden="1" x14ac:dyDescent="0.2">
      <c r="A102" s="35">
        <v>101</v>
      </c>
      <c r="B102" s="35" t="s">
        <v>402</v>
      </c>
      <c r="C102" s="35" t="s">
        <v>268</v>
      </c>
      <c r="D102" s="35" t="s">
        <v>163</v>
      </c>
      <c r="E102" s="35" t="s">
        <v>299</v>
      </c>
      <c r="F102" s="35">
        <v>1</v>
      </c>
      <c r="G102" s="35" t="s">
        <v>1442</v>
      </c>
      <c r="H102" s="36" t="s">
        <v>1255</v>
      </c>
      <c r="I102" s="35" t="s">
        <v>1379</v>
      </c>
      <c r="J102" s="35" t="s">
        <v>1286</v>
      </c>
    </row>
    <row r="103" spans="1:10" ht="25.5" hidden="1" customHeight="1" x14ac:dyDescent="0.2">
      <c r="A103" s="35">
        <v>102</v>
      </c>
      <c r="B103" s="35" t="s">
        <v>405</v>
      </c>
      <c r="C103" s="35" t="s">
        <v>268</v>
      </c>
      <c r="D103" s="35" t="s">
        <v>163</v>
      </c>
      <c r="E103" s="35" t="s">
        <v>79</v>
      </c>
      <c r="F103" s="35">
        <v>1</v>
      </c>
      <c r="G103" s="35" t="s">
        <v>1378</v>
      </c>
      <c r="H103" s="37" t="s">
        <v>1381</v>
      </c>
      <c r="I103" s="35" t="s">
        <v>1382</v>
      </c>
      <c r="J103" s="35" t="s">
        <v>1471</v>
      </c>
    </row>
    <row r="104" spans="1:10" hidden="1" x14ac:dyDescent="0.2">
      <c r="A104" s="35">
        <v>103</v>
      </c>
      <c r="B104" s="35" t="s">
        <v>408</v>
      </c>
      <c r="C104" s="35" t="s">
        <v>268</v>
      </c>
      <c r="D104" s="35" t="s">
        <v>163</v>
      </c>
      <c r="E104" s="35" t="s">
        <v>79</v>
      </c>
      <c r="F104" s="35">
        <v>1</v>
      </c>
      <c r="G104" s="35" t="s">
        <v>1437</v>
      </c>
      <c r="H104" s="36" t="s">
        <v>1255</v>
      </c>
      <c r="I104" s="35" t="s">
        <v>1379</v>
      </c>
      <c r="J104" s="35" t="s">
        <v>1472</v>
      </c>
    </row>
    <row r="105" spans="1:10" hidden="1" x14ac:dyDescent="0.2">
      <c r="A105" s="35">
        <v>104</v>
      </c>
      <c r="B105" s="35" t="s">
        <v>411</v>
      </c>
      <c r="C105" s="35" t="s">
        <v>268</v>
      </c>
      <c r="D105" s="35" t="s">
        <v>163</v>
      </c>
      <c r="E105" s="35" t="s">
        <v>412</v>
      </c>
      <c r="F105" s="35">
        <v>0</v>
      </c>
      <c r="G105" s="35"/>
      <c r="H105" s="38" t="s">
        <v>1435</v>
      </c>
      <c r="I105" s="35" t="s">
        <v>1436</v>
      </c>
      <c r="J105" s="35"/>
    </row>
    <row r="106" spans="1:10" hidden="1" x14ac:dyDescent="0.2">
      <c r="A106" s="35">
        <v>105</v>
      </c>
      <c r="B106" s="35" t="s">
        <v>415</v>
      </c>
      <c r="C106" s="35" t="s">
        <v>268</v>
      </c>
      <c r="D106" s="35" t="s">
        <v>163</v>
      </c>
      <c r="E106" s="35" t="s">
        <v>79</v>
      </c>
      <c r="F106" s="35">
        <v>0</v>
      </c>
      <c r="G106" s="35"/>
      <c r="H106" s="38" t="s">
        <v>1435</v>
      </c>
      <c r="I106" s="35" t="s">
        <v>1436</v>
      </c>
      <c r="J106" s="35"/>
    </row>
    <row r="107" spans="1:10" hidden="1" x14ac:dyDescent="0.2">
      <c r="A107" s="35">
        <v>106</v>
      </c>
      <c r="B107" s="35" t="s">
        <v>418</v>
      </c>
      <c r="C107" s="35" t="s">
        <v>268</v>
      </c>
      <c r="D107" s="35" t="s">
        <v>163</v>
      </c>
      <c r="E107" s="35" t="s">
        <v>41</v>
      </c>
      <c r="F107" s="35">
        <v>0</v>
      </c>
      <c r="G107" s="35"/>
      <c r="H107" s="38" t="s">
        <v>1435</v>
      </c>
      <c r="I107" s="35" t="s">
        <v>1436</v>
      </c>
      <c r="J107" s="35"/>
    </row>
    <row r="108" spans="1:10" hidden="1" x14ac:dyDescent="0.2">
      <c r="A108" s="35">
        <v>107</v>
      </c>
      <c r="B108" s="35" t="s">
        <v>423</v>
      </c>
      <c r="C108" s="35" t="s">
        <v>268</v>
      </c>
      <c r="D108" s="35" t="s">
        <v>163</v>
      </c>
      <c r="E108" s="35" t="s">
        <v>79</v>
      </c>
      <c r="F108" s="35">
        <v>0</v>
      </c>
      <c r="G108" s="35"/>
      <c r="H108" s="38" t="s">
        <v>1435</v>
      </c>
      <c r="I108" s="35" t="s">
        <v>1436</v>
      </c>
      <c r="J108" s="35"/>
    </row>
    <row r="109" spans="1:10" hidden="1" x14ac:dyDescent="0.2">
      <c r="A109" s="35">
        <v>108</v>
      </c>
      <c r="B109" s="35" t="s">
        <v>426</v>
      </c>
      <c r="C109" s="35" t="s">
        <v>268</v>
      </c>
      <c r="D109" s="35" t="s">
        <v>163</v>
      </c>
      <c r="E109" s="35" t="s">
        <v>412</v>
      </c>
      <c r="F109" s="35">
        <v>0</v>
      </c>
      <c r="G109" s="35"/>
      <c r="H109" s="38" t="s">
        <v>1435</v>
      </c>
      <c r="I109" s="35" t="s">
        <v>1436</v>
      </c>
      <c r="J109" s="35"/>
    </row>
    <row r="110" spans="1:10" hidden="1" x14ac:dyDescent="0.2">
      <c r="A110" s="35">
        <v>109</v>
      </c>
      <c r="B110" s="35" t="s">
        <v>429</v>
      </c>
      <c r="C110" s="35" t="s">
        <v>268</v>
      </c>
      <c r="D110" s="35" t="s">
        <v>163</v>
      </c>
      <c r="E110" s="35" t="s">
        <v>79</v>
      </c>
      <c r="F110" s="35">
        <v>0</v>
      </c>
      <c r="G110" s="35"/>
      <c r="H110" s="38" t="s">
        <v>1435</v>
      </c>
      <c r="I110" s="35" t="s">
        <v>1436</v>
      </c>
      <c r="J110" s="35"/>
    </row>
    <row r="111" spans="1:10" hidden="1" x14ac:dyDescent="0.2">
      <c r="A111" s="35">
        <v>110</v>
      </c>
      <c r="B111" s="35" t="s">
        <v>432</v>
      </c>
      <c r="C111" s="35" t="s">
        <v>268</v>
      </c>
      <c r="D111" s="35" t="s">
        <v>163</v>
      </c>
      <c r="E111" s="35" t="s">
        <v>79</v>
      </c>
      <c r="F111" s="35">
        <v>0</v>
      </c>
      <c r="G111" s="35"/>
      <c r="H111" s="38" t="s">
        <v>1435</v>
      </c>
      <c r="I111" s="35" t="s">
        <v>1436</v>
      </c>
      <c r="J111" s="35"/>
    </row>
    <row r="112" spans="1:10" hidden="1" x14ac:dyDescent="0.2">
      <c r="A112" s="35">
        <v>111</v>
      </c>
      <c r="B112" s="35" t="s">
        <v>435</v>
      </c>
      <c r="C112" s="35" t="s">
        <v>268</v>
      </c>
      <c r="D112" s="35" t="s">
        <v>163</v>
      </c>
      <c r="E112" s="35" t="s">
        <v>79</v>
      </c>
      <c r="F112" s="35">
        <v>0</v>
      </c>
      <c r="G112" s="35"/>
      <c r="H112" s="38" t="s">
        <v>1435</v>
      </c>
      <c r="I112" s="35" t="s">
        <v>1436</v>
      </c>
      <c r="J112" s="35"/>
    </row>
    <row r="113" spans="1:10" hidden="1" x14ac:dyDescent="0.2">
      <c r="A113" s="35">
        <v>112</v>
      </c>
      <c r="B113" s="35" t="s">
        <v>438</v>
      </c>
      <c r="C113" s="35" t="s">
        <v>268</v>
      </c>
      <c r="D113" s="35" t="s">
        <v>218</v>
      </c>
      <c r="E113" s="35" t="s">
        <v>64</v>
      </c>
      <c r="F113" s="35">
        <v>0</v>
      </c>
      <c r="G113" s="35"/>
      <c r="H113" s="38" t="s">
        <v>1435</v>
      </c>
      <c r="I113" s="35" t="s">
        <v>1436</v>
      </c>
      <c r="J113" s="35"/>
    </row>
    <row r="114" spans="1:10" hidden="1" x14ac:dyDescent="0.2">
      <c r="A114" s="35">
        <v>113</v>
      </c>
      <c r="B114" s="35" t="s">
        <v>444</v>
      </c>
      <c r="C114" s="35" t="s">
        <v>268</v>
      </c>
      <c r="D114" s="35" t="s">
        <v>218</v>
      </c>
      <c r="E114" s="35" t="s">
        <v>245</v>
      </c>
      <c r="F114" s="35">
        <v>0</v>
      </c>
      <c r="G114" s="35"/>
      <c r="H114" s="38" t="s">
        <v>1435</v>
      </c>
      <c r="I114" s="35" t="s">
        <v>1436</v>
      </c>
      <c r="J114" s="35"/>
    </row>
    <row r="115" spans="1:10" hidden="1" x14ac:dyDescent="0.2">
      <c r="A115" s="35">
        <v>114</v>
      </c>
      <c r="B115" s="35" t="s">
        <v>450</v>
      </c>
      <c r="C115" s="35" t="s">
        <v>268</v>
      </c>
      <c r="D115" s="35" t="s">
        <v>218</v>
      </c>
      <c r="E115" s="35" t="s">
        <v>79</v>
      </c>
      <c r="F115" s="35">
        <v>0</v>
      </c>
      <c r="G115" s="35"/>
      <c r="H115" s="38" t="s">
        <v>1435</v>
      </c>
      <c r="I115" s="35" t="s">
        <v>1436</v>
      </c>
      <c r="J115" s="35"/>
    </row>
    <row r="116" spans="1:10" hidden="1" x14ac:dyDescent="0.2">
      <c r="A116" s="35">
        <v>115</v>
      </c>
      <c r="B116" s="35" t="s">
        <v>456</v>
      </c>
      <c r="C116" s="35" t="s">
        <v>268</v>
      </c>
      <c r="D116" s="35" t="s">
        <v>218</v>
      </c>
      <c r="E116" s="35" t="s">
        <v>356</v>
      </c>
      <c r="F116" s="35">
        <v>0</v>
      </c>
      <c r="G116" s="35"/>
      <c r="H116" s="38" t="s">
        <v>1435</v>
      </c>
      <c r="I116" s="35" t="s">
        <v>1436</v>
      </c>
      <c r="J116" s="35"/>
    </row>
    <row r="117" spans="1:10" hidden="1" x14ac:dyDescent="0.2">
      <c r="A117" s="35">
        <v>116</v>
      </c>
      <c r="B117" s="35" t="s">
        <v>460</v>
      </c>
      <c r="C117" s="35" t="s">
        <v>268</v>
      </c>
      <c r="D117" s="35" t="s">
        <v>218</v>
      </c>
      <c r="E117" s="35" t="s">
        <v>64</v>
      </c>
      <c r="F117" s="35">
        <v>0</v>
      </c>
      <c r="G117" s="35"/>
      <c r="H117" s="38" t="s">
        <v>1435</v>
      </c>
      <c r="I117" s="35" t="s">
        <v>1436</v>
      </c>
      <c r="J117" s="35"/>
    </row>
    <row r="118" spans="1:10" hidden="1" x14ac:dyDescent="0.2">
      <c r="A118" s="35">
        <v>117</v>
      </c>
      <c r="B118" s="35" t="s">
        <v>463</v>
      </c>
      <c r="C118" s="35" t="s">
        <v>268</v>
      </c>
      <c r="D118" s="35" t="s">
        <v>218</v>
      </c>
      <c r="E118" s="35" t="s">
        <v>412</v>
      </c>
      <c r="F118" s="35">
        <v>0</v>
      </c>
      <c r="G118" s="35"/>
      <c r="H118" s="38" t="s">
        <v>1435</v>
      </c>
      <c r="I118" s="35" t="s">
        <v>1436</v>
      </c>
      <c r="J118" s="35"/>
    </row>
    <row r="119" spans="1:10" hidden="1" x14ac:dyDescent="0.2">
      <c r="A119" s="35">
        <v>118</v>
      </c>
      <c r="B119" s="35" t="s">
        <v>466</v>
      </c>
      <c r="C119" s="35" t="s">
        <v>268</v>
      </c>
      <c r="D119" s="35" t="s">
        <v>218</v>
      </c>
      <c r="E119" s="35" t="s">
        <v>79</v>
      </c>
      <c r="F119" s="35">
        <v>0</v>
      </c>
      <c r="G119" s="35"/>
      <c r="H119" s="38" t="s">
        <v>1435</v>
      </c>
      <c r="I119" s="35" t="s">
        <v>1436</v>
      </c>
      <c r="J119" s="35"/>
    </row>
    <row r="120" spans="1:10" hidden="1" x14ac:dyDescent="0.2">
      <c r="A120" s="35">
        <v>119</v>
      </c>
      <c r="B120" s="35" t="s">
        <v>469</v>
      </c>
      <c r="C120" s="35" t="s">
        <v>268</v>
      </c>
      <c r="D120" s="35" t="s">
        <v>218</v>
      </c>
      <c r="E120" s="35" t="s">
        <v>412</v>
      </c>
      <c r="F120" s="35">
        <v>0</v>
      </c>
      <c r="G120" s="35"/>
      <c r="H120" s="38" t="s">
        <v>1435</v>
      </c>
      <c r="I120" s="35" t="s">
        <v>1436</v>
      </c>
      <c r="J120" s="35"/>
    </row>
    <row r="121" spans="1:10" hidden="1" x14ac:dyDescent="0.2">
      <c r="A121" s="35">
        <v>120</v>
      </c>
      <c r="B121" s="35" t="s">
        <v>472</v>
      </c>
      <c r="C121" s="35" t="s">
        <v>268</v>
      </c>
      <c r="D121" s="35" t="s">
        <v>244</v>
      </c>
      <c r="E121" s="35" t="s">
        <v>79</v>
      </c>
      <c r="F121" s="35">
        <v>0</v>
      </c>
      <c r="G121" s="35"/>
      <c r="H121" s="38" t="s">
        <v>1435</v>
      </c>
      <c r="I121" s="35" t="s">
        <v>1436</v>
      </c>
      <c r="J121" s="35"/>
    </row>
    <row r="122" spans="1:10" hidden="1" x14ac:dyDescent="0.2">
      <c r="A122" s="35">
        <v>121</v>
      </c>
      <c r="B122" s="35" t="s">
        <v>478</v>
      </c>
      <c r="C122" s="35" t="s">
        <v>268</v>
      </c>
      <c r="D122" s="35" t="s">
        <v>244</v>
      </c>
      <c r="E122" s="35" t="s">
        <v>41</v>
      </c>
      <c r="F122" s="35">
        <v>0</v>
      </c>
      <c r="G122" s="35"/>
      <c r="H122" s="38" t="s">
        <v>1435</v>
      </c>
      <c r="I122" s="35" t="s">
        <v>1436</v>
      </c>
      <c r="J122" s="35"/>
    </row>
    <row r="123" spans="1:10" hidden="1" x14ac:dyDescent="0.2">
      <c r="A123" s="35">
        <v>122</v>
      </c>
      <c r="B123" s="35" t="s">
        <v>484</v>
      </c>
      <c r="C123" s="35" t="s">
        <v>268</v>
      </c>
      <c r="D123" s="35" t="s">
        <v>244</v>
      </c>
      <c r="E123" s="35" t="s">
        <v>41</v>
      </c>
      <c r="F123" s="35">
        <v>0</v>
      </c>
      <c r="G123" s="35"/>
      <c r="H123" s="38" t="s">
        <v>1435</v>
      </c>
      <c r="I123" s="35" t="s">
        <v>1436</v>
      </c>
      <c r="J123" s="35"/>
    </row>
    <row r="124" spans="1:10" hidden="1" x14ac:dyDescent="0.2">
      <c r="A124" s="35">
        <v>123</v>
      </c>
      <c r="B124" s="35" t="s">
        <v>490</v>
      </c>
      <c r="C124" s="35" t="s">
        <v>268</v>
      </c>
      <c r="D124" s="35" t="s">
        <v>244</v>
      </c>
      <c r="E124" s="35" t="s">
        <v>79</v>
      </c>
      <c r="F124" s="35">
        <v>0</v>
      </c>
      <c r="G124" s="35"/>
      <c r="H124" s="38" t="s">
        <v>1435</v>
      </c>
      <c r="I124" s="35" t="s">
        <v>1436</v>
      </c>
      <c r="J124" s="35"/>
    </row>
    <row r="125" spans="1:10" hidden="1" x14ac:dyDescent="0.2">
      <c r="A125" s="35">
        <v>124</v>
      </c>
      <c r="B125" s="35" t="s">
        <v>494</v>
      </c>
      <c r="C125" s="35" t="s">
        <v>268</v>
      </c>
      <c r="D125" s="35" t="s">
        <v>258</v>
      </c>
      <c r="E125" s="35" t="s">
        <v>79</v>
      </c>
      <c r="F125" s="35">
        <v>0</v>
      </c>
      <c r="G125" s="35"/>
      <c r="H125" s="38" t="s">
        <v>1435</v>
      </c>
      <c r="I125" s="35" t="s">
        <v>1436</v>
      </c>
      <c r="J125" s="35"/>
    </row>
    <row r="126" spans="1:10" hidden="1" x14ac:dyDescent="0.2">
      <c r="A126" s="35">
        <v>125</v>
      </c>
      <c r="B126" s="35" t="s">
        <v>500</v>
      </c>
      <c r="C126" s="35" t="s">
        <v>268</v>
      </c>
      <c r="D126" s="35" t="s">
        <v>258</v>
      </c>
      <c r="E126" s="35" t="s">
        <v>79</v>
      </c>
      <c r="F126" s="35">
        <v>0</v>
      </c>
      <c r="G126" s="35"/>
      <c r="H126" s="38" t="s">
        <v>1435</v>
      </c>
      <c r="I126" s="35" t="s">
        <v>1436</v>
      </c>
      <c r="J126" s="35"/>
    </row>
    <row r="127" spans="1:10" hidden="1" x14ac:dyDescent="0.2">
      <c r="A127" s="35">
        <v>126</v>
      </c>
      <c r="B127" s="35" t="s">
        <v>506</v>
      </c>
      <c r="C127" s="35" t="s">
        <v>507</v>
      </c>
      <c r="D127" s="35" t="s">
        <v>18</v>
      </c>
      <c r="E127" s="35" t="s">
        <v>19</v>
      </c>
      <c r="F127" s="35">
        <v>1</v>
      </c>
      <c r="G127" s="35" t="s">
        <v>1378</v>
      </c>
      <c r="H127" s="36" t="s">
        <v>1255</v>
      </c>
      <c r="I127" s="35" t="s">
        <v>1379</v>
      </c>
      <c r="J127" s="35" t="s">
        <v>1269</v>
      </c>
    </row>
    <row r="128" spans="1:10" hidden="1" x14ac:dyDescent="0.2">
      <c r="A128" s="35">
        <v>127</v>
      </c>
      <c r="B128" s="35" t="s">
        <v>512</v>
      </c>
      <c r="C128" s="35" t="s">
        <v>507</v>
      </c>
      <c r="D128" s="35" t="s">
        <v>18</v>
      </c>
      <c r="E128" s="35" t="s">
        <v>513</v>
      </c>
      <c r="F128" s="35">
        <v>1</v>
      </c>
      <c r="G128" s="35" t="s">
        <v>1473</v>
      </c>
      <c r="H128" s="36" t="s">
        <v>1255</v>
      </c>
      <c r="I128" s="35" t="s">
        <v>1379</v>
      </c>
      <c r="J128" s="35" t="s">
        <v>1270</v>
      </c>
    </row>
    <row r="129" spans="1:10" hidden="1" x14ac:dyDescent="0.2">
      <c r="A129" s="35">
        <v>128</v>
      </c>
      <c r="B129" s="35" t="s">
        <v>516</v>
      </c>
      <c r="C129" s="35" t="s">
        <v>507</v>
      </c>
      <c r="D129" s="35" t="s">
        <v>18</v>
      </c>
      <c r="E129" s="35" t="s">
        <v>19</v>
      </c>
      <c r="F129" s="35">
        <v>1</v>
      </c>
      <c r="G129" s="35" t="s">
        <v>1378</v>
      </c>
      <c r="H129" s="36" t="s">
        <v>1255</v>
      </c>
      <c r="I129" s="35" t="s">
        <v>1379</v>
      </c>
      <c r="J129" s="35" t="s">
        <v>1474</v>
      </c>
    </row>
    <row r="130" spans="1:10" hidden="1" x14ac:dyDescent="0.2">
      <c r="A130" s="35">
        <v>129</v>
      </c>
      <c r="B130" s="35" t="s">
        <v>521</v>
      </c>
      <c r="C130" s="35" t="s">
        <v>507</v>
      </c>
      <c r="D130" s="35" t="s">
        <v>18</v>
      </c>
      <c r="E130" s="35" t="s">
        <v>356</v>
      </c>
      <c r="F130" s="35">
        <v>1</v>
      </c>
      <c r="G130" s="35" t="s">
        <v>1475</v>
      </c>
      <c r="H130" s="36" t="s">
        <v>1255</v>
      </c>
      <c r="I130" s="35" t="s">
        <v>1379</v>
      </c>
      <c r="J130" s="35" t="s">
        <v>1271</v>
      </c>
    </row>
    <row r="131" spans="1:10" hidden="1" x14ac:dyDescent="0.2">
      <c r="A131" s="35">
        <v>130</v>
      </c>
      <c r="B131" s="35" t="s">
        <v>526</v>
      </c>
      <c r="C131" s="35" t="s">
        <v>507</v>
      </c>
      <c r="D131" s="35" t="s">
        <v>18</v>
      </c>
      <c r="E131" s="35" t="s">
        <v>64</v>
      </c>
      <c r="F131" s="35">
        <v>1</v>
      </c>
      <c r="G131" s="35" t="s">
        <v>1378</v>
      </c>
      <c r="H131" s="36" t="s">
        <v>1255</v>
      </c>
      <c r="I131" s="35" t="s">
        <v>1379</v>
      </c>
      <c r="J131" s="35" t="s">
        <v>1476</v>
      </c>
    </row>
    <row r="132" spans="1:10" hidden="1" x14ac:dyDescent="0.2">
      <c r="A132" s="35">
        <v>131</v>
      </c>
      <c r="B132" s="35" t="s">
        <v>531</v>
      </c>
      <c r="C132" s="35" t="s">
        <v>507</v>
      </c>
      <c r="D132" s="35" t="s">
        <v>18</v>
      </c>
      <c r="E132" s="35" t="s">
        <v>64</v>
      </c>
      <c r="F132" s="35">
        <v>1</v>
      </c>
      <c r="G132" s="35" t="s">
        <v>1477</v>
      </c>
      <c r="H132" s="36" t="s">
        <v>1255</v>
      </c>
      <c r="I132" s="35" t="s">
        <v>1379</v>
      </c>
      <c r="J132" s="35" t="s">
        <v>1478</v>
      </c>
    </row>
    <row r="133" spans="1:10" ht="25.5" hidden="1" customHeight="1" x14ac:dyDescent="0.2">
      <c r="A133" s="35">
        <v>132</v>
      </c>
      <c r="B133" s="35" t="s">
        <v>534</v>
      </c>
      <c r="C133" s="35" t="s">
        <v>507</v>
      </c>
      <c r="D133" s="35" t="s">
        <v>18</v>
      </c>
      <c r="E133" s="35" t="s">
        <v>64</v>
      </c>
      <c r="F133" s="35">
        <v>1</v>
      </c>
      <c r="G133" s="35" t="s">
        <v>1414</v>
      </c>
      <c r="H133" s="37" t="s">
        <v>1381</v>
      </c>
      <c r="I133" s="35" t="s">
        <v>1382</v>
      </c>
      <c r="J133" s="35" t="s">
        <v>1479</v>
      </c>
    </row>
    <row r="134" spans="1:10" ht="25.5" hidden="1" customHeight="1" x14ac:dyDescent="0.2">
      <c r="A134" s="35">
        <v>133</v>
      </c>
      <c r="B134" s="35" t="s">
        <v>537</v>
      </c>
      <c r="C134" s="35" t="s">
        <v>507</v>
      </c>
      <c r="D134" s="35" t="s">
        <v>18</v>
      </c>
      <c r="E134" s="35" t="s">
        <v>64</v>
      </c>
      <c r="F134" s="35">
        <v>1</v>
      </c>
      <c r="G134" s="35" t="s">
        <v>1414</v>
      </c>
      <c r="H134" s="37" t="s">
        <v>1381</v>
      </c>
      <c r="I134" s="35" t="s">
        <v>1382</v>
      </c>
      <c r="J134" s="35" t="s">
        <v>1480</v>
      </c>
    </row>
    <row r="135" spans="1:10" hidden="1" x14ac:dyDescent="0.2">
      <c r="A135" s="35">
        <v>134</v>
      </c>
      <c r="B135" s="35" t="s">
        <v>540</v>
      </c>
      <c r="C135" s="35" t="s">
        <v>507</v>
      </c>
      <c r="D135" s="35" t="s">
        <v>18</v>
      </c>
      <c r="E135" s="35" t="s">
        <v>64</v>
      </c>
      <c r="F135" s="35">
        <v>1</v>
      </c>
      <c r="G135" s="35" t="s">
        <v>1481</v>
      </c>
      <c r="H135" s="36" t="s">
        <v>1255</v>
      </c>
      <c r="I135" s="35" t="s">
        <v>1379</v>
      </c>
      <c r="J135" s="35" t="s">
        <v>1482</v>
      </c>
    </row>
    <row r="136" spans="1:10" ht="38.25" hidden="1" customHeight="1" x14ac:dyDescent="0.2">
      <c r="A136" s="35">
        <v>135</v>
      </c>
      <c r="B136" s="35" t="s">
        <v>544</v>
      </c>
      <c r="C136" s="35" t="s">
        <v>507</v>
      </c>
      <c r="D136" s="35" t="s">
        <v>18</v>
      </c>
      <c r="E136" s="35" t="s">
        <v>64</v>
      </c>
      <c r="F136" s="35">
        <v>1</v>
      </c>
      <c r="G136" s="35" t="s">
        <v>1483</v>
      </c>
      <c r="H136" s="39" t="s">
        <v>1484</v>
      </c>
      <c r="I136" s="35" t="s">
        <v>1485</v>
      </c>
      <c r="J136" s="35" t="s">
        <v>1486</v>
      </c>
    </row>
    <row r="137" spans="1:10" ht="25.5" hidden="1" customHeight="1" x14ac:dyDescent="0.2">
      <c r="A137" s="35">
        <v>136</v>
      </c>
      <c r="B137" s="35" t="s">
        <v>547</v>
      </c>
      <c r="C137" s="35" t="s">
        <v>507</v>
      </c>
      <c r="D137" s="35" t="s">
        <v>18</v>
      </c>
      <c r="E137" s="35" t="s">
        <v>64</v>
      </c>
      <c r="F137" s="35">
        <v>0</v>
      </c>
      <c r="G137" s="35"/>
      <c r="H137" s="38" t="s">
        <v>1435</v>
      </c>
      <c r="I137" s="35" t="s">
        <v>1436</v>
      </c>
      <c r="J137" s="35"/>
    </row>
    <row r="138" spans="1:10" hidden="1" x14ac:dyDescent="0.2">
      <c r="A138" s="35">
        <v>137</v>
      </c>
      <c r="B138" s="35" t="s">
        <v>550</v>
      </c>
      <c r="C138" s="35" t="s">
        <v>507</v>
      </c>
      <c r="D138" s="35" t="s">
        <v>18</v>
      </c>
      <c r="E138" s="35" t="s">
        <v>64</v>
      </c>
      <c r="F138" s="35">
        <v>1</v>
      </c>
      <c r="G138" s="35" t="s">
        <v>1378</v>
      </c>
      <c r="H138" s="36" t="s">
        <v>1255</v>
      </c>
      <c r="I138" s="35" t="s">
        <v>1379</v>
      </c>
      <c r="J138" s="35" t="s">
        <v>1487</v>
      </c>
    </row>
    <row r="139" spans="1:10" ht="25.5" hidden="1" customHeight="1" x14ac:dyDescent="0.2">
      <c r="A139" s="35">
        <v>138</v>
      </c>
      <c r="B139" s="35" t="s">
        <v>553</v>
      </c>
      <c r="C139" s="35" t="s">
        <v>507</v>
      </c>
      <c r="D139" s="35" t="s">
        <v>18</v>
      </c>
      <c r="E139" s="35" t="s">
        <v>554</v>
      </c>
      <c r="F139" s="35">
        <v>1</v>
      </c>
      <c r="G139" s="35" t="s">
        <v>1483</v>
      </c>
      <c r="H139" s="37" t="s">
        <v>1381</v>
      </c>
      <c r="I139" s="35" t="s">
        <v>1382</v>
      </c>
      <c r="J139" s="35" t="s">
        <v>1488</v>
      </c>
    </row>
    <row r="140" spans="1:10" hidden="1" x14ac:dyDescent="0.2">
      <c r="A140" s="35">
        <v>139</v>
      </c>
      <c r="B140" s="35" t="s">
        <v>557</v>
      </c>
      <c r="C140" s="35" t="s">
        <v>507</v>
      </c>
      <c r="D140" s="35" t="s">
        <v>18</v>
      </c>
      <c r="E140" s="35" t="s">
        <v>558</v>
      </c>
      <c r="F140" s="35">
        <v>1</v>
      </c>
      <c r="G140" s="35" t="s">
        <v>1483</v>
      </c>
      <c r="H140" s="36" t="s">
        <v>1255</v>
      </c>
      <c r="I140" s="35" t="s">
        <v>1379</v>
      </c>
      <c r="J140" s="35" t="s">
        <v>1272</v>
      </c>
    </row>
    <row r="141" spans="1:10" hidden="1" x14ac:dyDescent="0.2">
      <c r="A141" s="35">
        <v>140</v>
      </c>
      <c r="B141" s="35" t="s">
        <v>561</v>
      </c>
      <c r="C141" s="35" t="s">
        <v>507</v>
      </c>
      <c r="D141" s="35" t="s">
        <v>18</v>
      </c>
      <c r="E141" s="35" t="s">
        <v>558</v>
      </c>
      <c r="F141" s="35">
        <v>1</v>
      </c>
      <c r="G141" s="35" t="s">
        <v>1483</v>
      </c>
      <c r="H141" s="36" t="s">
        <v>1255</v>
      </c>
      <c r="I141" s="35" t="s">
        <v>1379</v>
      </c>
      <c r="J141" s="35" t="s">
        <v>1489</v>
      </c>
    </row>
    <row r="142" spans="1:10" hidden="1" x14ac:dyDescent="0.2">
      <c r="A142" s="35">
        <v>141</v>
      </c>
      <c r="B142" s="35" t="s">
        <v>564</v>
      </c>
      <c r="C142" s="35" t="s">
        <v>507</v>
      </c>
      <c r="D142" s="35" t="s">
        <v>18</v>
      </c>
      <c r="E142" s="35" t="s">
        <v>558</v>
      </c>
      <c r="F142" s="35">
        <v>1</v>
      </c>
      <c r="G142" s="35" t="s">
        <v>1483</v>
      </c>
      <c r="H142" s="36" t="s">
        <v>1255</v>
      </c>
      <c r="I142" s="35" t="s">
        <v>1379</v>
      </c>
      <c r="J142" s="35" t="s">
        <v>1490</v>
      </c>
    </row>
    <row r="143" spans="1:10" hidden="1" x14ac:dyDescent="0.2">
      <c r="A143" s="35">
        <v>142</v>
      </c>
      <c r="B143" s="35" t="s">
        <v>567</v>
      </c>
      <c r="C143" s="35" t="s">
        <v>507</v>
      </c>
      <c r="D143" s="35" t="s">
        <v>18</v>
      </c>
      <c r="E143" s="35" t="s">
        <v>558</v>
      </c>
      <c r="F143" s="35">
        <v>1</v>
      </c>
      <c r="G143" s="35" t="s">
        <v>1483</v>
      </c>
      <c r="H143" s="36" t="s">
        <v>1255</v>
      </c>
      <c r="I143" s="35" t="s">
        <v>1379</v>
      </c>
      <c r="J143" s="35" t="s">
        <v>1491</v>
      </c>
    </row>
    <row r="144" spans="1:10" hidden="1" x14ac:dyDescent="0.2">
      <c r="A144" s="35">
        <v>143</v>
      </c>
      <c r="B144" s="35" t="s">
        <v>572</v>
      </c>
      <c r="C144" s="35" t="s">
        <v>507</v>
      </c>
      <c r="D144" s="35" t="s">
        <v>18</v>
      </c>
      <c r="E144" s="35" t="s">
        <v>19</v>
      </c>
      <c r="F144" s="35">
        <v>1</v>
      </c>
      <c r="G144" s="35" t="s">
        <v>1378</v>
      </c>
      <c r="H144" s="36" t="s">
        <v>1255</v>
      </c>
      <c r="I144" s="35" t="s">
        <v>1379</v>
      </c>
      <c r="J144" s="35" t="s">
        <v>1492</v>
      </c>
    </row>
    <row r="145" spans="1:10" hidden="1" x14ac:dyDescent="0.2">
      <c r="A145" s="35">
        <v>144</v>
      </c>
      <c r="B145" s="35" t="s">
        <v>575</v>
      </c>
      <c r="C145" s="35" t="s">
        <v>507</v>
      </c>
      <c r="D145" s="35" t="s">
        <v>18</v>
      </c>
      <c r="E145" s="35" t="s">
        <v>299</v>
      </c>
      <c r="F145" s="35">
        <v>1</v>
      </c>
      <c r="G145" s="35" t="s">
        <v>1442</v>
      </c>
      <c r="H145" s="36" t="s">
        <v>1255</v>
      </c>
      <c r="I145" s="35" t="s">
        <v>1379</v>
      </c>
      <c r="J145" s="35" t="s">
        <v>1493</v>
      </c>
    </row>
    <row r="146" spans="1:10" hidden="1" x14ac:dyDescent="0.2">
      <c r="A146" s="35">
        <v>145</v>
      </c>
      <c r="B146" s="35" t="s">
        <v>578</v>
      </c>
      <c r="C146" s="35" t="s">
        <v>507</v>
      </c>
      <c r="D146" s="35" t="s">
        <v>18</v>
      </c>
      <c r="E146" s="35" t="s">
        <v>299</v>
      </c>
      <c r="F146" s="35">
        <v>1</v>
      </c>
      <c r="G146" s="35" t="s">
        <v>1442</v>
      </c>
      <c r="H146" s="36" t="s">
        <v>1255</v>
      </c>
      <c r="I146" s="35" t="s">
        <v>1379</v>
      </c>
      <c r="J146" s="35" t="s">
        <v>1494</v>
      </c>
    </row>
    <row r="147" spans="1:10" hidden="1" x14ac:dyDescent="0.2">
      <c r="A147" s="35">
        <v>146</v>
      </c>
      <c r="B147" s="35" t="s">
        <v>583</v>
      </c>
      <c r="C147" s="35" t="s">
        <v>507</v>
      </c>
      <c r="D147" s="35" t="s">
        <v>18</v>
      </c>
      <c r="E147" s="35" t="s">
        <v>299</v>
      </c>
      <c r="F147" s="35">
        <v>1</v>
      </c>
      <c r="G147" s="35" t="s">
        <v>1442</v>
      </c>
      <c r="H147" s="36" t="s">
        <v>1255</v>
      </c>
      <c r="I147" s="35" t="s">
        <v>1379</v>
      </c>
      <c r="J147" s="35" t="s">
        <v>1495</v>
      </c>
    </row>
    <row r="148" spans="1:10" hidden="1" x14ac:dyDescent="0.2">
      <c r="A148" s="35">
        <v>147</v>
      </c>
      <c r="B148" s="35" t="s">
        <v>586</v>
      </c>
      <c r="C148" s="35" t="s">
        <v>507</v>
      </c>
      <c r="D148" s="35" t="s">
        <v>18</v>
      </c>
      <c r="E148" s="35" t="s">
        <v>299</v>
      </c>
      <c r="F148" s="35">
        <v>1</v>
      </c>
      <c r="G148" s="35" t="s">
        <v>1442</v>
      </c>
      <c r="H148" s="36" t="s">
        <v>1255</v>
      </c>
      <c r="I148" s="35" t="s">
        <v>1379</v>
      </c>
      <c r="J148" s="35" t="s">
        <v>1496</v>
      </c>
    </row>
    <row r="149" spans="1:10" hidden="1" x14ac:dyDescent="0.2">
      <c r="A149" s="35">
        <v>148</v>
      </c>
      <c r="B149" s="35" t="s">
        <v>589</v>
      </c>
      <c r="C149" s="35" t="s">
        <v>507</v>
      </c>
      <c r="D149" s="35" t="s">
        <v>18</v>
      </c>
      <c r="E149" s="35" t="s">
        <v>299</v>
      </c>
      <c r="F149" s="35">
        <v>1</v>
      </c>
      <c r="G149" s="35" t="s">
        <v>1442</v>
      </c>
      <c r="H149" s="36" t="s">
        <v>1255</v>
      </c>
      <c r="I149" s="35" t="s">
        <v>1379</v>
      </c>
      <c r="J149" s="35" t="s">
        <v>1497</v>
      </c>
    </row>
    <row r="150" spans="1:10" ht="25.5" hidden="1" customHeight="1" x14ac:dyDescent="0.2">
      <c r="A150" s="35">
        <v>149</v>
      </c>
      <c r="B150" s="35" t="s">
        <v>592</v>
      </c>
      <c r="C150" s="35" t="s">
        <v>507</v>
      </c>
      <c r="D150" s="35" t="s">
        <v>18</v>
      </c>
      <c r="E150" s="35" t="s">
        <v>64</v>
      </c>
      <c r="F150" s="35">
        <v>1</v>
      </c>
      <c r="G150" s="35" t="s">
        <v>1414</v>
      </c>
      <c r="H150" s="37" t="s">
        <v>1381</v>
      </c>
      <c r="I150" s="35" t="s">
        <v>1382</v>
      </c>
      <c r="J150" s="35" t="s">
        <v>1498</v>
      </c>
    </row>
    <row r="151" spans="1:10" hidden="1" x14ac:dyDescent="0.2">
      <c r="A151" s="35">
        <v>150</v>
      </c>
      <c r="B151" s="35" t="s">
        <v>595</v>
      </c>
      <c r="C151" s="35" t="s">
        <v>507</v>
      </c>
      <c r="D151" s="35" t="s">
        <v>18</v>
      </c>
      <c r="E151" s="35" t="s">
        <v>299</v>
      </c>
      <c r="F151" s="35">
        <v>1</v>
      </c>
      <c r="G151" s="35" t="s">
        <v>1442</v>
      </c>
      <c r="H151" s="36" t="s">
        <v>1255</v>
      </c>
      <c r="I151" s="35" t="s">
        <v>1379</v>
      </c>
      <c r="J151" s="35" t="s">
        <v>1499</v>
      </c>
    </row>
    <row r="152" spans="1:10" hidden="1" x14ac:dyDescent="0.2">
      <c r="A152" s="35">
        <v>151</v>
      </c>
      <c r="B152" s="35" t="s">
        <v>599</v>
      </c>
      <c r="C152" s="35" t="s">
        <v>507</v>
      </c>
      <c r="D152" s="35" t="s">
        <v>18</v>
      </c>
      <c r="E152" s="35" t="s">
        <v>299</v>
      </c>
      <c r="F152" s="35">
        <v>1</v>
      </c>
      <c r="G152" s="35" t="s">
        <v>1442</v>
      </c>
      <c r="H152" s="36" t="s">
        <v>1255</v>
      </c>
      <c r="I152" s="35" t="s">
        <v>1379</v>
      </c>
      <c r="J152" s="35" t="s">
        <v>1500</v>
      </c>
    </row>
    <row r="153" spans="1:10" hidden="1" x14ac:dyDescent="0.2">
      <c r="A153" s="35">
        <v>152</v>
      </c>
      <c r="B153" s="35" t="s">
        <v>602</v>
      </c>
      <c r="C153" s="35" t="s">
        <v>507</v>
      </c>
      <c r="D153" s="35" t="s">
        <v>18</v>
      </c>
      <c r="E153" s="35" t="s">
        <v>299</v>
      </c>
      <c r="F153" s="35">
        <v>1</v>
      </c>
      <c r="G153" s="35" t="s">
        <v>1442</v>
      </c>
      <c r="H153" s="36" t="s">
        <v>1255</v>
      </c>
      <c r="I153" s="35" t="s">
        <v>1379</v>
      </c>
      <c r="J153" s="35" t="s">
        <v>1501</v>
      </c>
    </row>
    <row r="154" spans="1:10" ht="25.5" hidden="1" customHeight="1" x14ac:dyDescent="0.2">
      <c r="A154" s="35">
        <v>153</v>
      </c>
      <c r="B154" s="35" t="s">
        <v>605</v>
      </c>
      <c r="C154" s="35" t="s">
        <v>507</v>
      </c>
      <c r="D154" s="35" t="s">
        <v>18</v>
      </c>
      <c r="E154" s="35" t="s">
        <v>41</v>
      </c>
      <c r="F154" s="35">
        <v>1</v>
      </c>
      <c r="G154" s="35" t="s">
        <v>1378</v>
      </c>
      <c r="H154" s="37" t="s">
        <v>1381</v>
      </c>
      <c r="I154" s="35" t="s">
        <v>1382</v>
      </c>
      <c r="J154" s="35" t="s">
        <v>1502</v>
      </c>
    </row>
    <row r="155" spans="1:10" hidden="1" x14ac:dyDescent="0.2">
      <c r="A155" s="35">
        <v>154</v>
      </c>
      <c r="B155" s="35" t="s">
        <v>608</v>
      </c>
      <c r="C155" s="35" t="s">
        <v>507</v>
      </c>
      <c r="D155" s="35" t="s">
        <v>18</v>
      </c>
      <c r="E155" s="35" t="s">
        <v>558</v>
      </c>
      <c r="F155" s="35">
        <v>1</v>
      </c>
      <c r="G155" s="35" t="s">
        <v>1483</v>
      </c>
      <c r="H155" s="36" t="s">
        <v>1255</v>
      </c>
      <c r="I155" s="35" t="s">
        <v>1379</v>
      </c>
      <c r="J155" s="35" t="s">
        <v>1503</v>
      </c>
    </row>
    <row r="156" spans="1:10" hidden="1" x14ac:dyDescent="0.2">
      <c r="A156" s="35">
        <v>155</v>
      </c>
      <c r="B156" s="35" t="s">
        <v>611</v>
      </c>
      <c r="C156" s="35" t="s">
        <v>507</v>
      </c>
      <c r="D156" s="35" t="s">
        <v>18</v>
      </c>
      <c r="E156" s="35" t="s">
        <v>19</v>
      </c>
      <c r="F156" s="35">
        <v>2</v>
      </c>
      <c r="G156" s="35" t="s">
        <v>1378</v>
      </c>
      <c r="H156" s="36" t="s">
        <v>1255</v>
      </c>
      <c r="I156" s="35" t="s">
        <v>1379</v>
      </c>
      <c r="J156" s="35" t="s">
        <v>1504</v>
      </c>
    </row>
    <row r="157" spans="1:10" hidden="1" x14ac:dyDescent="0.2">
      <c r="A157" s="35">
        <v>156</v>
      </c>
      <c r="B157" s="35" t="s">
        <v>614</v>
      </c>
      <c r="C157" s="35" t="s">
        <v>507</v>
      </c>
      <c r="D157" s="35" t="s">
        <v>18</v>
      </c>
      <c r="E157" s="35" t="s">
        <v>299</v>
      </c>
      <c r="F157" s="35">
        <v>0</v>
      </c>
      <c r="G157" s="35"/>
      <c r="H157" s="38" t="s">
        <v>1435</v>
      </c>
      <c r="I157" s="35" t="s">
        <v>1436</v>
      </c>
      <c r="J157" s="35"/>
    </row>
    <row r="158" spans="1:10" hidden="1" x14ac:dyDescent="0.2">
      <c r="A158" s="35">
        <v>157</v>
      </c>
      <c r="B158" s="35" t="s">
        <v>617</v>
      </c>
      <c r="C158" s="35" t="s">
        <v>507</v>
      </c>
      <c r="D158" s="35" t="s">
        <v>18</v>
      </c>
      <c r="E158" s="35" t="s">
        <v>64</v>
      </c>
      <c r="F158" s="35">
        <v>1</v>
      </c>
      <c r="G158" s="35" t="s">
        <v>1378</v>
      </c>
      <c r="H158" s="36" t="s">
        <v>1255</v>
      </c>
      <c r="I158" s="35" t="s">
        <v>1379</v>
      </c>
      <c r="J158" s="35" t="s">
        <v>1505</v>
      </c>
    </row>
    <row r="159" spans="1:10" ht="25.5" hidden="1" customHeight="1" x14ac:dyDescent="0.2">
      <c r="A159" s="35">
        <v>158</v>
      </c>
      <c r="B159" s="35" t="s">
        <v>620</v>
      </c>
      <c r="C159" s="35" t="s">
        <v>507</v>
      </c>
      <c r="D159" s="35" t="s">
        <v>163</v>
      </c>
      <c r="E159" s="35" t="s">
        <v>40</v>
      </c>
      <c r="F159" s="35">
        <v>1</v>
      </c>
      <c r="G159" s="35" t="s">
        <v>1378</v>
      </c>
      <c r="H159" s="37" t="s">
        <v>1381</v>
      </c>
      <c r="I159" s="35" t="s">
        <v>1382</v>
      </c>
      <c r="J159" s="35" t="s">
        <v>1506</v>
      </c>
    </row>
    <row r="160" spans="1:10" ht="25.5" hidden="1" customHeight="1" x14ac:dyDescent="0.2">
      <c r="A160" s="35">
        <v>159</v>
      </c>
      <c r="B160" s="35" t="s">
        <v>625</v>
      </c>
      <c r="C160" s="35" t="s">
        <v>507</v>
      </c>
      <c r="D160" s="35" t="s">
        <v>163</v>
      </c>
      <c r="E160" s="35" t="s">
        <v>412</v>
      </c>
      <c r="F160" s="35">
        <v>2</v>
      </c>
      <c r="G160" s="35" t="s">
        <v>1507</v>
      </c>
      <c r="H160" s="36" t="s">
        <v>1255</v>
      </c>
      <c r="I160" s="35" t="s">
        <v>1379</v>
      </c>
      <c r="J160" s="35" t="s">
        <v>1508</v>
      </c>
    </row>
    <row r="161" spans="1:10" hidden="1" x14ac:dyDescent="0.2">
      <c r="A161" s="35">
        <v>160</v>
      </c>
      <c r="B161" s="35" t="s">
        <v>628</v>
      </c>
      <c r="C161" s="35" t="s">
        <v>507</v>
      </c>
      <c r="D161" s="35" t="s">
        <v>163</v>
      </c>
      <c r="E161" s="35" t="s">
        <v>41</v>
      </c>
      <c r="F161" s="35">
        <v>1</v>
      </c>
      <c r="G161" s="35" t="s">
        <v>1509</v>
      </c>
      <c r="H161" s="36" t="s">
        <v>1255</v>
      </c>
      <c r="I161" s="35" t="s">
        <v>1379</v>
      </c>
      <c r="J161" s="35" t="s">
        <v>1510</v>
      </c>
    </row>
    <row r="162" spans="1:10" hidden="1" x14ac:dyDescent="0.2">
      <c r="A162" s="35">
        <v>161</v>
      </c>
      <c r="B162" s="35" t="s">
        <v>631</v>
      </c>
      <c r="C162" s="35" t="s">
        <v>507</v>
      </c>
      <c r="D162" s="35" t="s">
        <v>163</v>
      </c>
      <c r="E162" s="35" t="s">
        <v>554</v>
      </c>
      <c r="F162" s="35">
        <v>1</v>
      </c>
      <c r="G162" s="35" t="s">
        <v>1477</v>
      </c>
      <c r="H162" s="36" t="s">
        <v>1255</v>
      </c>
      <c r="I162" s="35" t="s">
        <v>1379</v>
      </c>
      <c r="J162" s="35" t="s">
        <v>1511</v>
      </c>
    </row>
    <row r="163" spans="1:10" hidden="1" x14ac:dyDescent="0.2">
      <c r="A163" s="35">
        <v>162</v>
      </c>
      <c r="B163" s="35" t="s">
        <v>634</v>
      </c>
      <c r="C163" s="35" t="s">
        <v>507</v>
      </c>
      <c r="D163" s="35" t="s">
        <v>163</v>
      </c>
      <c r="E163" s="35" t="s">
        <v>558</v>
      </c>
      <c r="F163" s="35">
        <v>1</v>
      </c>
      <c r="G163" s="35" t="s">
        <v>1475</v>
      </c>
      <c r="H163" s="36" t="s">
        <v>1255</v>
      </c>
      <c r="I163" s="35" t="s">
        <v>1379</v>
      </c>
      <c r="J163" s="35" t="s">
        <v>1287</v>
      </c>
    </row>
    <row r="164" spans="1:10" hidden="1" x14ac:dyDescent="0.2">
      <c r="A164" s="35">
        <v>163</v>
      </c>
      <c r="B164" s="35" t="s">
        <v>639</v>
      </c>
      <c r="C164" s="35" t="s">
        <v>507</v>
      </c>
      <c r="D164" s="35" t="s">
        <v>163</v>
      </c>
      <c r="E164" s="35" t="s">
        <v>19</v>
      </c>
      <c r="F164" s="35">
        <v>1</v>
      </c>
      <c r="G164" s="35" t="s">
        <v>1378</v>
      </c>
      <c r="H164" s="36" t="s">
        <v>1255</v>
      </c>
      <c r="I164" s="35" t="s">
        <v>1379</v>
      </c>
      <c r="J164" s="35" t="s">
        <v>1512</v>
      </c>
    </row>
    <row r="165" spans="1:10" hidden="1" x14ac:dyDescent="0.2">
      <c r="A165" s="35">
        <v>164</v>
      </c>
      <c r="B165" s="35" t="s">
        <v>643</v>
      </c>
      <c r="C165" s="35" t="s">
        <v>507</v>
      </c>
      <c r="D165" s="35" t="s">
        <v>163</v>
      </c>
      <c r="E165" s="35" t="s">
        <v>19</v>
      </c>
      <c r="F165" s="35">
        <v>1</v>
      </c>
      <c r="G165" s="35" t="s">
        <v>1378</v>
      </c>
      <c r="H165" s="36" t="s">
        <v>1255</v>
      </c>
      <c r="I165" s="35" t="s">
        <v>1379</v>
      </c>
      <c r="J165" s="35" t="s">
        <v>1513</v>
      </c>
    </row>
    <row r="166" spans="1:10" hidden="1" x14ac:dyDescent="0.2">
      <c r="A166" s="35">
        <v>165</v>
      </c>
      <c r="B166" s="35" t="s">
        <v>646</v>
      </c>
      <c r="C166" s="35" t="s">
        <v>507</v>
      </c>
      <c r="D166" s="35" t="s">
        <v>163</v>
      </c>
      <c r="E166" s="35" t="s">
        <v>19</v>
      </c>
      <c r="F166" s="35">
        <v>1</v>
      </c>
      <c r="G166" s="35" t="s">
        <v>1378</v>
      </c>
      <c r="H166" s="36" t="s">
        <v>1255</v>
      </c>
      <c r="I166" s="35" t="s">
        <v>1379</v>
      </c>
      <c r="J166" s="35" t="s">
        <v>1514</v>
      </c>
    </row>
    <row r="167" spans="1:10" hidden="1" x14ac:dyDescent="0.2">
      <c r="A167" s="35">
        <v>166</v>
      </c>
      <c r="B167" s="35" t="s">
        <v>649</v>
      </c>
      <c r="C167" s="35" t="s">
        <v>507</v>
      </c>
      <c r="D167" s="35" t="s">
        <v>163</v>
      </c>
      <c r="E167" s="35" t="s">
        <v>19</v>
      </c>
      <c r="F167" s="35">
        <v>1</v>
      </c>
      <c r="G167" s="35" t="s">
        <v>1378</v>
      </c>
      <c r="H167" s="36" t="s">
        <v>1255</v>
      </c>
      <c r="I167" s="35" t="s">
        <v>1379</v>
      </c>
      <c r="J167" s="35" t="s">
        <v>1515</v>
      </c>
    </row>
    <row r="168" spans="1:10" hidden="1" x14ac:dyDescent="0.2">
      <c r="A168" s="35">
        <v>167</v>
      </c>
      <c r="B168" s="35" t="s">
        <v>654</v>
      </c>
      <c r="C168" s="35" t="s">
        <v>507</v>
      </c>
      <c r="D168" s="35" t="s">
        <v>163</v>
      </c>
      <c r="E168" s="35" t="s">
        <v>558</v>
      </c>
      <c r="F168" s="35">
        <v>1</v>
      </c>
      <c r="G168" s="35" t="s">
        <v>1483</v>
      </c>
      <c r="H168" s="36" t="s">
        <v>1255</v>
      </c>
      <c r="I168" s="35" t="s">
        <v>1379</v>
      </c>
      <c r="J168" s="35" t="s">
        <v>1516</v>
      </c>
    </row>
    <row r="169" spans="1:10" hidden="1" x14ac:dyDescent="0.2">
      <c r="A169" s="35">
        <v>168</v>
      </c>
      <c r="B169" s="35" t="s">
        <v>658</v>
      </c>
      <c r="C169" s="35" t="s">
        <v>507</v>
      </c>
      <c r="D169" s="35" t="s">
        <v>163</v>
      </c>
      <c r="E169" s="35" t="s">
        <v>558</v>
      </c>
      <c r="F169" s="35">
        <v>1</v>
      </c>
      <c r="G169" s="35" t="s">
        <v>1475</v>
      </c>
      <c r="H169" s="36" t="s">
        <v>1255</v>
      </c>
      <c r="I169" s="35" t="s">
        <v>1379</v>
      </c>
      <c r="J169" s="35" t="s">
        <v>1517</v>
      </c>
    </row>
    <row r="170" spans="1:10" ht="25.5" hidden="1" customHeight="1" x14ac:dyDescent="0.2">
      <c r="A170" s="35">
        <v>169</v>
      </c>
      <c r="B170" s="35" t="s">
        <v>661</v>
      </c>
      <c r="C170" s="35" t="s">
        <v>507</v>
      </c>
      <c r="D170" s="35" t="s">
        <v>163</v>
      </c>
      <c r="E170" s="35" t="s">
        <v>19</v>
      </c>
      <c r="F170" s="35">
        <v>2</v>
      </c>
      <c r="G170" s="35" t="s">
        <v>1518</v>
      </c>
      <c r="H170" s="36" t="s">
        <v>1255</v>
      </c>
      <c r="I170" s="35" t="s">
        <v>1379</v>
      </c>
      <c r="J170" s="35" t="s">
        <v>1519</v>
      </c>
    </row>
    <row r="171" spans="1:10" ht="25.5" hidden="1" customHeight="1" x14ac:dyDescent="0.2">
      <c r="A171" s="35">
        <v>170</v>
      </c>
      <c r="B171" s="35" t="s">
        <v>664</v>
      </c>
      <c r="C171" s="35" t="s">
        <v>507</v>
      </c>
      <c r="D171" s="35" t="s">
        <v>163</v>
      </c>
      <c r="E171" s="35" t="s">
        <v>40</v>
      </c>
      <c r="F171" s="35">
        <v>1</v>
      </c>
      <c r="G171" s="35" t="s">
        <v>1378</v>
      </c>
      <c r="H171" s="37" t="s">
        <v>1381</v>
      </c>
      <c r="I171" s="35" t="s">
        <v>1382</v>
      </c>
      <c r="J171" s="35" t="s">
        <v>1520</v>
      </c>
    </row>
    <row r="172" spans="1:10" hidden="1" x14ac:dyDescent="0.2">
      <c r="A172" s="35">
        <v>171</v>
      </c>
      <c r="B172" s="35" t="s">
        <v>669</v>
      </c>
      <c r="C172" s="35" t="s">
        <v>507</v>
      </c>
      <c r="D172" s="35" t="s">
        <v>163</v>
      </c>
      <c r="E172" s="35" t="s">
        <v>64</v>
      </c>
      <c r="F172" s="35">
        <v>2</v>
      </c>
      <c r="G172" s="35" t="s">
        <v>1477</v>
      </c>
      <c r="H172" s="36" t="s">
        <v>1255</v>
      </c>
      <c r="I172" s="35" t="s">
        <v>1379</v>
      </c>
      <c r="J172" s="35" t="s">
        <v>1288</v>
      </c>
    </row>
    <row r="173" spans="1:10" hidden="1" x14ac:dyDescent="0.2">
      <c r="A173" s="35">
        <v>172</v>
      </c>
      <c r="B173" s="35" t="s">
        <v>674</v>
      </c>
      <c r="C173" s="35" t="s">
        <v>507</v>
      </c>
      <c r="D173" s="35" t="s">
        <v>163</v>
      </c>
      <c r="E173" s="35" t="s">
        <v>59</v>
      </c>
      <c r="F173" s="35">
        <v>1</v>
      </c>
      <c r="G173" s="35" t="s">
        <v>1414</v>
      </c>
      <c r="H173" s="36" t="s">
        <v>1255</v>
      </c>
      <c r="I173" s="35" t="s">
        <v>1379</v>
      </c>
      <c r="J173" s="35" t="s">
        <v>1289</v>
      </c>
    </row>
    <row r="174" spans="1:10" hidden="1" x14ac:dyDescent="0.2">
      <c r="A174" s="35">
        <v>173</v>
      </c>
      <c r="B174" s="35" t="s">
        <v>678</v>
      </c>
      <c r="C174" s="35" t="s">
        <v>507</v>
      </c>
      <c r="D174" s="35" t="s">
        <v>163</v>
      </c>
      <c r="E174" s="35" t="s">
        <v>40</v>
      </c>
      <c r="F174" s="35">
        <v>1</v>
      </c>
      <c r="G174" s="35" t="s">
        <v>1385</v>
      </c>
      <c r="H174" s="36" t="s">
        <v>1255</v>
      </c>
      <c r="I174" s="35" t="s">
        <v>1379</v>
      </c>
      <c r="J174" s="35" t="s">
        <v>1521</v>
      </c>
    </row>
    <row r="175" spans="1:10" hidden="1" x14ac:dyDescent="0.2">
      <c r="A175" s="35">
        <v>174</v>
      </c>
      <c r="B175" s="35" t="s">
        <v>681</v>
      </c>
      <c r="C175" s="35" t="s">
        <v>507</v>
      </c>
      <c r="D175" s="35" t="s">
        <v>218</v>
      </c>
      <c r="E175" s="35" t="s">
        <v>554</v>
      </c>
      <c r="F175" s="35">
        <v>1</v>
      </c>
      <c r="G175" s="35" t="s">
        <v>1522</v>
      </c>
      <c r="H175" s="36" t="s">
        <v>1255</v>
      </c>
      <c r="I175" s="35" t="s">
        <v>1391</v>
      </c>
      <c r="J175" s="35" t="s">
        <v>1299</v>
      </c>
    </row>
    <row r="176" spans="1:10" ht="38.25" hidden="1" customHeight="1" x14ac:dyDescent="0.2">
      <c r="A176" s="35">
        <v>175</v>
      </c>
      <c r="B176" s="35" t="s">
        <v>686</v>
      </c>
      <c r="C176" s="35" t="s">
        <v>507</v>
      </c>
      <c r="D176" s="35" t="s">
        <v>218</v>
      </c>
      <c r="E176" s="35" t="s">
        <v>356</v>
      </c>
      <c r="F176" s="35">
        <v>1</v>
      </c>
      <c r="G176" s="35" t="s">
        <v>1475</v>
      </c>
      <c r="H176" s="36" t="s">
        <v>1255</v>
      </c>
      <c r="I176" s="35" t="s">
        <v>1379</v>
      </c>
      <c r="J176" s="35" t="s">
        <v>1523</v>
      </c>
    </row>
    <row r="177" spans="1:10" ht="25.5" hidden="1" customHeight="1" x14ac:dyDescent="0.2">
      <c r="A177" s="35">
        <v>176</v>
      </c>
      <c r="B177" s="35" t="s">
        <v>691</v>
      </c>
      <c r="C177" s="35" t="s">
        <v>507</v>
      </c>
      <c r="D177" s="35" t="s">
        <v>218</v>
      </c>
      <c r="E177" s="35" t="s">
        <v>299</v>
      </c>
      <c r="F177" s="35">
        <v>1</v>
      </c>
      <c r="G177" s="35" t="s">
        <v>1442</v>
      </c>
      <c r="H177" s="36" t="s">
        <v>1255</v>
      </c>
      <c r="I177" s="35" t="s">
        <v>1379</v>
      </c>
      <c r="J177" s="35" t="s">
        <v>1300</v>
      </c>
    </row>
    <row r="178" spans="1:10" ht="25.5" hidden="1" customHeight="1" x14ac:dyDescent="0.2">
      <c r="A178" s="35">
        <v>177</v>
      </c>
      <c r="B178" s="35" t="s">
        <v>696</v>
      </c>
      <c r="C178" s="35" t="s">
        <v>507</v>
      </c>
      <c r="D178" s="35" t="s">
        <v>218</v>
      </c>
      <c r="E178" s="35" t="s">
        <v>79</v>
      </c>
      <c r="F178" s="35">
        <v>1</v>
      </c>
      <c r="G178" s="35" t="s">
        <v>1446</v>
      </c>
      <c r="H178" s="37" t="s">
        <v>1381</v>
      </c>
      <c r="I178" s="35" t="s">
        <v>1382</v>
      </c>
      <c r="J178" s="35" t="s">
        <v>1524</v>
      </c>
    </row>
    <row r="179" spans="1:10" ht="25.5" hidden="1" customHeight="1" x14ac:dyDescent="0.2">
      <c r="A179" s="35">
        <v>178</v>
      </c>
      <c r="B179" s="35" t="s">
        <v>700</v>
      </c>
      <c r="C179" s="35" t="s">
        <v>507</v>
      </c>
      <c r="D179" s="35" t="s">
        <v>218</v>
      </c>
      <c r="E179" s="35" t="s">
        <v>299</v>
      </c>
      <c r="F179" s="35">
        <v>1</v>
      </c>
      <c r="G179" s="35" t="s">
        <v>1442</v>
      </c>
      <c r="H179" s="36" t="s">
        <v>1255</v>
      </c>
      <c r="I179" s="35" t="s">
        <v>1379</v>
      </c>
      <c r="J179" s="35" t="s">
        <v>1525</v>
      </c>
    </row>
    <row r="180" spans="1:10" ht="25.5" hidden="1" customHeight="1" x14ac:dyDescent="0.2">
      <c r="A180" s="35">
        <v>179</v>
      </c>
      <c r="B180" s="35" t="s">
        <v>705</v>
      </c>
      <c r="C180" s="35" t="s">
        <v>507</v>
      </c>
      <c r="D180" s="35" t="s">
        <v>218</v>
      </c>
      <c r="E180" s="35" t="s">
        <v>19</v>
      </c>
      <c r="F180" s="35">
        <v>1</v>
      </c>
      <c r="G180" s="35" t="s">
        <v>1378</v>
      </c>
      <c r="H180" s="36" t="s">
        <v>1255</v>
      </c>
      <c r="I180" s="35" t="s">
        <v>1379</v>
      </c>
      <c r="J180" s="35" t="s">
        <v>1526</v>
      </c>
    </row>
    <row r="181" spans="1:10" hidden="1" x14ac:dyDescent="0.2">
      <c r="A181" s="35">
        <v>180</v>
      </c>
      <c r="B181" s="35" t="s">
        <v>708</v>
      </c>
      <c r="C181" s="35" t="s">
        <v>507</v>
      </c>
      <c r="D181" s="35" t="s">
        <v>218</v>
      </c>
      <c r="E181" s="35" t="s">
        <v>19</v>
      </c>
      <c r="F181" s="35">
        <v>1</v>
      </c>
      <c r="G181" s="35" t="s">
        <v>1378</v>
      </c>
      <c r="H181" s="36" t="s">
        <v>1255</v>
      </c>
      <c r="I181" s="35" t="s">
        <v>1379</v>
      </c>
      <c r="J181" s="35" t="s">
        <v>1527</v>
      </c>
    </row>
    <row r="182" spans="1:10" hidden="1" x14ac:dyDescent="0.2">
      <c r="A182" s="35">
        <v>181</v>
      </c>
      <c r="B182" s="35" t="s">
        <v>713</v>
      </c>
      <c r="C182" s="35" t="s">
        <v>507</v>
      </c>
      <c r="D182" s="35" t="s">
        <v>218</v>
      </c>
      <c r="E182" s="35" t="s">
        <v>19</v>
      </c>
      <c r="F182" s="35">
        <v>1</v>
      </c>
      <c r="G182" s="35" t="s">
        <v>1378</v>
      </c>
      <c r="H182" s="36" t="s">
        <v>1255</v>
      </c>
      <c r="I182" s="35" t="s">
        <v>1379</v>
      </c>
      <c r="J182" s="35" t="s">
        <v>1528</v>
      </c>
    </row>
    <row r="183" spans="1:10" hidden="1" x14ac:dyDescent="0.2">
      <c r="A183" s="35">
        <v>182</v>
      </c>
      <c r="B183" s="35" t="s">
        <v>718</v>
      </c>
      <c r="C183" s="35" t="s">
        <v>507</v>
      </c>
      <c r="D183" s="35" t="s">
        <v>244</v>
      </c>
      <c r="E183" s="35" t="s">
        <v>19</v>
      </c>
      <c r="F183" s="35">
        <v>1</v>
      </c>
      <c r="G183" s="35" t="s">
        <v>1378</v>
      </c>
      <c r="H183" s="36" t="s">
        <v>1255</v>
      </c>
      <c r="I183" s="35" t="s">
        <v>1379</v>
      </c>
      <c r="J183" s="35" t="s">
        <v>1529</v>
      </c>
    </row>
    <row r="184" spans="1:10" hidden="1" x14ac:dyDescent="0.2">
      <c r="A184" s="35">
        <v>183</v>
      </c>
      <c r="B184" s="35" t="s">
        <v>723</v>
      </c>
      <c r="C184" s="35" t="s">
        <v>507</v>
      </c>
      <c r="D184" s="35" t="s">
        <v>244</v>
      </c>
      <c r="E184" s="35" t="s">
        <v>64</v>
      </c>
      <c r="F184" s="35">
        <v>0</v>
      </c>
      <c r="G184" s="35"/>
      <c r="H184" s="38" t="s">
        <v>1435</v>
      </c>
      <c r="I184" s="35" t="s">
        <v>1436</v>
      </c>
      <c r="J184" s="35"/>
    </row>
    <row r="185" spans="1:10" ht="38.25" hidden="1" customHeight="1" x14ac:dyDescent="0.2">
      <c r="A185" s="35">
        <v>184</v>
      </c>
      <c r="B185" s="35" t="s">
        <v>727</v>
      </c>
      <c r="C185" s="35" t="s">
        <v>507</v>
      </c>
      <c r="D185" s="35" t="s">
        <v>244</v>
      </c>
      <c r="E185" s="35" t="s">
        <v>558</v>
      </c>
      <c r="F185" s="35">
        <v>1</v>
      </c>
      <c r="G185" s="35" t="s">
        <v>1475</v>
      </c>
      <c r="H185" s="36" t="s">
        <v>1255</v>
      </c>
      <c r="I185" s="35" t="s">
        <v>1379</v>
      </c>
      <c r="J185" s="35" t="s">
        <v>1304</v>
      </c>
    </row>
    <row r="186" spans="1:10" ht="38.25" hidden="1" customHeight="1" x14ac:dyDescent="0.2">
      <c r="A186" s="35">
        <v>185</v>
      </c>
      <c r="B186" s="35" t="s">
        <v>731</v>
      </c>
      <c r="C186" s="35" t="s">
        <v>507</v>
      </c>
      <c r="D186" s="35" t="s">
        <v>244</v>
      </c>
      <c r="E186" s="35" t="s">
        <v>554</v>
      </c>
      <c r="F186" s="35">
        <v>1</v>
      </c>
      <c r="G186" s="35" t="s">
        <v>1477</v>
      </c>
      <c r="H186" s="36" t="s">
        <v>1255</v>
      </c>
      <c r="I186" s="35" t="s">
        <v>1379</v>
      </c>
      <c r="J186" s="35" t="s">
        <v>1530</v>
      </c>
    </row>
    <row r="187" spans="1:10" hidden="1" x14ac:dyDescent="0.2">
      <c r="A187" s="35">
        <v>186</v>
      </c>
      <c r="B187" s="35" t="s">
        <v>734</v>
      </c>
      <c r="C187" s="35" t="s">
        <v>507</v>
      </c>
      <c r="D187" s="35" t="s">
        <v>258</v>
      </c>
      <c r="E187" s="35" t="s">
        <v>356</v>
      </c>
      <c r="F187" s="35">
        <v>1</v>
      </c>
      <c r="G187" s="35" t="s">
        <v>1475</v>
      </c>
      <c r="H187" s="36" t="s">
        <v>1255</v>
      </c>
      <c r="I187" s="35" t="s">
        <v>1379</v>
      </c>
      <c r="J187" s="35" t="s">
        <v>1309</v>
      </c>
    </row>
    <row r="188" spans="1:10" ht="38.25" customHeight="1" x14ac:dyDescent="0.2">
      <c r="A188" s="35">
        <v>187</v>
      </c>
      <c r="B188" s="35" t="s">
        <v>739</v>
      </c>
      <c r="C188" s="35" t="s">
        <v>507</v>
      </c>
      <c r="D188" s="35" t="s">
        <v>258</v>
      </c>
      <c r="E188" s="35" t="s">
        <v>19</v>
      </c>
      <c r="F188" s="35">
        <v>2</v>
      </c>
      <c r="G188" s="35" t="s">
        <v>1378</v>
      </c>
      <c r="H188" s="36" t="s">
        <v>1255</v>
      </c>
      <c r="I188" s="35" t="s">
        <v>1379</v>
      </c>
      <c r="J188" s="35" t="s">
        <v>1531</v>
      </c>
    </row>
    <row r="189" spans="1:10" hidden="1" x14ac:dyDescent="0.2">
      <c r="A189" s="35">
        <v>188</v>
      </c>
      <c r="B189" s="35" t="s">
        <v>1532</v>
      </c>
      <c r="C189" s="35" t="s">
        <v>745</v>
      </c>
      <c r="D189" s="35" t="s">
        <v>18</v>
      </c>
      <c r="E189" s="35" t="s">
        <v>19</v>
      </c>
      <c r="F189" s="35">
        <v>3</v>
      </c>
      <c r="G189" s="35" t="s">
        <v>1378</v>
      </c>
      <c r="H189" s="36" t="s">
        <v>1255</v>
      </c>
      <c r="I189" s="35" t="s">
        <v>1379</v>
      </c>
      <c r="J189" s="35" t="s">
        <v>1256</v>
      </c>
    </row>
    <row r="190" spans="1:10" hidden="1" x14ac:dyDescent="0.2">
      <c r="A190" s="35">
        <v>189</v>
      </c>
      <c r="B190" s="35" t="s">
        <v>749</v>
      </c>
      <c r="C190" s="35" t="s">
        <v>745</v>
      </c>
      <c r="D190" s="35" t="s">
        <v>18</v>
      </c>
      <c r="E190" s="35" t="s">
        <v>19</v>
      </c>
      <c r="F190" s="35">
        <v>2</v>
      </c>
      <c r="G190" s="35" t="s">
        <v>1378</v>
      </c>
      <c r="H190" s="36" t="s">
        <v>1255</v>
      </c>
      <c r="I190" s="35" t="s">
        <v>1379</v>
      </c>
      <c r="J190" s="35" t="s">
        <v>1258</v>
      </c>
    </row>
    <row r="191" spans="1:10" hidden="1" x14ac:dyDescent="0.2">
      <c r="A191" s="35">
        <v>190</v>
      </c>
      <c r="B191" s="35" t="s">
        <v>753</v>
      </c>
      <c r="C191" s="35" t="s">
        <v>745</v>
      </c>
      <c r="D191" s="35" t="s">
        <v>18</v>
      </c>
      <c r="E191" s="35" t="s">
        <v>19</v>
      </c>
      <c r="F191" s="35">
        <v>3</v>
      </c>
      <c r="G191" s="35" t="s">
        <v>1378</v>
      </c>
      <c r="H191" s="36" t="s">
        <v>1255</v>
      </c>
      <c r="I191" s="35" t="s">
        <v>1379</v>
      </c>
      <c r="J191" s="35" t="s">
        <v>1533</v>
      </c>
    </row>
    <row r="192" spans="1:10" ht="25.5" hidden="1" customHeight="1" x14ac:dyDescent="0.2">
      <c r="A192" s="35">
        <v>191</v>
      </c>
      <c r="B192" s="35" t="s">
        <v>757</v>
      </c>
      <c r="C192" s="35" t="s">
        <v>745</v>
      </c>
      <c r="D192" s="35" t="s">
        <v>18</v>
      </c>
      <c r="E192" s="35" t="s">
        <v>79</v>
      </c>
      <c r="F192" s="35">
        <v>1</v>
      </c>
      <c r="G192" s="35" t="s">
        <v>1378</v>
      </c>
      <c r="H192" s="37" t="s">
        <v>1381</v>
      </c>
      <c r="I192" s="35" t="s">
        <v>1382</v>
      </c>
      <c r="J192" s="35" t="s">
        <v>1534</v>
      </c>
    </row>
    <row r="193" spans="1:10" hidden="1" x14ac:dyDescent="0.2">
      <c r="A193" s="35">
        <v>192</v>
      </c>
      <c r="B193" s="35" t="s">
        <v>761</v>
      </c>
      <c r="C193" s="35" t="s">
        <v>745</v>
      </c>
      <c r="D193" s="35" t="s">
        <v>18</v>
      </c>
      <c r="E193" s="35" t="s">
        <v>19</v>
      </c>
      <c r="F193" s="35">
        <v>1</v>
      </c>
      <c r="G193" s="35" t="s">
        <v>1378</v>
      </c>
      <c r="H193" s="36" t="s">
        <v>1255</v>
      </c>
      <c r="I193" s="35" t="s">
        <v>1379</v>
      </c>
      <c r="J193" s="35" t="s">
        <v>1259</v>
      </c>
    </row>
    <row r="194" spans="1:10" hidden="1" x14ac:dyDescent="0.2">
      <c r="A194" s="35">
        <v>193</v>
      </c>
      <c r="B194" s="35" t="s">
        <v>766</v>
      </c>
      <c r="C194" s="35" t="s">
        <v>745</v>
      </c>
      <c r="D194" s="35" t="s">
        <v>18</v>
      </c>
      <c r="E194" s="35" t="s">
        <v>19</v>
      </c>
      <c r="F194" s="35">
        <v>1</v>
      </c>
      <c r="G194" s="35" t="s">
        <v>1378</v>
      </c>
      <c r="H194" s="36" t="s">
        <v>1255</v>
      </c>
      <c r="I194" s="35" t="s">
        <v>1379</v>
      </c>
      <c r="J194" s="35" t="s">
        <v>1535</v>
      </c>
    </row>
    <row r="195" spans="1:10" hidden="1" x14ac:dyDescent="0.2">
      <c r="A195" s="35">
        <v>194</v>
      </c>
      <c r="B195" s="35" t="s">
        <v>769</v>
      </c>
      <c r="C195" s="35" t="s">
        <v>745</v>
      </c>
      <c r="D195" s="35" t="s">
        <v>18</v>
      </c>
      <c r="E195" s="35" t="s">
        <v>19</v>
      </c>
      <c r="F195" s="35">
        <v>1</v>
      </c>
      <c r="G195" s="35" t="s">
        <v>1378</v>
      </c>
      <c r="H195" s="36" t="s">
        <v>1255</v>
      </c>
      <c r="I195" s="35" t="s">
        <v>1379</v>
      </c>
      <c r="J195" s="35" t="s">
        <v>1536</v>
      </c>
    </row>
    <row r="196" spans="1:10" hidden="1" x14ac:dyDescent="0.2">
      <c r="A196" s="35">
        <v>195</v>
      </c>
      <c r="B196" s="35" t="s">
        <v>774</v>
      </c>
      <c r="C196" s="35" t="s">
        <v>745</v>
      </c>
      <c r="D196" s="35" t="s">
        <v>18</v>
      </c>
      <c r="E196" s="35" t="s">
        <v>19</v>
      </c>
      <c r="F196" s="35">
        <v>1</v>
      </c>
      <c r="G196" s="35" t="s">
        <v>1378</v>
      </c>
      <c r="H196" s="36" t="s">
        <v>1255</v>
      </c>
      <c r="I196" s="35" t="s">
        <v>1379</v>
      </c>
      <c r="J196" s="35" t="s">
        <v>1537</v>
      </c>
    </row>
    <row r="197" spans="1:10" hidden="1" x14ac:dyDescent="0.2">
      <c r="A197" s="35">
        <v>196</v>
      </c>
      <c r="B197" s="35" t="s">
        <v>777</v>
      </c>
      <c r="C197" s="35" t="s">
        <v>745</v>
      </c>
      <c r="D197" s="35" t="s">
        <v>18</v>
      </c>
      <c r="E197" s="35" t="s">
        <v>245</v>
      </c>
      <c r="F197" s="35">
        <v>0</v>
      </c>
      <c r="G197" s="35"/>
      <c r="H197" s="38" t="s">
        <v>1435</v>
      </c>
      <c r="I197" s="35" t="s">
        <v>1436</v>
      </c>
      <c r="J197" s="35"/>
    </row>
    <row r="198" spans="1:10" hidden="1" x14ac:dyDescent="0.2">
      <c r="A198" s="35">
        <v>197</v>
      </c>
      <c r="B198" s="35" t="s">
        <v>780</v>
      </c>
      <c r="C198" s="35" t="s">
        <v>745</v>
      </c>
      <c r="D198" s="35" t="s">
        <v>18</v>
      </c>
      <c r="E198" s="35" t="s">
        <v>19</v>
      </c>
      <c r="F198" s="35">
        <v>1</v>
      </c>
      <c r="G198" s="35" t="s">
        <v>1378</v>
      </c>
      <c r="H198" s="36" t="s">
        <v>1255</v>
      </c>
      <c r="I198" s="35" t="s">
        <v>1379</v>
      </c>
      <c r="J198" s="35" t="s">
        <v>1538</v>
      </c>
    </row>
    <row r="199" spans="1:10" ht="25.5" hidden="1" customHeight="1" x14ac:dyDescent="0.2">
      <c r="A199" s="35">
        <v>198</v>
      </c>
      <c r="B199" s="35" t="s">
        <v>783</v>
      </c>
      <c r="C199" s="35" t="s">
        <v>745</v>
      </c>
      <c r="D199" s="35" t="s">
        <v>18</v>
      </c>
      <c r="E199" s="35" t="s">
        <v>41</v>
      </c>
      <c r="F199" s="35">
        <v>1</v>
      </c>
      <c r="G199" s="35" t="s">
        <v>1378</v>
      </c>
      <c r="H199" s="37" t="s">
        <v>1381</v>
      </c>
      <c r="I199" s="35" t="s">
        <v>1382</v>
      </c>
      <c r="J199" s="35" t="s">
        <v>1539</v>
      </c>
    </row>
    <row r="200" spans="1:10" ht="25.5" hidden="1" customHeight="1" x14ac:dyDescent="0.2">
      <c r="A200" s="35">
        <v>199</v>
      </c>
      <c r="B200" s="35" t="s">
        <v>788</v>
      </c>
      <c r="C200" s="35" t="s">
        <v>745</v>
      </c>
      <c r="D200" s="35" t="s">
        <v>18</v>
      </c>
      <c r="E200" s="35" t="s">
        <v>79</v>
      </c>
      <c r="F200" s="35">
        <v>1</v>
      </c>
      <c r="G200" s="35" t="s">
        <v>1378</v>
      </c>
      <c r="H200" s="37" t="s">
        <v>1381</v>
      </c>
      <c r="I200" s="35" t="s">
        <v>1382</v>
      </c>
      <c r="J200" s="35" t="s">
        <v>1540</v>
      </c>
    </row>
    <row r="201" spans="1:10" hidden="1" x14ac:dyDescent="0.2">
      <c r="A201" s="35">
        <v>200</v>
      </c>
      <c r="B201" s="35" t="s">
        <v>791</v>
      </c>
      <c r="C201" s="35" t="s">
        <v>745</v>
      </c>
      <c r="D201" s="35" t="s">
        <v>18</v>
      </c>
      <c r="E201" s="35" t="s">
        <v>79</v>
      </c>
      <c r="F201" s="35">
        <v>1</v>
      </c>
      <c r="G201" s="35" t="s">
        <v>1437</v>
      </c>
      <c r="H201" s="36" t="s">
        <v>1255</v>
      </c>
      <c r="I201" s="35" t="s">
        <v>1379</v>
      </c>
      <c r="J201" s="35" t="s">
        <v>1541</v>
      </c>
    </row>
    <row r="202" spans="1:10" ht="25.5" hidden="1" customHeight="1" x14ac:dyDescent="0.2">
      <c r="A202" s="35">
        <v>201</v>
      </c>
      <c r="B202" s="35" t="s">
        <v>795</v>
      </c>
      <c r="C202" s="35" t="s">
        <v>745</v>
      </c>
      <c r="D202" s="35" t="s">
        <v>18</v>
      </c>
      <c r="E202" s="35" t="s">
        <v>41</v>
      </c>
      <c r="F202" s="35">
        <v>1</v>
      </c>
      <c r="G202" s="35" t="s">
        <v>1378</v>
      </c>
      <c r="H202" s="37" t="s">
        <v>1381</v>
      </c>
      <c r="I202" s="35" t="s">
        <v>1382</v>
      </c>
      <c r="J202" s="35" t="s">
        <v>1542</v>
      </c>
    </row>
    <row r="203" spans="1:10" hidden="1" x14ac:dyDescent="0.2">
      <c r="A203" s="35">
        <v>202</v>
      </c>
      <c r="B203" s="35" t="s">
        <v>798</v>
      </c>
      <c r="C203" s="35" t="s">
        <v>745</v>
      </c>
      <c r="D203" s="35" t="s">
        <v>18</v>
      </c>
      <c r="E203" s="35" t="s">
        <v>79</v>
      </c>
      <c r="F203" s="35">
        <v>1</v>
      </c>
      <c r="G203" s="35" t="s">
        <v>1437</v>
      </c>
      <c r="H203" s="36" t="s">
        <v>1255</v>
      </c>
      <c r="I203" s="35" t="s">
        <v>1379</v>
      </c>
      <c r="J203" s="35" t="s">
        <v>1543</v>
      </c>
    </row>
    <row r="204" spans="1:10" hidden="1" x14ac:dyDescent="0.2">
      <c r="A204" s="35">
        <v>203</v>
      </c>
      <c r="B204" s="35" t="s">
        <v>801</v>
      </c>
      <c r="C204" s="35" t="s">
        <v>745</v>
      </c>
      <c r="D204" s="35" t="s">
        <v>18</v>
      </c>
      <c r="E204" s="35" t="s">
        <v>19</v>
      </c>
      <c r="F204" s="35">
        <v>1</v>
      </c>
      <c r="G204" s="35" t="s">
        <v>1378</v>
      </c>
      <c r="H204" s="36" t="s">
        <v>1255</v>
      </c>
      <c r="I204" s="35" t="s">
        <v>1379</v>
      </c>
      <c r="J204" s="35" t="s">
        <v>1544</v>
      </c>
    </row>
    <row r="205" spans="1:10" hidden="1" x14ac:dyDescent="0.2">
      <c r="A205" s="35">
        <v>204</v>
      </c>
      <c r="B205" s="35" t="s">
        <v>805</v>
      </c>
      <c r="C205" s="35" t="s">
        <v>745</v>
      </c>
      <c r="D205" s="35" t="s">
        <v>18</v>
      </c>
      <c r="E205" s="35" t="s">
        <v>19</v>
      </c>
      <c r="F205" s="35">
        <v>1</v>
      </c>
      <c r="G205" s="35" t="s">
        <v>1378</v>
      </c>
      <c r="H205" s="36" t="s">
        <v>1255</v>
      </c>
      <c r="I205" s="35" t="s">
        <v>1379</v>
      </c>
      <c r="J205" s="35" t="s">
        <v>1545</v>
      </c>
    </row>
    <row r="206" spans="1:10" hidden="1" x14ac:dyDescent="0.2">
      <c r="A206" s="35">
        <v>205</v>
      </c>
      <c r="B206" s="35" t="s">
        <v>808</v>
      </c>
      <c r="C206" s="35" t="s">
        <v>745</v>
      </c>
      <c r="D206" s="35" t="s">
        <v>18</v>
      </c>
      <c r="E206" s="35" t="s">
        <v>19</v>
      </c>
      <c r="F206" s="35">
        <v>1</v>
      </c>
      <c r="G206" s="35" t="s">
        <v>1378</v>
      </c>
      <c r="H206" s="36" t="s">
        <v>1255</v>
      </c>
      <c r="I206" s="35" t="s">
        <v>1379</v>
      </c>
      <c r="J206" s="35" t="s">
        <v>1546</v>
      </c>
    </row>
    <row r="207" spans="1:10" hidden="1" x14ac:dyDescent="0.2">
      <c r="A207" s="35">
        <v>206</v>
      </c>
      <c r="B207" s="35" t="s">
        <v>811</v>
      </c>
      <c r="C207" s="35" t="s">
        <v>745</v>
      </c>
      <c r="D207" s="35" t="s">
        <v>18</v>
      </c>
      <c r="E207" s="35" t="s">
        <v>212</v>
      </c>
      <c r="F207" s="35">
        <v>1</v>
      </c>
      <c r="G207" s="35" t="s">
        <v>1378</v>
      </c>
      <c r="H207" s="36" t="s">
        <v>1255</v>
      </c>
      <c r="I207" s="35" t="s">
        <v>1379</v>
      </c>
      <c r="J207" s="35" t="s">
        <v>1547</v>
      </c>
    </row>
    <row r="208" spans="1:10" hidden="1" x14ac:dyDescent="0.2">
      <c r="A208" s="35">
        <v>207</v>
      </c>
      <c r="B208" s="35" t="s">
        <v>814</v>
      </c>
      <c r="C208" s="35" t="s">
        <v>745</v>
      </c>
      <c r="D208" s="35" t="s">
        <v>18</v>
      </c>
      <c r="E208" s="35" t="s">
        <v>79</v>
      </c>
      <c r="F208" s="35">
        <v>1</v>
      </c>
      <c r="G208" s="35" t="s">
        <v>1437</v>
      </c>
      <c r="H208" s="36" t="s">
        <v>1255</v>
      </c>
      <c r="I208" s="35" t="s">
        <v>1379</v>
      </c>
      <c r="J208" s="35" t="s">
        <v>1548</v>
      </c>
    </row>
    <row r="209" spans="1:10" hidden="1" x14ac:dyDescent="0.2">
      <c r="A209" s="35">
        <v>208</v>
      </c>
      <c r="B209" s="35" t="s">
        <v>817</v>
      </c>
      <c r="C209" s="35" t="s">
        <v>745</v>
      </c>
      <c r="D209" s="35" t="s">
        <v>18</v>
      </c>
      <c r="E209" s="35" t="s">
        <v>19</v>
      </c>
      <c r="F209" s="35">
        <v>1</v>
      </c>
      <c r="G209" s="35" t="s">
        <v>1378</v>
      </c>
      <c r="H209" s="36" t="s">
        <v>1255</v>
      </c>
      <c r="I209" s="35" t="s">
        <v>1379</v>
      </c>
      <c r="J209" s="35" t="s">
        <v>1549</v>
      </c>
    </row>
    <row r="210" spans="1:10" hidden="1" x14ac:dyDescent="0.2">
      <c r="A210" s="35">
        <v>209</v>
      </c>
      <c r="B210" s="35" t="s">
        <v>820</v>
      </c>
      <c r="C210" s="35" t="s">
        <v>745</v>
      </c>
      <c r="D210" s="35" t="s">
        <v>18</v>
      </c>
      <c r="E210" s="35" t="s">
        <v>19</v>
      </c>
      <c r="F210" s="35">
        <v>1</v>
      </c>
      <c r="G210" s="35" t="s">
        <v>1378</v>
      </c>
      <c r="H210" s="36" t="s">
        <v>1255</v>
      </c>
      <c r="I210" s="35" t="s">
        <v>1379</v>
      </c>
      <c r="J210" s="35" t="s">
        <v>1550</v>
      </c>
    </row>
    <row r="211" spans="1:10" hidden="1" x14ac:dyDescent="0.2">
      <c r="A211" s="35">
        <v>210</v>
      </c>
      <c r="B211" s="35" t="s">
        <v>823</v>
      </c>
      <c r="C211" s="35" t="s">
        <v>745</v>
      </c>
      <c r="D211" s="35" t="s">
        <v>18</v>
      </c>
      <c r="E211" s="35" t="s">
        <v>19</v>
      </c>
      <c r="F211" s="35">
        <v>1</v>
      </c>
      <c r="G211" s="35" t="s">
        <v>1378</v>
      </c>
      <c r="H211" s="36" t="s">
        <v>1255</v>
      </c>
      <c r="I211" s="35" t="s">
        <v>1379</v>
      </c>
      <c r="J211" s="35" t="s">
        <v>1551</v>
      </c>
    </row>
    <row r="212" spans="1:10" ht="25.5" hidden="1" customHeight="1" x14ac:dyDescent="0.2">
      <c r="A212" s="35">
        <v>211</v>
      </c>
      <c r="B212" s="35" t="s">
        <v>826</v>
      </c>
      <c r="C212" s="35" t="s">
        <v>745</v>
      </c>
      <c r="D212" s="35" t="s">
        <v>18</v>
      </c>
      <c r="E212" s="35" t="s">
        <v>41</v>
      </c>
      <c r="F212" s="35">
        <v>1</v>
      </c>
      <c r="G212" s="35" t="s">
        <v>1378</v>
      </c>
      <c r="H212" s="37" t="s">
        <v>1381</v>
      </c>
      <c r="I212" s="35" t="s">
        <v>1382</v>
      </c>
      <c r="J212" s="35" t="s">
        <v>1552</v>
      </c>
    </row>
    <row r="213" spans="1:10" hidden="1" x14ac:dyDescent="0.2">
      <c r="A213" s="35">
        <v>212</v>
      </c>
      <c r="B213" s="35" t="s">
        <v>829</v>
      </c>
      <c r="C213" s="35" t="s">
        <v>745</v>
      </c>
      <c r="D213" s="35" t="s">
        <v>18</v>
      </c>
      <c r="E213" s="35" t="s">
        <v>19</v>
      </c>
      <c r="F213" s="35">
        <v>1</v>
      </c>
      <c r="G213" s="35" t="s">
        <v>1378</v>
      </c>
      <c r="H213" s="36" t="s">
        <v>1255</v>
      </c>
      <c r="I213" s="35" t="s">
        <v>1379</v>
      </c>
      <c r="J213" s="35" t="s">
        <v>1553</v>
      </c>
    </row>
    <row r="214" spans="1:10" hidden="1" x14ac:dyDescent="0.2">
      <c r="A214" s="35">
        <v>213</v>
      </c>
      <c r="B214" s="35" t="s">
        <v>832</v>
      </c>
      <c r="C214" s="35" t="s">
        <v>745</v>
      </c>
      <c r="D214" s="35" t="s">
        <v>18</v>
      </c>
      <c r="E214" s="35" t="s">
        <v>19</v>
      </c>
      <c r="F214" s="35">
        <v>1</v>
      </c>
      <c r="G214" s="35" t="s">
        <v>1378</v>
      </c>
      <c r="H214" s="36" t="s">
        <v>1255</v>
      </c>
      <c r="I214" s="35" t="s">
        <v>1379</v>
      </c>
      <c r="J214" s="35" t="s">
        <v>1554</v>
      </c>
    </row>
    <row r="215" spans="1:10" hidden="1" x14ac:dyDescent="0.2">
      <c r="A215" s="35">
        <v>214</v>
      </c>
      <c r="B215" s="35" t="s">
        <v>835</v>
      </c>
      <c r="C215" s="35" t="s">
        <v>745</v>
      </c>
      <c r="D215" s="35" t="s">
        <v>18</v>
      </c>
      <c r="E215" s="35" t="s">
        <v>19</v>
      </c>
      <c r="F215" s="35">
        <v>1</v>
      </c>
      <c r="G215" s="35" t="s">
        <v>1378</v>
      </c>
      <c r="H215" s="36" t="s">
        <v>1255</v>
      </c>
      <c r="I215" s="35" t="s">
        <v>1379</v>
      </c>
      <c r="J215" s="35" t="s">
        <v>1555</v>
      </c>
    </row>
    <row r="216" spans="1:10" hidden="1" x14ac:dyDescent="0.2">
      <c r="A216" s="35">
        <v>215</v>
      </c>
      <c r="B216" s="35" t="s">
        <v>838</v>
      </c>
      <c r="C216" s="35" t="s">
        <v>745</v>
      </c>
      <c r="D216" s="35" t="s">
        <v>18</v>
      </c>
      <c r="E216" s="35" t="s">
        <v>19</v>
      </c>
      <c r="F216" s="35">
        <v>1</v>
      </c>
      <c r="G216" s="35" t="s">
        <v>1378</v>
      </c>
      <c r="H216" s="36" t="s">
        <v>1255</v>
      </c>
      <c r="I216" s="35" t="s">
        <v>1379</v>
      </c>
      <c r="J216" s="35" t="s">
        <v>1556</v>
      </c>
    </row>
    <row r="217" spans="1:10" hidden="1" x14ac:dyDescent="0.2">
      <c r="A217" s="35">
        <v>216</v>
      </c>
      <c r="B217" s="35" t="s">
        <v>841</v>
      </c>
      <c r="C217" s="35" t="s">
        <v>745</v>
      </c>
      <c r="D217" s="35" t="s">
        <v>18</v>
      </c>
      <c r="E217" s="35" t="s">
        <v>19</v>
      </c>
      <c r="F217" s="35">
        <v>1</v>
      </c>
      <c r="G217" s="35" t="s">
        <v>1378</v>
      </c>
      <c r="H217" s="36" t="s">
        <v>1255</v>
      </c>
      <c r="I217" s="35" t="s">
        <v>1379</v>
      </c>
      <c r="J217" s="35" t="s">
        <v>1557</v>
      </c>
    </row>
    <row r="218" spans="1:10" hidden="1" x14ac:dyDescent="0.2">
      <c r="A218" s="35">
        <v>217</v>
      </c>
      <c r="B218" s="35" t="s">
        <v>844</v>
      </c>
      <c r="C218" s="35" t="s">
        <v>745</v>
      </c>
      <c r="D218" s="35" t="s">
        <v>18</v>
      </c>
      <c r="E218" s="35" t="s">
        <v>41</v>
      </c>
      <c r="F218" s="35">
        <v>1</v>
      </c>
      <c r="G218" s="35" t="s">
        <v>1397</v>
      </c>
      <c r="H218" s="36" t="s">
        <v>1255</v>
      </c>
      <c r="I218" s="35" t="s">
        <v>1391</v>
      </c>
      <c r="J218" s="35" t="s">
        <v>1260</v>
      </c>
    </row>
    <row r="219" spans="1:10" ht="25.5" hidden="1" customHeight="1" x14ac:dyDescent="0.2">
      <c r="A219" s="35">
        <v>218</v>
      </c>
      <c r="B219" s="35" t="s">
        <v>847</v>
      </c>
      <c r="C219" s="35" t="s">
        <v>745</v>
      </c>
      <c r="D219" s="35" t="s">
        <v>18</v>
      </c>
      <c r="E219" s="35" t="s">
        <v>41</v>
      </c>
      <c r="F219" s="35">
        <v>1</v>
      </c>
      <c r="G219" s="35" t="s">
        <v>1378</v>
      </c>
      <c r="H219" s="37" t="s">
        <v>1381</v>
      </c>
      <c r="I219" s="35" t="s">
        <v>1382</v>
      </c>
      <c r="J219" s="35" t="s">
        <v>1558</v>
      </c>
    </row>
    <row r="220" spans="1:10" hidden="1" x14ac:dyDescent="0.2">
      <c r="A220" s="35">
        <v>219</v>
      </c>
      <c r="B220" s="35" t="s">
        <v>850</v>
      </c>
      <c r="C220" s="35" t="s">
        <v>745</v>
      </c>
      <c r="D220" s="35" t="s">
        <v>18</v>
      </c>
      <c r="E220" s="35" t="s">
        <v>79</v>
      </c>
      <c r="F220" s="35">
        <v>1</v>
      </c>
      <c r="G220" s="35" t="s">
        <v>1559</v>
      </c>
      <c r="H220" s="36" t="s">
        <v>1255</v>
      </c>
      <c r="I220" s="35" t="s">
        <v>1379</v>
      </c>
      <c r="J220" s="35" t="s">
        <v>1560</v>
      </c>
    </row>
    <row r="221" spans="1:10" hidden="1" x14ac:dyDescent="0.2">
      <c r="A221" s="35">
        <v>220</v>
      </c>
      <c r="B221" s="35" t="s">
        <v>853</v>
      </c>
      <c r="C221" s="35" t="s">
        <v>745</v>
      </c>
      <c r="D221" s="35" t="s">
        <v>163</v>
      </c>
      <c r="E221" s="35" t="s">
        <v>79</v>
      </c>
      <c r="F221" s="35">
        <v>1</v>
      </c>
      <c r="G221" s="35" t="s">
        <v>1378</v>
      </c>
      <c r="H221" s="36" t="s">
        <v>1255</v>
      </c>
      <c r="I221" s="35" t="s">
        <v>1391</v>
      </c>
      <c r="J221" s="35" t="s">
        <v>1561</v>
      </c>
    </row>
    <row r="222" spans="1:10" hidden="1" x14ac:dyDescent="0.2">
      <c r="A222" s="35">
        <v>221</v>
      </c>
      <c r="B222" s="35" t="s">
        <v>857</v>
      </c>
      <c r="C222" s="35" t="s">
        <v>745</v>
      </c>
      <c r="D222" s="35" t="s">
        <v>163</v>
      </c>
      <c r="E222" s="35" t="s">
        <v>19</v>
      </c>
      <c r="F222" s="35">
        <v>1</v>
      </c>
      <c r="G222" s="35" t="s">
        <v>1378</v>
      </c>
      <c r="H222" s="36" t="s">
        <v>1255</v>
      </c>
      <c r="I222" s="35" t="s">
        <v>1379</v>
      </c>
      <c r="J222" s="35" t="s">
        <v>1278</v>
      </c>
    </row>
    <row r="223" spans="1:10" hidden="1" x14ac:dyDescent="0.2">
      <c r="A223" s="35">
        <v>222</v>
      </c>
      <c r="B223" s="35" t="s">
        <v>861</v>
      </c>
      <c r="C223" s="35" t="s">
        <v>745</v>
      </c>
      <c r="D223" s="35" t="s">
        <v>163</v>
      </c>
      <c r="E223" s="35" t="s">
        <v>19</v>
      </c>
      <c r="F223" s="35">
        <v>1</v>
      </c>
      <c r="G223" s="35" t="s">
        <v>1378</v>
      </c>
      <c r="H223" s="36" t="s">
        <v>1255</v>
      </c>
      <c r="I223" s="35" t="s">
        <v>1379</v>
      </c>
      <c r="J223" s="35" t="s">
        <v>1562</v>
      </c>
    </row>
    <row r="224" spans="1:10" hidden="1" x14ac:dyDescent="0.2">
      <c r="A224" s="35">
        <v>223</v>
      </c>
      <c r="B224" s="35" t="s">
        <v>865</v>
      </c>
      <c r="C224" s="35" t="s">
        <v>745</v>
      </c>
      <c r="D224" s="35" t="s">
        <v>163</v>
      </c>
      <c r="E224" s="35" t="s">
        <v>19</v>
      </c>
      <c r="F224" s="35">
        <v>1</v>
      </c>
      <c r="G224" s="35" t="s">
        <v>1378</v>
      </c>
      <c r="H224" s="36" t="s">
        <v>1255</v>
      </c>
      <c r="I224" s="35" t="s">
        <v>1379</v>
      </c>
      <c r="J224" s="35" t="s">
        <v>1563</v>
      </c>
    </row>
    <row r="225" spans="1:10" hidden="1" x14ac:dyDescent="0.2">
      <c r="A225" s="35">
        <v>224</v>
      </c>
      <c r="B225" s="35" t="s">
        <v>868</v>
      </c>
      <c r="C225" s="35" t="s">
        <v>745</v>
      </c>
      <c r="D225" s="35" t="s">
        <v>163</v>
      </c>
      <c r="E225" s="35" t="s">
        <v>412</v>
      </c>
      <c r="F225" s="35">
        <v>1</v>
      </c>
      <c r="G225" s="35" t="s">
        <v>1564</v>
      </c>
      <c r="H225" s="36" t="s">
        <v>1255</v>
      </c>
      <c r="I225" s="35" t="s">
        <v>1379</v>
      </c>
      <c r="J225" s="35" t="s">
        <v>1565</v>
      </c>
    </row>
    <row r="226" spans="1:10" ht="25.5" hidden="1" customHeight="1" x14ac:dyDescent="0.2">
      <c r="A226" s="35">
        <v>225</v>
      </c>
      <c r="B226" s="35" t="s">
        <v>872</v>
      </c>
      <c r="C226" s="35" t="s">
        <v>745</v>
      </c>
      <c r="D226" s="35" t="s">
        <v>163</v>
      </c>
      <c r="E226" s="35" t="s">
        <v>79</v>
      </c>
      <c r="F226" s="35">
        <v>1</v>
      </c>
      <c r="G226" s="35" t="s">
        <v>1509</v>
      </c>
      <c r="H226" s="37" t="s">
        <v>1381</v>
      </c>
      <c r="I226" s="35" t="s">
        <v>1382</v>
      </c>
      <c r="J226" s="35" t="s">
        <v>1566</v>
      </c>
    </row>
    <row r="227" spans="1:10" hidden="1" x14ac:dyDescent="0.2">
      <c r="A227" s="35">
        <v>226</v>
      </c>
      <c r="B227" s="35" t="s">
        <v>875</v>
      </c>
      <c r="C227" s="35" t="s">
        <v>745</v>
      </c>
      <c r="D227" s="35" t="s">
        <v>163</v>
      </c>
      <c r="E227" s="35" t="s">
        <v>412</v>
      </c>
      <c r="F227" s="35">
        <v>1</v>
      </c>
      <c r="G227" s="35" t="s">
        <v>1564</v>
      </c>
      <c r="H227" s="36" t="s">
        <v>1255</v>
      </c>
      <c r="I227" s="35" t="s">
        <v>1379</v>
      </c>
      <c r="J227" s="35" t="s">
        <v>1567</v>
      </c>
    </row>
    <row r="228" spans="1:10" hidden="1" x14ac:dyDescent="0.2">
      <c r="A228" s="35">
        <v>227</v>
      </c>
      <c r="B228" s="35" t="s">
        <v>880</v>
      </c>
      <c r="C228" s="35" t="s">
        <v>745</v>
      </c>
      <c r="D228" s="35" t="s">
        <v>163</v>
      </c>
      <c r="E228" s="35" t="s">
        <v>41</v>
      </c>
      <c r="F228" s="35">
        <v>1</v>
      </c>
      <c r="G228" s="35" t="s">
        <v>1509</v>
      </c>
      <c r="H228" s="36" t="s">
        <v>1255</v>
      </c>
      <c r="I228" s="35" t="s">
        <v>1379</v>
      </c>
      <c r="J228" s="35" t="s">
        <v>1568</v>
      </c>
    </row>
    <row r="229" spans="1:10" hidden="1" x14ac:dyDescent="0.2">
      <c r="A229" s="35">
        <v>228</v>
      </c>
      <c r="B229" s="35" t="s">
        <v>885</v>
      </c>
      <c r="C229" s="35" t="s">
        <v>745</v>
      </c>
      <c r="D229" s="35" t="s">
        <v>163</v>
      </c>
      <c r="E229" s="35" t="s">
        <v>356</v>
      </c>
      <c r="F229" s="35">
        <v>1</v>
      </c>
      <c r="G229" s="35" t="s">
        <v>1473</v>
      </c>
      <c r="H229" s="36" t="s">
        <v>1255</v>
      </c>
      <c r="I229" s="35" t="s">
        <v>1379</v>
      </c>
      <c r="J229" s="35" t="s">
        <v>1279</v>
      </c>
    </row>
    <row r="230" spans="1:10" hidden="1" x14ac:dyDescent="0.2">
      <c r="A230" s="35">
        <v>229</v>
      </c>
      <c r="B230" s="35" t="s">
        <v>888</v>
      </c>
      <c r="C230" s="35" t="s">
        <v>745</v>
      </c>
      <c r="D230" s="35" t="s">
        <v>163</v>
      </c>
      <c r="E230" s="35" t="s">
        <v>212</v>
      </c>
      <c r="F230" s="35">
        <v>1</v>
      </c>
      <c r="G230" s="35" t="s">
        <v>1414</v>
      </c>
      <c r="H230" s="36" t="s">
        <v>1255</v>
      </c>
      <c r="I230" s="35" t="s">
        <v>1379</v>
      </c>
      <c r="J230" s="35" t="s">
        <v>1569</v>
      </c>
    </row>
    <row r="231" spans="1:10" ht="25.5" hidden="1" customHeight="1" x14ac:dyDescent="0.2">
      <c r="A231" s="35">
        <v>230</v>
      </c>
      <c r="B231" s="35" t="s">
        <v>892</v>
      </c>
      <c r="C231" s="35" t="s">
        <v>745</v>
      </c>
      <c r="D231" s="35" t="s">
        <v>163</v>
      </c>
      <c r="E231" s="35" t="s">
        <v>41</v>
      </c>
      <c r="F231" s="35">
        <v>1</v>
      </c>
      <c r="G231" s="35" t="s">
        <v>1414</v>
      </c>
      <c r="H231" s="37" t="s">
        <v>1381</v>
      </c>
      <c r="I231" s="35" t="s">
        <v>1382</v>
      </c>
      <c r="J231" s="35" t="s">
        <v>1570</v>
      </c>
    </row>
    <row r="232" spans="1:10" hidden="1" x14ac:dyDescent="0.2">
      <c r="A232" s="35">
        <v>231</v>
      </c>
      <c r="B232" s="35" t="s">
        <v>895</v>
      </c>
      <c r="C232" s="35" t="s">
        <v>745</v>
      </c>
      <c r="D232" s="35" t="s">
        <v>163</v>
      </c>
      <c r="E232" s="35" t="s">
        <v>41</v>
      </c>
      <c r="F232" s="35">
        <v>1</v>
      </c>
      <c r="G232" s="35" t="s">
        <v>1571</v>
      </c>
      <c r="H232" s="36" t="s">
        <v>1255</v>
      </c>
      <c r="I232" s="35" t="s">
        <v>1379</v>
      </c>
      <c r="J232" s="35" t="s">
        <v>1572</v>
      </c>
    </row>
    <row r="233" spans="1:10" ht="25.5" hidden="1" customHeight="1" x14ac:dyDescent="0.2">
      <c r="A233" s="35">
        <v>232</v>
      </c>
      <c r="B233" s="35" t="s">
        <v>898</v>
      </c>
      <c r="C233" s="35" t="s">
        <v>745</v>
      </c>
      <c r="D233" s="35" t="s">
        <v>163</v>
      </c>
      <c r="E233" s="35" t="s">
        <v>79</v>
      </c>
      <c r="F233" s="35">
        <v>1</v>
      </c>
      <c r="G233" s="35" t="s">
        <v>1509</v>
      </c>
      <c r="H233" s="37" t="s">
        <v>1381</v>
      </c>
      <c r="I233" s="35" t="s">
        <v>1382</v>
      </c>
      <c r="J233" s="35" t="s">
        <v>1573</v>
      </c>
    </row>
    <row r="234" spans="1:10" ht="25.5" hidden="1" customHeight="1" x14ac:dyDescent="0.2">
      <c r="A234" s="35">
        <v>233</v>
      </c>
      <c r="B234" s="35" t="s">
        <v>901</v>
      </c>
      <c r="C234" s="35" t="s">
        <v>745</v>
      </c>
      <c r="D234" s="35" t="s">
        <v>163</v>
      </c>
      <c r="E234" s="35" t="s">
        <v>41</v>
      </c>
      <c r="F234" s="35">
        <v>1</v>
      </c>
      <c r="G234" s="35" t="s">
        <v>1574</v>
      </c>
      <c r="H234" s="37" t="s">
        <v>1381</v>
      </c>
      <c r="I234" s="35" t="s">
        <v>1382</v>
      </c>
      <c r="J234" s="35" t="s">
        <v>1575</v>
      </c>
    </row>
    <row r="235" spans="1:10" hidden="1" x14ac:dyDescent="0.2">
      <c r="A235" s="35">
        <v>234</v>
      </c>
      <c r="B235" s="35" t="s">
        <v>904</v>
      </c>
      <c r="C235" s="35" t="s">
        <v>745</v>
      </c>
      <c r="D235" s="35" t="s">
        <v>163</v>
      </c>
      <c r="E235" s="35" t="s">
        <v>245</v>
      </c>
      <c r="F235" s="35">
        <v>1</v>
      </c>
      <c r="G235" s="35" t="s">
        <v>1477</v>
      </c>
      <c r="H235" s="36" t="s">
        <v>1255</v>
      </c>
      <c r="I235" s="35" t="s">
        <v>1379</v>
      </c>
      <c r="J235" s="35" t="s">
        <v>1280</v>
      </c>
    </row>
    <row r="236" spans="1:10" hidden="1" x14ac:dyDescent="0.2">
      <c r="A236" s="35">
        <v>235</v>
      </c>
      <c r="B236" s="35" t="s">
        <v>907</v>
      </c>
      <c r="C236" s="35" t="s">
        <v>745</v>
      </c>
      <c r="D236" s="35" t="s">
        <v>163</v>
      </c>
      <c r="E236" s="35" t="s">
        <v>41</v>
      </c>
      <c r="F236" s="35">
        <v>1</v>
      </c>
      <c r="G236" s="35" t="s">
        <v>1509</v>
      </c>
      <c r="H236" s="36" t="s">
        <v>1255</v>
      </c>
      <c r="I236" s="35" t="s">
        <v>1379</v>
      </c>
      <c r="J236" s="35" t="s">
        <v>1576</v>
      </c>
    </row>
    <row r="237" spans="1:10" hidden="1" x14ac:dyDescent="0.2">
      <c r="A237" s="35">
        <v>236</v>
      </c>
      <c r="B237" s="35" t="s">
        <v>911</v>
      </c>
      <c r="C237" s="35" t="s">
        <v>745</v>
      </c>
      <c r="D237" s="35" t="s">
        <v>218</v>
      </c>
      <c r="E237" s="35" t="s">
        <v>19</v>
      </c>
      <c r="F237" s="35">
        <v>1</v>
      </c>
      <c r="G237" s="35" t="s">
        <v>1378</v>
      </c>
      <c r="H237" s="36" t="s">
        <v>1255</v>
      </c>
      <c r="I237" s="35" t="s">
        <v>1379</v>
      </c>
      <c r="J237" s="35" t="s">
        <v>1294</v>
      </c>
    </row>
    <row r="238" spans="1:10" hidden="1" x14ac:dyDescent="0.2">
      <c r="A238" s="35">
        <v>237</v>
      </c>
      <c r="B238" s="35" t="s">
        <v>916</v>
      </c>
      <c r="C238" s="35" t="s">
        <v>745</v>
      </c>
      <c r="D238" s="35" t="s">
        <v>218</v>
      </c>
      <c r="E238" s="35" t="s">
        <v>19</v>
      </c>
      <c r="F238" s="35">
        <v>1</v>
      </c>
      <c r="G238" s="35" t="s">
        <v>1378</v>
      </c>
      <c r="H238" s="36" t="s">
        <v>1255</v>
      </c>
      <c r="I238" s="35" t="s">
        <v>1379</v>
      </c>
      <c r="J238" s="35" t="s">
        <v>1577</v>
      </c>
    </row>
    <row r="239" spans="1:10" hidden="1" x14ac:dyDescent="0.2">
      <c r="A239" s="35">
        <v>238</v>
      </c>
      <c r="B239" s="35" t="s">
        <v>919</v>
      </c>
      <c r="C239" s="35" t="s">
        <v>745</v>
      </c>
      <c r="D239" s="35" t="s">
        <v>218</v>
      </c>
      <c r="E239" s="35" t="s">
        <v>356</v>
      </c>
      <c r="F239" s="35">
        <v>1</v>
      </c>
      <c r="G239" s="35" t="s">
        <v>1460</v>
      </c>
      <c r="H239" s="36" t="s">
        <v>1255</v>
      </c>
      <c r="I239" s="35" t="s">
        <v>1379</v>
      </c>
      <c r="J239" s="35" t="s">
        <v>1578</v>
      </c>
    </row>
    <row r="240" spans="1:10" hidden="1" x14ac:dyDescent="0.2">
      <c r="A240" s="35">
        <v>239</v>
      </c>
      <c r="B240" s="35" t="s">
        <v>924</v>
      </c>
      <c r="C240" s="35" t="s">
        <v>745</v>
      </c>
      <c r="D240" s="35" t="s">
        <v>218</v>
      </c>
      <c r="E240" s="35" t="s">
        <v>412</v>
      </c>
      <c r="F240" s="35">
        <v>1</v>
      </c>
      <c r="G240" s="35" t="s">
        <v>1564</v>
      </c>
      <c r="H240" s="36" t="s">
        <v>1255</v>
      </c>
      <c r="I240" s="35" t="s">
        <v>1379</v>
      </c>
      <c r="J240" s="35" t="s">
        <v>1295</v>
      </c>
    </row>
    <row r="241" spans="1:10" hidden="1" x14ac:dyDescent="0.2">
      <c r="A241" s="35">
        <v>240</v>
      </c>
      <c r="B241" s="35" t="s">
        <v>928</v>
      </c>
      <c r="C241" s="35" t="s">
        <v>745</v>
      </c>
      <c r="D241" s="35" t="s">
        <v>218</v>
      </c>
      <c r="E241" s="35" t="s">
        <v>19</v>
      </c>
      <c r="F241" s="35">
        <v>1</v>
      </c>
      <c r="G241" s="35" t="s">
        <v>1378</v>
      </c>
      <c r="H241" s="36" t="s">
        <v>1255</v>
      </c>
      <c r="I241" s="35" t="s">
        <v>1379</v>
      </c>
      <c r="J241" s="35" t="s">
        <v>1579</v>
      </c>
    </row>
    <row r="242" spans="1:10" hidden="1" x14ac:dyDescent="0.2">
      <c r="A242" s="35">
        <v>241</v>
      </c>
      <c r="B242" s="35" t="s">
        <v>931</v>
      </c>
      <c r="C242" s="35" t="s">
        <v>745</v>
      </c>
      <c r="D242" s="35" t="s">
        <v>218</v>
      </c>
      <c r="E242" s="35" t="s">
        <v>19</v>
      </c>
      <c r="F242" s="35">
        <v>1</v>
      </c>
      <c r="G242" s="35" t="s">
        <v>1378</v>
      </c>
      <c r="H242" s="36" t="s">
        <v>1255</v>
      </c>
      <c r="I242" s="35" t="s">
        <v>1379</v>
      </c>
      <c r="J242" s="35" t="s">
        <v>1580</v>
      </c>
    </row>
    <row r="243" spans="1:10" hidden="1" x14ac:dyDescent="0.2">
      <c r="A243" s="35">
        <v>242</v>
      </c>
      <c r="B243" s="35" t="s">
        <v>935</v>
      </c>
      <c r="C243" s="35" t="s">
        <v>745</v>
      </c>
      <c r="D243" s="35" t="s">
        <v>218</v>
      </c>
      <c r="E243" s="35" t="s">
        <v>245</v>
      </c>
      <c r="F243" s="35">
        <v>1</v>
      </c>
      <c r="G243" s="35" t="s">
        <v>1574</v>
      </c>
      <c r="H243" s="36" t="s">
        <v>1255</v>
      </c>
      <c r="I243" s="35" t="s">
        <v>1379</v>
      </c>
      <c r="J243" s="35" t="s">
        <v>1581</v>
      </c>
    </row>
    <row r="244" spans="1:10" hidden="1" x14ac:dyDescent="0.2">
      <c r="A244" s="35">
        <v>243</v>
      </c>
      <c r="B244" s="35" t="s">
        <v>938</v>
      </c>
      <c r="C244" s="35" t="s">
        <v>745</v>
      </c>
      <c r="D244" s="35" t="s">
        <v>218</v>
      </c>
      <c r="E244" s="35" t="s">
        <v>356</v>
      </c>
      <c r="F244" s="35">
        <v>1</v>
      </c>
      <c r="G244" s="35" t="s">
        <v>1483</v>
      </c>
      <c r="H244" s="36" t="s">
        <v>1255</v>
      </c>
      <c r="I244" s="35" t="s">
        <v>1379</v>
      </c>
      <c r="J244" s="35" t="s">
        <v>1582</v>
      </c>
    </row>
    <row r="245" spans="1:10" hidden="1" x14ac:dyDescent="0.2">
      <c r="A245" s="35">
        <v>244</v>
      </c>
      <c r="B245" s="35" t="s">
        <v>943</v>
      </c>
      <c r="C245" s="35" t="s">
        <v>745</v>
      </c>
      <c r="D245" s="35" t="s">
        <v>244</v>
      </c>
      <c r="E245" s="35" t="s">
        <v>40</v>
      </c>
      <c r="F245" s="35">
        <v>2</v>
      </c>
      <c r="G245" s="35" t="s">
        <v>1583</v>
      </c>
      <c r="H245" s="36" t="s">
        <v>1255</v>
      </c>
      <c r="I245" s="35" t="s">
        <v>1379</v>
      </c>
      <c r="J245" s="35" t="s">
        <v>1305</v>
      </c>
    </row>
    <row r="246" spans="1:10" hidden="1" x14ac:dyDescent="0.2">
      <c r="A246" s="35">
        <v>245</v>
      </c>
      <c r="B246" s="35" t="s">
        <v>948</v>
      </c>
      <c r="C246" s="35" t="s">
        <v>745</v>
      </c>
      <c r="D246" s="35" t="s">
        <v>244</v>
      </c>
      <c r="E246" s="35" t="s">
        <v>19</v>
      </c>
      <c r="F246" s="35">
        <v>2</v>
      </c>
      <c r="G246" s="35" t="s">
        <v>1378</v>
      </c>
      <c r="H246" s="36" t="s">
        <v>1255</v>
      </c>
      <c r="I246" s="35" t="s">
        <v>1379</v>
      </c>
      <c r="J246" s="35" t="s">
        <v>1584</v>
      </c>
    </row>
    <row r="247" spans="1:10" hidden="1" x14ac:dyDescent="0.2">
      <c r="A247" s="35">
        <v>246</v>
      </c>
      <c r="B247" s="35" t="s">
        <v>953</v>
      </c>
      <c r="C247" s="35" t="s">
        <v>745</v>
      </c>
      <c r="D247" s="35" t="s">
        <v>244</v>
      </c>
      <c r="E247" s="35" t="s">
        <v>41</v>
      </c>
      <c r="F247" s="35">
        <v>2</v>
      </c>
      <c r="G247" s="35" t="s">
        <v>1397</v>
      </c>
      <c r="H247" s="36" t="s">
        <v>1255</v>
      </c>
      <c r="I247" s="35" t="s">
        <v>1391</v>
      </c>
      <c r="J247" s="35" t="s">
        <v>1585</v>
      </c>
    </row>
    <row r="248" spans="1:10" hidden="1" x14ac:dyDescent="0.2">
      <c r="A248" s="35">
        <v>247</v>
      </c>
      <c r="B248" s="35" t="s">
        <v>958</v>
      </c>
      <c r="C248" s="35" t="s">
        <v>745</v>
      </c>
      <c r="D248" s="35" t="s">
        <v>244</v>
      </c>
      <c r="E248" s="35" t="s">
        <v>19</v>
      </c>
      <c r="F248" s="35">
        <v>2</v>
      </c>
      <c r="G248" s="35" t="s">
        <v>1378</v>
      </c>
      <c r="H248" s="36" t="s">
        <v>1255</v>
      </c>
      <c r="I248" s="35" t="s">
        <v>1379</v>
      </c>
      <c r="J248" s="35" t="s">
        <v>1586</v>
      </c>
    </row>
    <row r="249" spans="1:10" hidden="1" x14ac:dyDescent="0.2">
      <c r="A249" s="35">
        <v>248</v>
      </c>
      <c r="B249" s="35" t="s">
        <v>963</v>
      </c>
      <c r="C249" s="35" t="s">
        <v>745</v>
      </c>
      <c r="D249" s="35" t="s">
        <v>258</v>
      </c>
      <c r="E249" s="35" t="s">
        <v>212</v>
      </c>
      <c r="F249" s="35">
        <v>1</v>
      </c>
      <c r="G249" s="35" t="s">
        <v>1414</v>
      </c>
      <c r="H249" s="36" t="s">
        <v>1255</v>
      </c>
      <c r="I249" s="35" t="s">
        <v>1379</v>
      </c>
      <c r="J249" s="35" t="s">
        <v>1310</v>
      </c>
    </row>
    <row r="250" spans="1:10" x14ac:dyDescent="0.2">
      <c r="A250" s="35">
        <v>249</v>
      </c>
      <c r="B250" s="35" t="s">
        <v>968</v>
      </c>
      <c r="C250" s="35" t="s">
        <v>745</v>
      </c>
      <c r="D250" s="35" t="s">
        <v>258</v>
      </c>
      <c r="E250" s="35" t="s">
        <v>41</v>
      </c>
      <c r="F250" s="35">
        <v>0</v>
      </c>
      <c r="G250" s="35"/>
      <c r="H250" s="38" t="s">
        <v>1435</v>
      </c>
      <c r="I250" s="35" t="s">
        <v>1436</v>
      </c>
      <c r="J250" s="35"/>
    </row>
    <row r="251" spans="1:10" hidden="1" x14ac:dyDescent="0.2">
      <c r="A251" s="35">
        <v>250</v>
      </c>
      <c r="B251" s="35" t="s">
        <v>972</v>
      </c>
      <c r="C251" s="35" t="s">
        <v>973</v>
      </c>
      <c r="D251" s="35" t="s">
        <v>18</v>
      </c>
      <c r="E251" s="35" t="s">
        <v>19</v>
      </c>
      <c r="F251" s="35">
        <v>1</v>
      </c>
      <c r="G251" s="35" t="s">
        <v>1378</v>
      </c>
      <c r="H251" s="36" t="s">
        <v>1255</v>
      </c>
      <c r="I251" s="35" t="s">
        <v>1379</v>
      </c>
      <c r="J251" s="35" t="s">
        <v>1587</v>
      </c>
    </row>
    <row r="252" spans="1:10" hidden="1" x14ac:dyDescent="0.2">
      <c r="A252" s="35">
        <v>251</v>
      </c>
      <c r="B252" s="35" t="s">
        <v>977</v>
      </c>
      <c r="C252" s="35" t="s">
        <v>973</v>
      </c>
      <c r="D252" s="35" t="s">
        <v>18</v>
      </c>
      <c r="E252" s="35" t="s">
        <v>19</v>
      </c>
      <c r="F252" s="35">
        <v>1</v>
      </c>
      <c r="G252" s="35" t="s">
        <v>1378</v>
      </c>
      <c r="H252" s="36" t="s">
        <v>1255</v>
      </c>
      <c r="I252" s="35" t="s">
        <v>1379</v>
      </c>
      <c r="J252" s="35" t="s">
        <v>1274</v>
      </c>
    </row>
    <row r="253" spans="1:10" hidden="1" x14ac:dyDescent="0.2">
      <c r="A253" s="35">
        <v>252</v>
      </c>
      <c r="B253" s="35" t="s">
        <v>981</v>
      </c>
      <c r="C253" s="35" t="s">
        <v>973</v>
      </c>
      <c r="D253" s="35" t="s">
        <v>18</v>
      </c>
      <c r="E253" s="35" t="s">
        <v>19</v>
      </c>
      <c r="F253" s="35">
        <v>1</v>
      </c>
      <c r="G253" s="35" t="s">
        <v>1378</v>
      </c>
      <c r="H253" s="36" t="s">
        <v>1255</v>
      </c>
      <c r="I253" s="35" t="s">
        <v>1379</v>
      </c>
      <c r="J253" s="35" t="s">
        <v>1588</v>
      </c>
    </row>
    <row r="254" spans="1:10" hidden="1" x14ac:dyDescent="0.2">
      <c r="A254" s="35">
        <v>253</v>
      </c>
      <c r="B254" s="35" t="s">
        <v>986</v>
      </c>
      <c r="C254" s="35" t="s">
        <v>973</v>
      </c>
      <c r="D254" s="35" t="s">
        <v>18</v>
      </c>
      <c r="E254" s="35" t="s">
        <v>513</v>
      </c>
      <c r="F254" s="35">
        <v>1</v>
      </c>
      <c r="G254" s="35" t="s">
        <v>1589</v>
      </c>
      <c r="H254" s="36" t="s">
        <v>1255</v>
      </c>
      <c r="I254" s="35" t="s">
        <v>1379</v>
      </c>
      <c r="J254" s="35" t="s">
        <v>1275</v>
      </c>
    </row>
    <row r="255" spans="1:10" hidden="1" x14ac:dyDescent="0.2">
      <c r="A255" s="35">
        <v>254</v>
      </c>
      <c r="B255" s="35" t="s">
        <v>989</v>
      </c>
      <c r="C255" s="35" t="s">
        <v>973</v>
      </c>
      <c r="D255" s="35" t="s">
        <v>18</v>
      </c>
      <c r="E255" s="35" t="s">
        <v>19</v>
      </c>
      <c r="F255" s="35">
        <v>1</v>
      </c>
      <c r="G255" s="35" t="s">
        <v>1378</v>
      </c>
      <c r="H255" s="36" t="s">
        <v>1255</v>
      </c>
      <c r="I255" s="35" t="s">
        <v>1379</v>
      </c>
      <c r="J255" s="35" t="s">
        <v>1590</v>
      </c>
    </row>
    <row r="256" spans="1:10" hidden="1" x14ac:dyDescent="0.2">
      <c r="A256" s="35">
        <v>255</v>
      </c>
      <c r="B256" s="35" t="s">
        <v>992</v>
      </c>
      <c r="C256" s="35" t="s">
        <v>973</v>
      </c>
      <c r="D256" s="35" t="s">
        <v>18</v>
      </c>
      <c r="E256" s="35" t="s">
        <v>19</v>
      </c>
      <c r="F256" s="35">
        <v>1</v>
      </c>
      <c r="G256" s="35" t="s">
        <v>1378</v>
      </c>
      <c r="H256" s="36" t="s">
        <v>1255</v>
      </c>
      <c r="I256" s="35" t="s">
        <v>1379</v>
      </c>
      <c r="J256" s="35" t="s">
        <v>1276</v>
      </c>
    </row>
    <row r="257" spans="1:10" hidden="1" x14ac:dyDescent="0.2">
      <c r="A257" s="35">
        <v>256</v>
      </c>
      <c r="B257" s="35" t="s">
        <v>996</v>
      </c>
      <c r="C257" s="35" t="s">
        <v>973</v>
      </c>
      <c r="D257" s="35" t="s">
        <v>18</v>
      </c>
      <c r="E257" s="35" t="s">
        <v>19</v>
      </c>
      <c r="F257" s="35">
        <v>1</v>
      </c>
      <c r="G257" s="35" t="s">
        <v>1378</v>
      </c>
      <c r="H257" s="36" t="s">
        <v>1255</v>
      </c>
      <c r="I257" s="35" t="s">
        <v>1379</v>
      </c>
      <c r="J257" s="35" t="s">
        <v>1277</v>
      </c>
    </row>
    <row r="258" spans="1:10" hidden="1" x14ac:dyDescent="0.2">
      <c r="A258" s="35">
        <v>257</v>
      </c>
      <c r="B258" s="35" t="s">
        <v>1000</v>
      </c>
      <c r="C258" s="35" t="s">
        <v>973</v>
      </c>
      <c r="D258" s="35" t="s">
        <v>18</v>
      </c>
      <c r="E258" s="35" t="s">
        <v>19</v>
      </c>
      <c r="F258" s="35">
        <v>1</v>
      </c>
      <c r="G258" s="35" t="s">
        <v>1378</v>
      </c>
      <c r="H258" s="36" t="s">
        <v>1255</v>
      </c>
      <c r="I258" s="35" t="s">
        <v>1379</v>
      </c>
      <c r="J258" s="35" t="s">
        <v>1591</v>
      </c>
    </row>
    <row r="259" spans="1:10" hidden="1" x14ac:dyDescent="0.2">
      <c r="A259" s="35">
        <v>258</v>
      </c>
      <c r="B259" s="35" t="s">
        <v>1003</v>
      </c>
      <c r="C259" s="35" t="s">
        <v>973</v>
      </c>
      <c r="D259" s="35" t="s">
        <v>18</v>
      </c>
      <c r="E259" s="35" t="s">
        <v>19</v>
      </c>
      <c r="F259" s="35">
        <v>1</v>
      </c>
      <c r="G259" s="35" t="s">
        <v>1378</v>
      </c>
      <c r="H259" s="36" t="s">
        <v>1255</v>
      </c>
      <c r="I259" s="35" t="s">
        <v>1379</v>
      </c>
      <c r="J259" s="35" t="s">
        <v>1592</v>
      </c>
    </row>
    <row r="260" spans="1:10" ht="25.5" hidden="1" customHeight="1" x14ac:dyDescent="0.2">
      <c r="A260" s="35">
        <v>259</v>
      </c>
      <c r="B260" s="35" t="s">
        <v>1007</v>
      </c>
      <c r="C260" s="35" t="s">
        <v>973</v>
      </c>
      <c r="D260" s="35" t="s">
        <v>18</v>
      </c>
      <c r="E260" s="35" t="s">
        <v>40</v>
      </c>
      <c r="F260" s="35">
        <v>1</v>
      </c>
      <c r="G260" s="35" t="s">
        <v>1378</v>
      </c>
      <c r="H260" s="37" t="s">
        <v>1381</v>
      </c>
      <c r="I260" s="35" t="s">
        <v>1382</v>
      </c>
      <c r="J260" s="35" t="s">
        <v>1593</v>
      </c>
    </row>
    <row r="261" spans="1:10" hidden="1" x14ac:dyDescent="0.2">
      <c r="A261" s="35">
        <v>260</v>
      </c>
      <c r="B261" s="35" t="s">
        <v>1011</v>
      </c>
      <c r="C261" s="35" t="s">
        <v>973</v>
      </c>
      <c r="D261" s="35" t="s">
        <v>18</v>
      </c>
      <c r="E261" s="35" t="s">
        <v>40</v>
      </c>
      <c r="F261" s="35">
        <v>1</v>
      </c>
      <c r="G261" s="35" t="s">
        <v>1385</v>
      </c>
      <c r="H261" s="36" t="s">
        <v>1255</v>
      </c>
      <c r="I261" s="35" t="s">
        <v>1391</v>
      </c>
      <c r="J261" s="35" t="s">
        <v>1594</v>
      </c>
    </row>
    <row r="262" spans="1:10" hidden="1" x14ac:dyDescent="0.2">
      <c r="A262" s="35">
        <v>261</v>
      </c>
      <c r="B262" s="35" t="s">
        <v>1014</v>
      </c>
      <c r="C262" s="35" t="s">
        <v>973</v>
      </c>
      <c r="D262" s="35" t="s">
        <v>18</v>
      </c>
      <c r="E262" s="35" t="s">
        <v>64</v>
      </c>
      <c r="F262" s="35">
        <v>1</v>
      </c>
      <c r="G262" s="35" t="s">
        <v>1378</v>
      </c>
      <c r="H262" s="36" t="s">
        <v>1255</v>
      </c>
      <c r="I262" s="35" t="s">
        <v>1379</v>
      </c>
      <c r="J262" s="35" t="s">
        <v>1595</v>
      </c>
    </row>
    <row r="263" spans="1:10" hidden="1" x14ac:dyDescent="0.2">
      <c r="A263" s="35">
        <v>262</v>
      </c>
      <c r="B263" s="35" t="s">
        <v>1017</v>
      </c>
      <c r="C263" s="35" t="s">
        <v>973</v>
      </c>
      <c r="D263" s="35" t="s">
        <v>18</v>
      </c>
      <c r="E263" s="35" t="s">
        <v>19</v>
      </c>
      <c r="F263" s="35">
        <v>1</v>
      </c>
      <c r="G263" s="35" t="s">
        <v>1378</v>
      </c>
      <c r="H263" s="36" t="s">
        <v>1255</v>
      </c>
      <c r="I263" s="35" t="s">
        <v>1379</v>
      </c>
      <c r="J263" s="35" t="s">
        <v>1596</v>
      </c>
    </row>
    <row r="264" spans="1:10" hidden="1" x14ac:dyDescent="0.2">
      <c r="A264" s="35">
        <v>263</v>
      </c>
      <c r="B264" s="35" t="s">
        <v>1020</v>
      </c>
      <c r="C264" s="35" t="s">
        <v>973</v>
      </c>
      <c r="D264" s="35" t="s">
        <v>18</v>
      </c>
      <c r="E264" s="35" t="s">
        <v>19</v>
      </c>
      <c r="F264" s="35">
        <v>1</v>
      </c>
      <c r="G264" s="35" t="s">
        <v>1378</v>
      </c>
      <c r="H264" s="36" t="s">
        <v>1255</v>
      </c>
      <c r="I264" s="35" t="s">
        <v>1379</v>
      </c>
      <c r="J264" s="35" t="s">
        <v>1597</v>
      </c>
    </row>
    <row r="265" spans="1:10" hidden="1" x14ac:dyDescent="0.2">
      <c r="A265" s="35">
        <v>264</v>
      </c>
      <c r="B265" s="35" t="s">
        <v>411</v>
      </c>
      <c r="C265" s="35" t="s">
        <v>973</v>
      </c>
      <c r="D265" s="35" t="s">
        <v>18</v>
      </c>
      <c r="E265" s="35" t="s">
        <v>412</v>
      </c>
      <c r="F265" s="35">
        <v>0</v>
      </c>
      <c r="G265" s="35"/>
      <c r="H265" s="38" t="s">
        <v>1435</v>
      </c>
      <c r="I265" s="35" t="s">
        <v>1436</v>
      </c>
      <c r="J265" s="35"/>
    </row>
    <row r="266" spans="1:10" hidden="1" x14ac:dyDescent="0.2">
      <c r="A266" s="35">
        <v>265</v>
      </c>
      <c r="B266" s="35" t="s">
        <v>1027</v>
      </c>
      <c r="C266" s="35" t="s">
        <v>973</v>
      </c>
      <c r="D266" s="35" t="s">
        <v>18</v>
      </c>
      <c r="E266" s="35" t="s">
        <v>19</v>
      </c>
      <c r="F266" s="35">
        <v>1</v>
      </c>
      <c r="G266" s="35" t="s">
        <v>1378</v>
      </c>
      <c r="H266" s="36" t="s">
        <v>1255</v>
      </c>
      <c r="I266" s="35" t="s">
        <v>1379</v>
      </c>
      <c r="J266" s="35" t="s">
        <v>1598</v>
      </c>
    </row>
    <row r="267" spans="1:10" hidden="1" x14ac:dyDescent="0.2">
      <c r="A267" s="35">
        <v>266</v>
      </c>
      <c r="B267" s="35" t="s">
        <v>1030</v>
      </c>
      <c r="C267" s="35" t="s">
        <v>973</v>
      </c>
      <c r="D267" s="35" t="s">
        <v>18</v>
      </c>
      <c r="E267" s="35" t="s">
        <v>513</v>
      </c>
      <c r="F267" s="35">
        <v>1</v>
      </c>
      <c r="G267" s="35" t="s">
        <v>1599</v>
      </c>
      <c r="H267" s="36" t="s">
        <v>1255</v>
      </c>
      <c r="I267" s="35" t="s">
        <v>1379</v>
      </c>
      <c r="J267" s="35" t="s">
        <v>1600</v>
      </c>
    </row>
    <row r="268" spans="1:10" hidden="1" x14ac:dyDescent="0.2">
      <c r="A268" s="35">
        <v>267</v>
      </c>
      <c r="B268" s="35" t="s">
        <v>1033</v>
      </c>
      <c r="C268" s="35" t="s">
        <v>973</v>
      </c>
      <c r="D268" s="35" t="s">
        <v>18</v>
      </c>
      <c r="E268" s="35" t="s">
        <v>356</v>
      </c>
      <c r="F268" s="35">
        <v>1</v>
      </c>
      <c r="G268" s="35" t="s">
        <v>1483</v>
      </c>
      <c r="H268" s="36" t="s">
        <v>1255</v>
      </c>
      <c r="I268" s="35" t="s">
        <v>1379</v>
      </c>
      <c r="J268" s="35" t="s">
        <v>1601</v>
      </c>
    </row>
    <row r="269" spans="1:10" hidden="1" x14ac:dyDescent="0.2">
      <c r="A269" s="35">
        <v>268</v>
      </c>
      <c r="B269" s="35" t="s">
        <v>1036</v>
      </c>
      <c r="C269" s="35" t="s">
        <v>973</v>
      </c>
      <c r="D269" s="35" t="s">
        <v>18</v>
      </c>
      <c r="E269" s="35" t="s">
        <v>19</v>
      </c>
      <c r="F269" s="35">
        <v>1</v>
      </c>
      <c r="G269" s="35" t="s">
        <v>1378</v>
      </c>
      <c r="H269" s="36" t="s">
        <v>1255</v>
      </c>
      <c r="I269" s="35" t="s">
        <v>1379</v>
      </c>
      <c r="J269" s="35" t="s">
        <v>1602</v>
      </c>
    </row>
    <row r="270" spans="1:10" hidden="1" x14ac:dyDescent="0.2">
      <c r="A270" s="35">
        <v>269</v>
      </c>
      <c r="B270" s="35" t="s">
        <v>1039</v>
      </c>
      <c r="C270" s="35" t="s">
        <v>973</v>
      </c>
      <c r="D270" s="35" t="s">
        <v>18</v>
      </c>
      <c r="E270" s="35" t="s">
        <v>19</v>
      </c>
      <c r="F270" s="35">
        <v>1</v>
      </c>
      <c r="G270" s="35" t="s">
        <v>1378</v>
      </c>
      <c r="H270" s="36" t="s">
        <v>1255</v>
      </c>
      <c r="I270" s="35" t="s">
        <v>1379</v>
      </c>
      <c r="J270" s="35" t="s">
        <v>1603</v>
      </c>
    </row>
    <row r="271" spans="1:10" hidden="1" x14ac:dyDescent="0.2">
      <c r="A271" s="35">
        <v>270</v>
      </c>
      <c r="B271" s="35" t="s">
        <v>1042</v>
      </c>
      <c r="C271" s="35" t="s">
        <v>973</v>
      </c>
      <c r="D271" s="35" t="s">
        <v>18</v>
      </c>
      <c r="E271" s="35" t="s">
        <v>19</v>
      </c>
      <c r="F271" s="35">
        <v>1</v>
      </c>
      <c r="G271" s="35" t="s">
        <v>1378</v>
      </c>
      <c r="H271" s="36" t="s">
        <v>1255</v>
      </c>
      <c r="I271" s="35" t="s">
        <v>1379</v>
      </c>
      <c r="J271" s="35" t="s">
        <v>1604</v>
      </c>
    </row>
    <row r="272" spans="1:10" hidden="1" x14ac:dyDescent="0.2">
      <c r="A272" s="35">
        <v>271</v>
      </c>
      <c r="B272" s="35" t="s">
        <v>1045</v>
      </c>
      <c r="C272" s="35" t="s">
        <v>973</v>
      </c>
      <c r="D272" s="35" t="s">
        <v>18</v>
      </c>
      <c r="E272" s="35" t="s">
        <v>19</v>
      </c>
      <c r="F272" s="35">
        <v>1</v>
      </c>
      <c r="G272" s="35" t="s">
        <v>1378</v>
      </c>
      <c r="H272" s="36" t="s">
        <v>1255</v>
      </c>
      <c r="I272" s="35" t="s">
        <v>1379</v>
      </c>
      <c r="J272" s="35" t="s">
        <v>1605</v>
      </c>
    </row>
    <row r="273" spans="1:10" hidden="1" x14ac:dyDescent="0.2">
      <c r="A273" s="35">
        <v>272</v>
      </c>
      <c r="B273" s="35" t="s">
        <v>1048</v>
      </c>
      <c r="C273" s="35" t="s">
        <v>973</v>
      </c>
      <c r="D273" s="35" t="s">
        <v>18</v>
      </c>
      <c r="E273" s="35" t="s">
        <v>513</v>
      </c>
      <c r="F273" s="35">
        <v>1</v>
      </c>
      <c r="G273" s="35" t="s">
        <v>1606</v>
      </c>
      <c r="H273" s="36" t="s">
        <v>1255</v>
      </c>
      <c r="I273" s="35" t="s">
        <v>1379</v>
      </c>
      <c r="J273" s="35" t="s">
        <v>1607</v>
      </c>
    </row>
    <row r="274" spans="1:10" hidden="1" x14ac:dyDescent="0.2">
      <c r="A274" s="35">
        <v>273</v>
      </c>
      <c r="B274" s="35" t="s">
        <v>1051</v>
      </c>
      <c r="C274" s="35" t="s">
        <v>973</v>
      </c>
      <c r="D274" s="35" t="s">
        <v>18</v>
      </c>
      <c r="E274" s="35" t="s">
        <v>59</v>
      </c>
      <c r="F274" s="35">
        <v>1</v>
      </c>
      <c r="G274" s="35" t="s">
        <v>1414</v>
      </c>
      <c r="H274" s="36" t="s">
        <v>1255</v>
      </c>
      <c r="I274" s="35" t="s">
        <v>1379</v>
      </c>
      <c r="J274" s="35" t="s">
        <v>1608</v>
      </c>
    </row>
    <row r="275" spans="1:10" hidden="1" x14ac:dyDescent="0.2">
      <c r="A275" s="35">
        <v>274</v>
      </c>
      <c r="B275" s="35" t="s">
        <v>1054</v>
      </c>
      <c r="C275" s="35" t="s">
        <v>973</v>
      </c>
      <c r="D275" s="35" t="s">
        <v>18</v>
      </c>
      <c r="E275" s="35" t="s">
        <v>558</v>
      </c>
      <c r="F275" s="35">
        <v>1</v>
      </c>
      <c r="G275" s="35" t="s">
        <v>1483</v>
      </c>
      <c r="H275" s="36" t="s">
        <v>1255</v>
      </c>
      <c r="I275" s="35" t="s">
        <v>1379</v>
      </c>
      <c r="J275" s="35" t="s">
        <v>1609</v>
      </c>
    </row>
    <row r="276" spans="1:10" hidden="1" x14ac:dyDescent="0.2">
      <c r="A276" s="35">
        <v>275</v>
      </c>
      <c r="B276" s="35" t="s">
        <v>1057</v>
      </c>
      <c r="C276" s="35" t="s">
        <v>973</v>
      </c>
      <c r="D276" s="35" t="s">
        <v>18</v>
      </c>
      <c r="E276" s="35" t="s">
        <v>19</v>
      </c>
      <c r="F276" s="35">
        <v>1</v>
      </c>
      <c r="G276" s="35" t="s">
        <v>1378</v>
      </c>
      <c r="H276" s="36" t="s">
        <v>1255</v>
      </c>
      <c r="I276" s="35" t="s">
        <v>1379</v>
      </c>
      <c r="J276" s="35" t="s">
        <v>1610</v>
      </c>
    </row>
    <row r="277" spans="1:10" hidden="1" x14ac:dyDescent="0.2">
      <c r="A277" s="35">
        <v>276</v>
      </c>
      <c r="B277" s="35" t="s">
        <v>1060</v>
      </c>
      <c r="C277" s="35" t="s">
        <v>973</v>
      </c>
      <c r="D277" s="35" t="s">
        <v>18</v>
      </c>
      <c r="E277" s="35" t="s">
        <v>19</v>
      </c>
      <c r="F277" s="35">
        <v>1</v>
      </c>
      <c r="G277" s="35" t="s">
        <v>1378</v>
      </c>
      <c r="H277" s="36" t="s">
        <v>1255</v>
      </c>
      <c r="I277" s="35" t="s">
        <v>1379</v>
      </c>
      <c r="J277" s="35" t="s">
        <v>1611</v>
      </c>
    </row>
    <row r="278" spans="1:10" hidden="1" x14ac:dyDescent="0.2">
      <c r="A278" s="35">
        <v>277</v>
      </c>
      <c r="B278" s="35" t="s">
        <v>1063</v>
      </c>
      <c r="C278" s="35" t="s">
        <v>973</v>
      </c>
      <c r="D278" s="35" t="s">
        <v>18</v>
      </c>
      <c r="E278" s="35" t="s">
        <v>19</v>
      </c>
      <c r="F278" s="35">
        <v>1</v>
      </c>
      <c r="G278" s="35" t="s">
        <v>1378</v>
      </c>
      <c r="H278" s="36" t="s">
        <v>1255</v>
      </c>
      <c r="I278" s="35" t="s">
        <v>1379</v>
      </c>
      <c r="J278" s="35" t="s">
        <v>1612</v>
      </c>
    </row>
    <row r="279" spans="1:10" hidden="1" x14ac:dyDescent="0.2">
      <c r="A279" s="35">
        <v>278</v>
      </c>
      <c r="B279" s="35" t="s">
        <v>1066</v>
      </c>
      <c r="C279" s="35" t="s">
        <v>973</v>
      </c>
      <c r="D279" s="35" t="s">
        <v>18</v>
      </c>
      <c r="E279" s="35" t="s">
        <v>513</v>
      </c>
      <c r="F279" s="35">
        <v>1</v>
      </c>
      <c r="G279" s="35" t="s">
        <v>1473</v>
      </c>
      <c r="H279" s="36" t="s">
        <v>1255</v>
      </c>
      <c r="I279" s="35" t="s">
        <v>1379</v>
      </c>
      <c r="J279" s="35" t="s">
        <v>1613</v>
      </c>
    </row>
    <row r="280" spans="1:10" hidden="1" x14ac:dyDescent="0.2">
      <c r="A280" s="35">
        <v>279</v>
      </c>
      <c r="B280" s="35" t="s">
        <v>1069</v>
      </c>
      <c r="C280" s="35" t="s">
        <v>973</v>
      </c>
      <c r="D280" s="35" t="s">
        <v>18</v>
      </c>
      <c r="E280" s="35" t="s">
        <v>40</v>
      </c>
      <c r="F280" s="35">
        <v>1</v>
      </c>
      <c r="G280" s="35" t="s">
        <v>1385</v>
      </c>
      <c r="H280" s="36" t="s">
        <v>1255</v>
      </c>
      <c r="I280" s="35" t="s">
        <v>1379</v>
      </c>
      <c r="J280" s="35" t="s">
        <v>1614</v>
      </c>
    </row>
    <row r="281" spans="1:10" ht="25.5" hidden="1" customHeight="1" x14ac:dyDescent="0.2">
      <c r="A281" s="35">
        <v>280</v>
      </c>
      <c r="B281" s="35" t="s">
        <v>1072</v>
      </c>
      <c r="C281" s="35" t="s">
        <v>973</v>
      </c>
      <c r="D281" s="35" t="s">
        <v>18</v>
      </c>
      <c r="E281" s="35" t="s">
        <v>41</v>
      </c>
      <c r="F281" s="35">
        <v>1</v>
      </c>
      <c r="G281" s="35" t="s">
        <v>1378</v>
      </c>
      <c r="H281" s="37" t="s">
        <v>1381</v>
      </c>
      <c r="I281" s="35" t="s">
        <v>1382</v>
      </c>
      <c r="J281" s="35" t="s">
        <v>1615</v>
      </c>
    </row>
    <row r="282" spans="1:10" hidden="1" x14ac:dyDescent="0.2">
      <c r="A282" s="35">
        <v>281</v>
      </c>
      <c r="B282" s="35" t="s">
        <v>1075</v>
      </c>
      <c r="C282" s="35" t="s">
        <v>973</v>
      </c>
      <c r="D282" s="35" t="s">
        <v>18</v>
      </c>
      <c r="E282" s="35" t="s">
        <v>19</v>
      </c>
      <c r="F282" s="35">
        <v>1</v>
      </c>
      <c r="G282" s="35" t="s">
        <v>1378</v>
      </c>
      <c r="H282" s="36" t="s">
        <v>1255</v>
      </c>
      <c r="I282" s="35" t="s">
        <v>1379</v>
      </c>
      <c r="J282" s="35" t="s">
        <v>1616</v>
      </c>
    </row>
    <row r="283" spans="1:10" hidden="1" x14ac:dyDescent="0.2">
      <c r="A283" s="35">
        <v>282</v>
      </c>
      <c r="B283" s="35" t="s">
        <v>1078</v>
      </c>
      <c r="C283" s="35" t="s">
        <v>973</v>
      </c>
      <c r="D283" s="35" t="s">
        <v>163</v>
      </c>
      <c r="E283" s="35" t="s">
        <v>513</v>
      </c>
      <c r="F283" s="35">
        <v>0</v>
      </c>
      <c r="G283" s="35"/>
      <c r="H283" s="38" t="s">
        <v>1435</v>
      </c>
      <c r="I283" s="35" t="s">
        <v>1436</v>
      </c>
      <c r="J283" s="35"/>
    </row>
    <row r="284" spans="1:10" hidden="1" x14ac:dyDescent="0.2">
      <c r="A284" s="35">
        <v>283</v>
      </c>
      <c r="B284" s="35" t="s">
        <v>1082</v>
      </c>
      <c r="C284" s="35" t="s">
        <v>973</v>
      </c>
      <c r="D284" s="35" t="s">
        <v>163</v>
      </c>
      <c r="E284" s="35" t="s">
        <v>513</v>
      </c>
      <c r="F284" s="35">
        <v>0</v>
      </c>
      <c r="G284" s="35"/>
      <c r="H284" s="38" t="s">
        <v>1435</v>
      </c>
      <c r="I284" s="35" t="s">
        <v>1436</v>
      </c>
      <c r="J284" s="35"/>
    </row>
    <row r="285" spans="1:10" hidden="1" x14ac:dyDescent="0.2">
      <c r="A285" s="35">
        <v>284</v>
      </c>
      <c r="B285" s="35" t="s">
        <v>1086</v>
      </c>
      <c r="C285" s="35" t="s">
        <v>973</v>
      </c>
      <c r="D285" s="35" t="s">
        <v>163</v>
      </c>
      <c r="E285" s="35" t="s">
        <v>513</v>
      </c>
      <c r="F285" s="35">
        <v>0</v>
      </c>
      <c r="G285" s="35"/>
      <c r="H285" s="38" t="s">
        <v>1435</v>
      </c>
      <c r="I285" s="35" t="s">
        <v>1436</v>
      </c>
      <c r="J285" s="35"/>
    </row>
    <row r="286" spans="1:10" hidden="1" x14ac:dyDescent="0.2">
      <c r="A286" s="35">
        <v>285</v>
      </c>
      <c r="B286" s="35" t="s">
        <v>1090</v>
      </c>
      <c r="C286" s="35" t="s">
        <v>973</v>
      </c>
      <c r="D286" s="35" t="s">
        <v>163</v>
      </c>
      <c r="E286" s="35" t="s">
        <v>245</v>
      </c>
      <c r="F286" s="35">
        <v>0</v>
      </c>
      <c r="G286" s="35"/>
      <c r="H286" s="38" t="s">
        <v>1435</v>
      </c>
      <c r="I286" s="35" t="s">
        <v>1436</v>
      </c>
      <c r="J286" s="35"/>
    </row>
    <row r="287" spans="1:10" hidden="1" x14ac:dyDescent="0.2">
      <c r="A287" s="35">
        <v>286</v>
      </c>
      <c r="B287" s="35" t="s">
        <v>1093</v>
      </c>
      <c r="C287" s="35" t="s">
        <v>973</v>
      </c>
      <c r="D287" s="35" t="s">
        <v>163</v>
      </c>
      <c r="E287" s="35" t="s">
        <v>554</v>
      </c>
      <c r="F287" s="35">
        <v>0</v>
      </c>
      <c r="G287" s="35"/>
      <c r="H287" s="38" t="s">
        <v>1435</v>
      </c>
      <c r="I287" s="35" t="s">
        <v>1436</v>
      </c>
      <c r="J287" s="35"/>
    </row>
    <row r="288" spans="1:10" hidden="1" x14ac:dyDescent="0.2">
      <c r="A288" s="35">
        <v>287</v>
      </c>
      <c r="B288" s="35" t="s">
        <v>1097</v>
      </c>
      <c r="C288" s="35" t="s">
        <v>973</v>
      </c>
      <c r="D288" s="35" t="s">
        <v>163</v>
      </c>
      <c r="E288" s="35" t="s">
        <v>412</v>
      </c>
      <c r="F288" s="35">
        <v>0</v>
      </c>
      <c r="G288" s="35"/>
      <c r="H288" s="38" t="s">
        <v>1435</v>
      </c>
      <c r="I288" s="35" t="s">
        <v>1436</v>
      </c>
      <c r="J288" s="35"/>
    </row>
    <row r="289" spans="1:10" hidden="1" x14ac:dyDescent="0.2">
      <c r="A289" s="35">
        <v>288</v>
      </c>
      <c r="B289" s="35" t="s">
        <v>1101</v>
      </c>
      <c r="C289" s="35" t="s">
        <v>973</v>
      </c>
      <c r="D289" s="35" t="s">
        <v>163</v>
      </c>
      <c r="E289" s="35" t="s">
        <v>64</v>
      </c>
      <c r="F289" s="35">
        <v>0</v>
      </c>
      <c r="G289" s="35"/>
      <c r="H289" s="38" t="s">
        <v>1435</v>
      </c>
      <c r="I289" s="35" t="s">
        <v>1436</v>
      </c>
      <c r="J289" s="35"/>
    </row>
    <row r="290" spans="1:10" hidden="1" x14ac:dyDescent="0.2">
      <c r="A290" s="35">
        <v>289</v>
      </c>
      <c r="B290" s="35" t="s">
        <v>1105</v>
      </c>
      <c r="C290" s="35" t="s">
        <v>973</v>
      </c>
      <c r="D290" s="35" t="s">
        <v>163</v>
      </c>
      <c r="E290" s="35" t="s">
        <v>245</v>
      </c>
      <c r="F290" s="35">
        <v>0</v>
      </c>
      <c r="G290" s="35"/>
      <c r="H290" s="38" t="s">
        <v>1435</v>
      </c>
      <c r="I290" s="35" t="s">
        <v>1436</v>
      </c>
      <c r="J290" s="35"/>
    </row>
    <row r="291" spans="1:10" hidden="1" x14ac:dyDescent="0.2">
      <c r="A291" s="35">
        <v>290</v>
      </c>
      <c r="B291" s="35" t="s">
        <v>1110</v>
      </c>
      <c r="C291" s="35" t="s">
        <v>973</v>
      </c>
      <c r="D291" s="35" t="s">
        <v>163</v>
      </c>
      <c r="E291" s="35" t="s">
        <v>245</v>
      </c>
      <c r="F291" s="35">
        <v>0</v>
      </c>
      <c r="G291" s="35"/>
      <c r="H291" s="38" t="s">
        <v>1435</v>
      </c>
      <c r="I291" s="35" t="s">
        <v>1436</v>
      </c>
      <c r="J291" s="35"/>
    </row>
    <row r="292" spans="1:10" hidden="1" x14ac:dyDescent="0.2">
      <c r="A292" s="35">
        <v>291</v>
      </c>
      <c r="B292" s="35" t="s">
        <v>1114</v>
      </c>
      <c r="C292" s="35" t="s">
        <v>973</v>
      </c>
      <c r="D292" s="35" t="s">
        <v>163</v>
      </c>
      <c r="E292" s="35" t="s">
        <v>41</v>
      </c>
      <c r="F292" s="35">
        <v>0</v>
      </c>
      <c r="G292" s="35"/>
      <c r="H292" s="38" t="s">
        <v>1435</v>
      </c>
      <c r="I292" s="35" t="s">
        <v>1436</v>
      </c>
      <c r="J292" s="35"/>
    </row>
    <row r="293" spans="1:10" hidden="1" x14ac:dyDescent="0.2">
      <c r="A293" s="35">
        <v>292</v>
      </c>
      <c r="B293" s="35" t="s">
        <v>1118</v>
      </c>
      <c r="C293" s="35" t="s">
        <v>973</v>
      </c>
      <c r="D293" s="35" t="s">
        <v>163</v>
      </c>
      <c r="E293" s="35" t="s">
        <v>356</v>
      </c>
      <c r="F293" s="35">
        <v>0</v>
      </c>
      <c r="G293" s="35"/>
      <c r="H293" s="38" t="s">
        <v>1435</v>
      </c>
      <c r="I293" s="35" t="s">
        <v>1436</v>
      </c>
      <c r="J293" s="35"/>
    </row>
    <row r="294" spans="1:10" hidden="1" x14ac:dyDescent="0.2">
      <c r="A294" s="35">
        <v>293</v>
      </c>
      <c r="B294" s="35" t="s">
        <v>1121</v>
      </c>
      <c r="C294" s="35" t="s">
        <v>973</v>
      </c>
      <c r="D294" s="35" t="s">
        <v>163</v>
      </c>
      <c r="E294" s="35" t="s">
        <v>513</v>
      </c>
      <c r="F294" s="35">
        <v>0</v>
      </c>
      <c r="G294" s="35"/>
      <c r="H294" s="38" t="s">
        <v>1435</v>
      </c>
      <c r="I294" s="35" t="s">
        <v>1436</v>
      </c>
      <c r="J294" s="35"/>
    </row>
    <row r="295" spans="1:10" hidden="1" x14ac:dyDescent="0.2">
      <c r="A295" s="35">
        <v>294</v>
      </c>
      <c r="B295" s="35" t="s">
        <v>1124</v>
      </c>
      <c r="C295" s="35" t="s">
        <v>973</v>
      </c>
      <c r="D295" s="35" t="s">
        <v>163</v>
      </c>
      <c r="E295" s="35" t="s">
        <v>41</v>
      </c>
      <c r="F295" s="35">
        <v>0</v>
      </c>
      <c r="G295" s="35"/>
      <c r="H295" s="38" t="s">
        <v>1435</v>
      </c>
      <c r="I295" s="35" t="s">
        <v>1436</v>
      </c>
      <c r="J295" s="35"/>
    </row>
    <row r="296" spans="1:10" hidden="1" x14ac:dyDescent="0.2">
      <c r="A296" s="35">
        <v>295</v>
      </c>
      <c r="B296" s="35" t="s">
        <v>1127</v>
      </c>
      <c r="C296" s="35" t="s">
        <v>973</v>
      </c>
      <c r="D296" s="35" t="s">
        <v>163</v>
      </c>
      <c r="E296" s="35" t="s">
        <v>554</v>
      </c>
      <c r="F296" s="35">
        <v>0</v>
      </c>
      <c r="G296" s="35"/>
      <c r="H296" s="38" t="s">
        <v>1435</v>
      </c>
      <c r="I296" s="35" t="s">
        <v>1436</v>
      </c>
      <c r="J296" s="35"/>
    </row>
    <row r="297" spans="1:10" hidden="1" x14ac:dyDescent="0.2">
      <c r="A297" s="35">
        <v>296</v>
      </c>
      <c r="B297" s="35" t="s">
        <v>1130</v>
      </c>
      <c r="C297" s="35" t="s">
        <v>973</v>
      </c>
      <c r="D297" s="35" t="s">
        <v>163</v>
      </c>
      <c r="E297" s="35" t="s">
        <v>245</v>
      </c>
      <c r="F297" s="35">
        <v>0</v>
      </c>
      <c r="G297" s="35"/>
      <c r="H297" s="38" t="s">
        <v>1435</v>
      </c>
      <c r="I297" s="35" t="s">
        <v>1436</v>
      </c>
      <c r="J297" s="35"/>
    </row>
    <row r="298" spans="1:10" hidden="1" x14ac:dyDescent="0.2">
      <c r="A298" s="35">
        <v>297</v>
      </c>
      <c r="B298" s="35" t="s">
        <v>1133</v>
      </c>
      <c r="C298" s="35" t="s">
        <v>973</v>
      </c>
      <c r="D298" s="35" t="s">
        <v>163</v>
      </c>
      <c r="E298" s="35" t="s">
        <v>212</v>
      </c>
      <c r="F298" s="35">
        <v>0</v>
      </c>
      <c r="G298" s="35"/>
      <c r="H298" s="38" t="s">
        <v>1435</v>
      </c>
      <c r="I298" s="35" t="s">
        <v>1436</v>
      </c>
      <c r="J298" s="35"/>
    </row>
    <row r="299" spans="1:10" hidden="1" x14ac:dyDescent="0.2">
      <c r="A299" s="35">
        <v>298</v>
      </c>
      <c r="B299" s="35" t="s">
        <v>1136</v>
      </c>
      <c r="C299" s="35" t="s">
        <v>973</v>
      </c>
      <c r="D299" s="35" t="s">
        <v>218</v>
      </c>
      <c r="E299" s="35" t="s">
        <v>554</v>
      </c>
      <c r="F299" s="35">
        <v>0</v>
      </c>
      <c r="G299" s="35"/>
      <c r="H299" s="38" t="s">
        <v>1435</v>
      </c>
      <c r="I299" s="35" t="s">
        <v>1436</v>
      </c>
      <c r="J299" s="35"/>
    </row>
    <row r="300" spans="1:10" hidden="1" x14ac:dyDescent="0.2">
      <c r="A300" s="35">
        <v>299</v>
      </c>
      <c r="B300" s="35" t="s">
        <v>1140</v>
      </c>
      <c r="C300" s="35" t="s">
        <v>973</v>
      </c>
      <c r="D300" s="35" t="s">
        <v>218</v>
      </c>
      <c r="E300" s="35" t="s">
        <v>554</v>
      </c>
      <c r="F300" s="35">
        <v>0</v>
      </c>
      <c r="G300" s="35"/>
      <c r="H300" s="38" t="s">
        <v>1435</v>
      </c>
      <c r="I300" s="35" t="s">
        <v>1436</v>
      </c>
      <c r="J300" s="35"/>
    </row>
    <row r="301" spans="1:10" hidden="1" x14ac:dyDescent="0.2">
      <c r="A301" s="35">
        <v>300</v>
      </c>
      <c r="B301" s="35" t="s">
        <v>1144</v>
      </c>
      <c r="C301" s="35" t="s">
        <v>973</v>
      </c>
      <c r="D301" s="35" t="s">
        <v>218</v>
      </c>
      <c r="E301" s="35" t="s">
        <v>59</v>
      </c>
      <c r="F301" s="35">
        <v>0</v>
      </c>
      <c r="G301" s="35"/>
      <c r="H301" s="38" t="s">
        <v>1435</v>
      </c>
      <c r="I301" s="35" t="s">
        <v>1436</v>
      </c>
      <c r="J301" s="35"/>
    </row>
    <row r="302" spans="1:10" hidden="1" x14ac:dyDescent="0.2">
      <c r="A302" s="35">
        <v>301</v>
      </c>
      <c r="B302" s="35" t="s">
        <v>1149</v>
      </c>
      <c r="C302" s="35" t="s">
        <v>973</v>
      </c>
      <c r="D302" s="35" t="s">
        <v>218</v>
      </c>
      <c r="E302" s="35" t="s">
        <v>554</v>
      </c>
      <c r="F302" s="35">
        <v>0</v>
      </c>
      <c r="G302" s="35"/>
      <c r="H302" s="38" t="s">
        <v>1435</v>
      </c>
      <c r="I302" s="35" t="s">
        <v>1436</v>
      </c>
      <c r="J302" s="35"/>
    </row>
    <row r="303" spans="1:10" hidden="1" x14ac:dyDescent="0.2">
      <c r="A303" s="35">
        <v>302</v>
      </c>
      <c r="B303" s="35" t="s">
        <v>1153</v>
      </c>
      <c r="C303" s="35" t="s">
        <v>973</v>
      </c>
      <c r="D303" s="35" t="s">
        <v>218</v>
      </c>
      <c r="E303" s="35" t="s">
        <v>513</v>
      </c>
      <c r="F303" s="35">
        <v>0</v>
      </c>
      <c r="G303" s="35"/>
      <c r="H303" s="38" t="s">
        <v>1435</v>
      </c>
      <c r="I303" s="35" t="s">
        <v>1436</v>
      </c>
      <c r="J303" s="35"/>
    </row>
    <row r="304" spans="1:10" hidden="1" x14ac:dyDescent="0.2">
      <c r="A304" s="35">
        <v>303</v>
      </c>
      <c r="B304" s="35" t="s">
        <v>1157</v>
      </c>
      <c r="C304" s="35" t="s">
        <v>973</v>
      </c>
      <c r="D304" s="35" t="s">
        <v>218</v>
      </c>
      <c r="E304" s="35" t="s">
        <v>245</v>
      </c>
      <c r="F304" s="35">
        <v>0</v>
      </c>
      <c r="G304" s="35"/>
      <c r="H304" s="38" t="s">
        <v>1435</v>
      </c>
      <c r="I304" s="35" t="s">
        <v>1436</v>
      </c>
      <c r="J304" s="35"/>
    </row>
    <row r="305" spans="1:10" hidden="1" x14ac:dyDescent="0.2">
      <c r="A305" s="35">
        <v>304</v>
      </c>
      <c r="B305" s="35" t="s">
        <v>1161</v>
      </c>
      <c r="C305" s="35" t="s">
        <v>973</v>
      </c>
      <c r="D305" s="35" t="s">
        <v>218</v>
      </c>
      <c r="E305" s="35" t="s">
        <v>554</v>
      </c>
      <c r="F305" s="35">
        <v>0</v>
      </c>
      <c r="G305" s="35"/>
      <c r="H305" s="38" t="s">
        <v>1435</v>
      </c>
      <c r="I305" s="35" t="s">
        <v>1436</v>
      </c>
      <c r="J305" s="35"/>
    </row>
    <row r="306" spans="1:10" hidden="1" x14ac:dyDescent="0.2">
      <c r="A306" s="35">
        <v>305</v>
      </c>
      <c r="B306" s="35" t="s">
        <v>1164</v>
      </c>
      <c r="C306" s="35" t="s">
        <v>973</v>
      </c>
      <c r="D306" s="35" t="s">
        <v>218</v>
      </c>
      <c r="E306" s="35" t="s">
        <v>79</v>
      </c>
      <c r="F306" s="35">
        <v>0</v>
      </c>
      <c r="G306" s="35"/>
      <c r="H306" s="38" t="s">
        <v>1435</v>
      </c>
      <c r="I306" s="35" t="s">
        <v>1436</v>
      </c>
      <c r="J306" s="35"/>
    </row>
    <row r="307" spans="1:10" hidden="1" x14ac:dyDescent="0.2">
      <c r="A307" s="35">
        <v>306</v>
      </c>
      <c r="B307" s="35" t="s">
        <v>1167</v>
      </c>
      <c r="C307" s="35" t="s">
        <v>973</v>
      </c>
      <c r="D307" s="35" t="s">
        <v>244</v>
      </c>
      <c r="E307" s="35" t="s">
        <v>59</v>
      </c>
      <c r="F307" s="35">
        <v>0</v>
      </c>
      <c r="G307" s="35"/>
      <c r="H307" s="38" t="s">
        <v>1435</v>
      </c>
      <c r="I307" s="35" t="s">
        <v>1436</v>
      </c>
      <c r="J307" s="35"/>
    </row>
    <row r="308" spans="1:10" hidden="1" x14ac:dyDescent="0.2">
      <c r="A308" s="35">
        <v>307</v>
      </c>
      <c r="B308" s="35" t="s">
        <v>1172</v>
      </c>
      <c r="C308" s="35" t="s">
        <v>973</v>
      </c>
      <c r="D308" s="35" t="s">
        <v>244</v>
      </c>
      <c r="E308" s="35" t="s">
        <v>245</v>
      </c>
      <c r="F308" s="35">
        <v>0</v>
      </c>
      <c r="G308" s="35"/>
      <c r="H308" s="38" t="s">
        <v>1435</v>
      </c>
      <c r="I308" s="35" t="s">
        <v>1436</v>
      </c>
      <c r="J308" s="35"/>
    </row>
    <row r="309" spans="1:10" hidden="1" x14ac:dyDescent="0.2">
      <c r="A309" s="35">
        <v>308</v>
      </c>
      <c r="B309" s="35" t="s">
        <v>1176</v>
      </c>
      <c r="C309" s="35" t="s">
        <v>973</v>
      </c>
      <c r="D309" s="35" t="s">
        <v>244</v>
      </c>
      <c r="E309" s="35" t="s">
        <v>554</v>
      </c>
      <c r="F309" s="35">
        <v>0</v>
      </c>
      <c r="G309" s="35"/>
      <c r="H309" s="38" t="s">
        <v>1435</v>
      </c>
      <c r="I309" s="35" t="s">
        <v>1436</v>
      </c>
      <c r="J309" s="35"/>
    </row>
    <row r="310" spans="1:10" hidden="1" x14ac:dyDescent="0.2">
      <c r="A310" s="35">
        <v>309</v>
      </c>
      <c r="B310" s="35" t="s">
        <v>1181</v>
      </c>
      <c r="C310" s="35" t="s">
        <v>973</v>
      </c>
      <c r="D310" s="35" t="s">
        <v>244</v>
      </c>
      <c r="E310" s="35" t="s">
        <v>79</v>
      </c>
      <c r="F310" s="35">
        <v>0</v>
      </c>
      <c r="G310" s="35"/>
      <c r="H310" s="38" t="s">
        <v>1435</v>
      </c>
      <c r="I310" s="35" t="s">
        <v>1436</v>
      </c>
      <c r="J310" s="35"/>
    </row>
    <row r="311" spans="1:10" hidden="1" x14ac:dyDescent="0.2">
      <c r="A311" s="35">
        <v>310</v>
      </c>
      <c r="B311" s="35" t="s">
        <v>1185</v>
      </c>
      <c r="C311" s="35" t="s">
        <v>973</v>
      </c>
      <c r="D311" s="35" t="s">
        <v>258</v>
      </c>
      <c r="E311" s="35" t="s">
        <v>212</v>
      </c>
      <c r="F311" s="35">
        <v>0</v>
      </c>
      <c r="G311" s="35"/>
      <c r="H311" s="38" t="s">
        <v>1435</v>
      </c>
      <c r="I311" s="35" t="s">
        <v>1436</v>
      </c>
      <c r="J311" s="35"/>
    </row>
    <row r="312" spans="1:10" hidden="1" x14ac:dyDescent="0.2">
      <c r="A312" s="35">
        <v>311</v>
      </c>
      <c r="B312" s="35" t="s">
        <v>1190</v>
      </c>
      <c r="C312" s="35" t="s">
        <v>973</v>
      </c>
      <c r="D312" s="35" t="s">
        <v>258</v>
      </c>
      <c r="E312" s="35" t="s">
        <v>41</v>
      </c>
      <c r="F312" s="35">
        <v>0</v>
      </c>
      <c r="G312" s="35"/>
      <c r="H312" s="38" t="s">
        <v>1435</v>
      </c>
      <c r="I312" s="35" t="s">
        <v>1436</v>
      </c>
      <c r="J312" s="35"/>
    </row>
  </sheetData>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783DE"/>
  </sheetPr>
  <dimension ref="A1:D15"/>
  <sheetViews>
    <sheetView showGridLines="0" zoomScale="90" zoomScaleNormal="90" workbookViewId="0">
      <pane ySplit="1" topLeftCell="A2" activePane="bottomLeft" state="frozen"/>
      <selection pane="bottomLeft" activeCell="A2" sqref="A2"/>
    </sheetView>
  </sheetViews>
  <sheetFormatPr defaultColWidth="8.7109375" defaultRowHeight="12.75" x14ac:dyDescent="0.2"/>
  <cols>
    <col min="1" max="1" width="22" customWidth="1"/>
    <col min="2" max="2" width="54" customWidth="1"/>
    <col min="3" max="3" width="56" customWidth="1"/>
    <col min="4" max="4" width="62" customWidth="1"/>
  </cols>
  <sheetData>
    <row r="1" spans="1:4" ht="33.75" customHeight="1" x14ac:dyDescent="0.2">
      <c r="A1" s="34" t="s">
        <v>1617</v>
      </c>
      <c r="B1" s="34" t="s">
        <v>1618</v>
      </c>
      <c r="C1" s="34" t="s">
        <v>1619</v>
      </c>
      <c r="D1" s="34" t="s">
        <v>1620</v>
      </c>
    </row>
    <row r="2" spans="1:4" ht="45" customHeight="1" x14ac:dyDescent="0.2">
      <c r="A2" s="35" t="s">
        <v>19</v>
      </c>
      <c r="B2" s="35" t="s">
        <v>1621</v>
      </c>
      <c r="C2" s="35" t="s">
        <v>1622</v>
      </c>
      <c r="D2" s="35" t="s">
        <v>1623</v>
      </c>
    </row>
    <row r="3" spans="1:4" ht="45" customHeight="1" x14ac:dyDescent="0.2">
      <c r="A3" s="35" t="s">
        <v>40</v>
      </c>
      <c r="B3" s="35" t="s">
        <v>1624</v>
      </c>
      <c r="C3" s="35" t="s">
        <v>1625</v>
      </c>
      <c r="D3" s="35" t="s">
        <v>1626</v>
      </c>
    </row>
    <row r="4" spans="1:4" ht="45" customHeight="1" x14ac:dyDescent="0.2">
      <c r="A4" s="35" t="s">
        <v>299</v>
      </c>
      <c r="B4" s="35" t="s">
        <v>1627</v>
      </c>
      <c r="C4" s="35" t="s">
        <v>1628</v>
      </c>
      <c r="D4" s="35" t="s">
        <v>1629</v>
      </c>
    </row>
    <row r="5" spans="1:4" ht="45" customHeight="1" x14ac:dyDescent="0.2">
      <c r="A5" s="35" t="s">
        <v>558</v>
      </c>
      <c r="B5" s="35" t="s">
        <v>1630</v>
      </c>
      <c r="C5" s="35" t="s">
        <v>1631</v>
      </c>
      <c r="D5" s="35" t="s">
        <v>1632</v>
      </c>
    </row>
    <row r="6" spans="1:4" ht="45" customHeight="1" x14ac:dyDescent="0.2">
      <c r="A6" s="35" t="s">
        <v>79</v>
      </c>
      <c r="B6" s="35" t="s">
        <v>1633</v>
      </c>
      <c r="C6" s="35" t="s">
        <v>1634</v>
      </c>
      <c r="D6" s="35" t="s">
        <v>1635</v>
      </c>
    </row>
    <row r="7" spans="1:4" ht="45" customHeight="1" x14ac:dyDescent="0.2">
      <c r="A7" s="35" t="s">
        <v>41</v>
      </c>
      <c r="B7" s="35" t="s">
        <v>1636</v>
      </c>
      <c r="C7" s="35" t="s">
        <v>1637</v>
      </c>
      <c r="D7" s="35" t="s">
        <v>1638</v>
      </c>
    </row>
    <row r="8" spans="1:4" ht="45" customHeight="1" x14ac:dyDescent="0.2">
      <c r="A8" s="35" t="s">
        <v>245</v>
      </c>
      <c r="B8" s="35" t="s">
        <v>1639</v>
      </c>
      <c r="C8" s="35" t="s">
        <v>1640</v>
      </c>
      <c r="D8" s="35" t="s">
        <v>1641</v>
      </c>
    </row>
    <row r="9" spans="1:4" ht="45" customHeight="1" x14ac:dyDescent="0.2">
      <c r="A9" s="35" t="s">
        <v>212</v>
      </c>
      <c r="B9" s="35" t="s">
        <v>1642</v>
      </c>
      <c r="C9" s="35" t="s">
        <v>1643</v>
      </c>
      <c r="D9" s="35" t="s">
        <v>1644</v>
      </c>
    </row>
    <row r="10" spans="1:4" ht="45" customHeight="1" x14ac:dyDescent="0.2">
      <c r="A10" s="35" t="s">
        <v>356</v>
      </c>
      <c r="B10" s="35" t="s">
        <v>1645</v>
      </c>
      <c r="C10" s="35" t="s">
        <v>1646</v>
      </c>
      <c r="D10" s="35" t="s">
        <v>1647</v>
      </c>
    </row>
    <row r="11" spans="1:4" ht="45" customHeight="1" x14ac:dyDescent="0.2">
      <c r="A11" s="35" t="s">
        <v>412</v>
      </c>
      <c r="B11" s="35" t="s">
        <v>1648</v>
      </c>
      <c r="C11" s="35" t="s">
        <v>1649</v>
      </c>
      <c r="D11" s="35" t="s">
        <v>1650</v>
      </c>
    </row>
    <row r="12" spans="1:4" ht="45" customHeight="1" x14ac:dyDescent="0.2">
      <c r="A12" s="35" t="s">
        <v>513</v>
      </c>
      <c r="B12" s="35" t="s">
        <v>1651</v>
      </c>
      <c r="C12" s="35" t="s">
        <v>1652</v>
      </c>
      <c r="D12" s="35" t="s">
        <v>1653</v>
      </c>
    </row>
    <row r="13" spans="1:4" ht="45" customHeight="1" x14ac:dyDescent="0.2">
      <c r="A13" s="35" t="s">
        <v>64</v>
      </c>
      <c r="B13" s="35" t="s">
        <v>1654</v>
      </c>
      <c r="C13" s="35" t="s">
        <v>1655</v>
      </c>
      <c r="D13" s="35" t="s">
        <v>1656</v>
      </c>
    </row>
    <row r="14" spans="1:4" ht="45" customHeight="1" x14ac:dyDescent="0.2">
      <c r="A14" s="35" t="s">
        <v>59</v>
      </c>
      <c r="B14" s="35" t="s">
        <v>1657</v>
      </c>
      <c r="C14" s="35" t="s">
        <v>1658</v>
      </c>
      <c r="D14" s="35" t="s">
        <v>1659</v>
      </c>
    </row>
    <row r="15" spans="1:4" x14ac:dyDescent="0.2">
      <c r="A15" t="s">
        <v>554</v>
      </c>
      <c r="B15" t="s">
        <v>1660</v>
      </c>
      <c r="C15" t="s">
        <v>1661</v>
      </c>
      <c r="D15" t="s">
        <v>1662</v>
      </c>
    </row>
  </sheetData>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82235"/>
  </sheetPr>
  <dimension ref="A1:P312"/>
  <sheetViews>
    <sheetView showGridLines="0" zoomScale="110" zoomScaleNormal="110" workbookViewId="0">
      <pane ySplit="1" topLeftCell="A297" activePane="bottomLeft" state="frozen"/>
      <selection activeCell="A11" sqref="A11"/>
      <selection pane="bottomLeft" activeCell="B283" sqref="B283"/>
    </sheetView>
  </sheetViews>
  <sheetFormatPr defaultColWidth="8.7109375" defaultRowHeight="12.75" x14ac:dyDescent="0.2"/>
  <cols>
    <col min="1" max="1" width="5" customWidth="1"/>
    <col min="2" max="2" width="28" customWidth="1"/>
    <col min="3" max="3" width="14" customWidth="1"/>
    <col min="4" max="4" width="12" customWidth="1"/>
    <col min="5" max="5" width="4.5703125" customWidth="1"/>
    <col min="6" max="6" width="19.5703125" customWidth="1"/>
    <col min="7" max="7" width="9.28515625" customWidth="1"/>
    <col min="8" max="8" width="10.5703125" customWidth="1"/>
    <col min="9" max="9" width="23.140625" customWidth="1"/>
    <col min="10" max="10" width="29.85546875" customWidth="1"/>
    <col min="11" max="11" width="13.28515625" customWidth="1"/>
    <col min="12" max="12" width="62.28515625" customWidth="1"/>
    <col min="13" max="13" width="9.7109375" customWidth="1"/>
    <col min="14" max="14" width="12" customWidth="1"/>
    <col min="15" max="15" width="14" customWidth="1"/>
    <col min="16" max="16" width="45" customWidth="1"/>
  </cols>
  <sheetData>
    <row r="1" spans="1:16" ht="30" customHeight="1" x14ac:dyDescent="0.2">
      <c r="A1" s="40" t="s">
        <v>0</v>
      </c>
      <c r="B1" s="41"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row>
    <row r="2" spans="1:16" ht="45" customHeight="1" x14ac:dyDescent="0.2">
      <c r="A2" s="42">
        <v>1</v>
      </c>
      <c r="B2" s="42" t="s">
        <v>16</v>
      </c>
      <c r="C2" s="42" t="s">
        <v>17</v>
      </c>
      <c r="D2" s="42" t="s">
        <v>18</v>
      </c>
      <c r="E2" s="42">
        <v>1</v>
      </c>
      <c r="F2" s="42" t="s">
        <v>19</v>
      </c>
      <c r="G2" s="42" t="s">
        <v>20</v>
      </c>
      <c r="H2" s="42" t="s">
        <v>21</v>
      </c>
      <c r="I2" s="42" t="s">
        <v>22</v>
      </c>
      <c r="J2" s="42" t="s">
        <v>23</v>
      </c>
      <c r="K2" s="42" t="s">
        <v>24</v>
      </c>
      <c r="L2" s="43" t="s">
        <v>25</v>
      </c>
      <c r="M2" s="42">
        <f t="shared" ref="M2:M16" si="0">LEN(L2)</f>
        <v>128</v>
      </c>
      <c r="N2" s="42" t="str">
        <f t="shared" ref="N2:N16" si="1">IF(L2="","Eksik",IF(M2&lt;=130,"Uygun","130 karakteri aşıyor"))</f>
        <v>Uygun</v>
      </c>
      <c r="O2" s="42">
        <v>8</v>
      </c>
      <c r="P2" s="42" t="s">
        <v>26</v>
      </c>
    </row>
    <row r="3" spans="1:16" ht="60" customHeight="1" x14ac:dyDescent="0.2">
      <c r="A3" s="42">
        <v>2</v>
      </c>
      <c r="B3" s="42" t="s">
        <v>27</v>
      </c>
      <c r="C3" s="42" t="s">
        <v>17</v>
      </c>
      <c r="D3" s="42" t="s">
        <v>18</v>
      </c>
      <c r="E3" s="42">
        <v>1</v>
      </c>
      <c r="F3" s="42" t="s">
        <v>19</v>
      </c>
      <c r="G3" s="42" t="s">
        <v>28</v>
      </c>
      <c r="H3" s="42" t="s">
        <v>21</v>
      </c>
      <c r="I3" s="42" t="s">
        <v>29</v>
      </c>
      <c r="J3" s="42" t="s">
        <v>30</v>
      </c>
      <c r="K3" s="42" t="s">
        <v>24</v>
      </c>
      <c r="L3" s="43" t="s">
        <v>31</v>
      </c>
      <c r="M3" s="42">
        <f t="shared" si="0"/>
        <v>122</v>
      </c>
      <c r="N3" s="42" t="str">
        <f t="shared" si="1"/>
        <v>Uygun</v>
      </c>
      <c r="O3" s="42">
        <v>9</v>
      </c>
      <c r="P3" s="42" t="s">
        <v>32</v>
      </c>
    </row>
    <row r="4" spans="1:16" ht="45" customHeight="1" x14ac:dyDescent="0.2">
      <c r="A4" s="42">
        <v>3</v>
      </c>
      <c r="B4" s="42" t="s">
        <v>33</v>
      </c>
      <c r="C4" s="42" t="s">
        <v>17</v>
      </c>
      <c r="D4" s="42" t="s">
        <v>18</v>
      </c>
      <c r="E4" s="42">
        <v>1</v>
      </c>
      <c r="F4" s="42" t="s">
        <v>19</v>
      </c>
      <c r="G4" s="42" t="s">
        <v>20</v>
      </c>
      <c r="H4" s="42" t="s">
        <v>34</v>
      </c>
      <c r="I4" s="42" t="s">
        <v>35</v>
      </c>
      <c r="J4" s="42" t="s">
        <v>36</v>
      </c>
      <c r="K4" s="42" t="s">
        <v>24</v>
      </c>
      <c r="L4" s="43" t="s">
        <v>37</v>
      </c>
      <c r="M4" s="42">
        <f t="shared" si="0"/>
        <v>129</v>
      </c>
      <c r="N4" s="42" t="str">
        <f t="shared" si="1"/>
        <v>Uygun</v>
      </c>
      <c r="O4" s="42">
        <v>9</v>
      </c>
      <c r="P4" s="42" t="s">
        <v>38</v>
      </c>
    </row>
    <row r="5" spans="1:16" ht="60" customHeight="1" x14ac:dyDescent="0.2">
      <c r="A5" s="42">
        <v>4</v>
      </c>
      <c r="B5" s="42" t="s">
        <v>39</v>
      </c>
      <c r="C5" s="42" t="s">
        <v>17</v>
      </c>
      <c r="D5" s="42" t="s">
        <v>18</v>
      </c>
      <c r="E5" s="42">
        <v>1</v>
      </c>
      <c r="F5" s="42" t="s">
        <v>40</v>
      </c>
      <c r="G5" s="42" t="s">
        <v>20</v>
      </c>
      <c r="H5" s="42" t="s">
        <v>41</v>
      </c>
      <c r="I5" s="42" t="s">
        <v>42</v>
      </c>
      <c r="J5" s="42" t="s">
        <v>43</v>
      </c>
      <c r="K5" s="42" t="s">
        <v>24</v>
      </c>
      <c r="L5" s="43" t="s">
        <v>44</v>
      </c>
      <c r="M5" s="42">
        <f t="shared" si="0"/>
        <v>122</v>
      </c>
      <c r="N5" s="42" t="str">
        <f t="shared" si="1"/>
        <v>Uygun</v>
      </c>
      <c r="O5" s="42">
        <v>10</v>
      </c>
      <c r="P5" s="42" t="s">
        <v>45</v>
      </c>
    </row>
    <row r="6" spans="1:16" ht="60" customHeight="1" x14ac:dyDescent="0.2">
      <c r="A6" s="42">
        <v>5</v>
      </c>
      <c r="B6" s="42" t="s">
        <v>46</v>
      </c>
      <c r="C6" s="42" t="s">
        <v>17</v>
      </c>
      <c r="D6" s="42" t="s">
        <v>18</v>
      </c>
      <c r="E6" s="42">
        <v>1</v>
      </c>
      <c r="F6" s="42" t="s">
        <v>19</v>
      </c>
      <c r="G6" s="42" t="s">
        <v>28</v>
      </c>
      <c r="H6" s="42" t="s">
        <v>47</v>
      </c>
      <c r="I6" s="42" t="s">
        <v>48</v>
      </c>
      <c r="J6" s="42" t="s">
        <v>49</v>
      </c>
      <c r="K6" s="42" t="s">
        <v>24</v>
      </c>
      <c r="L6" s="43" t="s">
        <v>50</v>
      </c>
      <c r="M6" s="42">
        <f t="shared" si="0"/>
        <v>129</v>
      </c>
      <c r="N6" s="42" t="str">
        <f t="shared" si="1"/>
        <v>Uygun</v>
      </c>
      <c r="O6" s="42">
        <v>10</v>
      </c>
      <c r="P6" s="42" t="s">
        <v>51</v>
      </c>
    </row>
    <row r="7" spans="1:16" ht="60" customHeight="1" x14ac:dyDescent="0.2">
      <c r="A7" s="42">
        <v>6</v>
      </c>
      <c r="B7" s="42" t="s">
        <v>52</v>
      </c>
      <c r="C7" s="42" t="s">
        <v>17</v>
      </c>
      <c r="D7" s="42" t="s">
        <v>18</v>
      </c>
      <c r="E7" s="42">
        <v>1</v>
      </c>
      <c r="F7" s="42" t="s">
        <v>40</v>
      </c>
      <c r="G7" s="42" t="s">
        <v>20</v>
      </c>
      <c r="H7" s="42" t="s">
        <v>53</v>
      </c>
      <c r="I7" s="42" t="s">
        <v>54</v>
      </c>
      <c r="J7" s="42" t="s">
        <v>55</v>
      </c>
      <c r="K7" s="42" t="s">
        <v>24</v>
      </c>
      <c r="L7" s="43" t="s">
        <v>56</v>
      </c>
      <c r="M7" s="42">
        <f t="shared" si="0"/>
        <v>127</v>
      </c>
      <c r="N7" s="42" t="str">
        <f t="shared" si="1"/>
        <v>Uygun</v>
      </c>
      <c r="O7" s="42">
        <v>10</v>
      </c>
      <c r="P7" s="42" t="s">
        <v>57</v>
      </c>
    </row>
    <row r="8" spans="1:16" ht="45" customHeight="1" x14ac:dyDescent="0.2">
      <c r="A8" s="42">
        <v>7</v>
      </c>
      <c r="B8" s="42" t="s">
        <v>58</v>
      </c>
      <c r="C8" s="42" t="s">
        <v>17</v>
      </c>
      <c r="D8" s="42" t="s">
        <v>18</v>
      </c>
      <c r="E8" s="42">
        <v>1</v>
      </c>
      <c r="F8" s="42" t="s">
        <v>59</v>
      </c>
      <c r="G8" s="42" t="s">
        <v>28</v>
      </c>
      <c r="H8" s="42" t="s">
        <v>60</v>
      </c>
      <c r="I8" s="42" t="s">
        <v>35</v>
      </c>
      <c r="J8" s="42" t="s">
        <v>36</v>
      </c>
      <c r="K8" s="42" t="s">
        <v>24</v>
      </c>
      <c r="L8" s="43" t="s">
        <v>61</v>
      </c>
      <c r="M8" s="42">
        <f t="shared" si="0"/>
        <v>127</v>
      </c>
      <c r="N8" s="42" t="str">
        <f t="shared" si="1"/>
        <v>Uygun</v>
      </c>
      <c r="O8" s="42">
        <v>9</v>
      </c>
      <c r="P8" s="42" t="s">
        <v>62</v>
      </c>
    </row>
    <row r="9" spans="1:16" ht="60" customHeight="1" x14ac:dyDescent="0.2">
      <c r="A9" s="42">
        <v>8</v>
      </c>
      <c r="B9" s="42" t="s">
        <v>63</v>
      </c>
      <c r="C9" s="42" t="s">
        <v>17</v>
      </c>
      <c r="D9" s="42" t="s">
        <v>18</v>
      </c>
      <c r="E9" s="42">
        <v>1</v>
      </c>
      <c r="F9" s="42" t="s">
        <v>64</v>
      </c>
      <c r="G9" s="42" t="s">
        <v>20</v>
      </c>
      <c r="H9" s="42" t="s">
        <v>47</v>
      </c>
      <c r="I9" s="42" t="s">
        <v>54</v>
      </c>
      <c r="J9" s="42" t="s">
        <v>55</v>
      </c>
      <c r="K9" s="42" t="s">
        <v>24</v>
      </c>
      <c r="L9" s="43" t="s">
        <v>65</v>
      </c>
      <c r="M9" s="42">
        <f t="shared" si="0"/>
        <v>115</v>
      </c>
      <c r="N9" s="42" t="str">
        <f t="shared" si="1"/>
        <v>Uygun</v>
      </c>
      <c r="O9" s="42">
        <v>10</v>
      </c>
      <c r="P9" s="42" t="s">
        <v>66</v>
      </c>
    </row>
    <row r="10" spans="1:16" ht="60" customHeight="1" x14ac:dyDescent="0.2">
      <c r="A10" s="42">
        <v>9</v>
      </c>
      <c r="B10" s="42" t="s">
        <v>67</v>
      </c>
      <c r="C10" s="42" t="s">
        <v>17</v>
      </c>
      <c r="D10" s="42" t="s">
        <v>18</v>
      </c>
      <c r="E10" s="42">
        <v>1</v>
      </c>
      <c r="F10" s="42" t="s">
        <v>19</v>
      </c>
      <c r="G10" s="42" t="s">
        <v>28</v>
      </c>
      <c r="H10" s="42" t="s">
        <v>60</v>
      </c>
      <c r="I10" s="42" t="s">
        <v>68</v>
      </c>
      <c r="J10" s="42" t="s">
        <v>69</v>
      </c>
      <c r="K10" s="42" t="s">
        <v>24</v>
      </c>
      <c r="L10" s="43" t="s">
        <v>70</v>
      </c>
      <c r="M10" s="42">
        <f t="shared" si="0"/>
        <v>128</v>
      </c>
      <c r="N10" s="42" t="str">
        <f t="shared" si="1"/>
        <v>Uygun</v>
      </c>
      <c r="O10" s="42">
        <v>10</v>
      </c>
      <c r="P10" s="42" t="s">
        <v>71</v>
      </c>
    </row>
    <row r="11" spans="1:16" ht="48.75" customHeight="1" x14ac:dyDescent="0.2">
      <c r="A11" s="42">
        <v>10</v>
      </c>
      <c r="B11" s="42" t="s">
        <v>72</v>
      </c>
      <c r="C11" s="42" t="s">
        <v>17</v>
      </c>
      <c r="D11" s="42" t="s">
        <v>18</v>
      </c>
      <c r="E11" s="42">
        <v>1</v>
      </c>
      <c r="F11" s="42" t="s">
        <v>40</v>
      </c>
      <c r="G11" s="42" t="s">
        <v>28</v>
      </c>
      <c r="H11" s="42" t="s">
        <v>73</v>
      </c>
      <c r="I11" s="42" t="s">
        <v>74</v>
      </c>
      <c r="J11" s="42" t="s">
        <v>75</v>
      </c>
      <c r="K11" s="42" t="s">
        <v>24</v>
      </c>
      <c r="L11" s="43" t="s">
        <v>76</v>
      </c>
      <c r="M11" s="42">
        <f t="shared" si="0"/>
        <v>130</v>
      </c>
      <c r="N11" s="42" t="str">
        <f t="shared" si="1"/>
        <v>Uygun</v>
      </c>
      <c r="O11" s="42">
        <v>9</v>
      </c>
      <c r="P11" s="42" t="s">
        <v>77</v>
      </c>
    </row>
    <row r="12" spans="1:16" ht="41.25" customHeight="1" x14ac:dyDescent="0.2">
      <c r="A12" s="42">
        <v>11</v>
      </c>
      <c r="B12" s="42" t="s">
        <v>78</v>
      </c>
      <c r="C12" s="42" t="s">
        <v>17</v>
      </c>
      <c r="D12" s="42" t="s">
        <v>18</v>
      </c>
      <c r="E12" s="42">
        <v>1</v>
      </c>
      <c r="F12" s="42" t="s">
        <v>19</v>
      </c>
      <c r="G12" s="42" t="s">
        <v>20</v>
      </c>
      <c r="H12" s="42" t="s">
        <v>79</v>
      </c>
      <c r="I12" s="42" t="s">
        <v>80</v>
      </c>
      <c r="J12" s="42" t="s">
        <v>81</v>
      </c>
      <c r="K12" s="42" t="s">
        <v>24</v>
      </c>
      <c r="L12" s="43" t="s">
        <v>82</v>
      </c>
      <c r="M12" s="42">
        <f t="shared" si="0"/>
        <v>128</v>
      </c>
      <c r="N12" s="42" t="str">
        <f t="shared" si="1"/>
        <v>Uygun</v>
      </c>
      <c r="O12" s="42">
        <v>8</v>
      </c>
      <c r="P12" s="42" t="s">
        <v>83</v>
      </c>
    </row>
    <row r="13" spans="1:16" ht="60" customHeight="1" x14ac:dyDescent="0.2">
      <c r="A13" s="42">
        <v>12</v>
      </c>
      <c r="B13" s="42" t="s">
        <v>84</v>
      </c>
      <c r="C13" s="42" t="s">
        <v>17</v>
      </c>
      <c r="D13" s="42" t="s">
        <v>18</v>
      </c>
      <c r="E13" s="42">
        <v>1</v>
      </c>
      <c r="F13" s="42" t="s">
        <v>19</v>
      </c>
      <c r="G13" s="42" t="s">
        <v>28</v>
      </c>
      <c r="H13" s="42" t="s">
        <v>21</v>
      </c>
      <c r="I13" s="42" t="s">
        <v>54</v>
      </c>
      <c r="J13" s="42" t="s">
        <v>55</v>
      </c>
      <c r="K13" s="42" t="s">
        <v>24</v>
      </c>
      <c r="L13" s="43" t="s">
        <v>85</v>
      </c>
      <c r="M13" s="42">
        <f t="shared" si="0"/>
        <v>116</v>
      </c>
      <c r="N13" s="42" t="str">
        <f t="shared" si="1"/>
        <v>Uygun</v>
      </c>
      <c r="O13" s="42">
        <v>10</v>
      </c>
      <c r="P13" s="42" t="s">
        <v>86</v>
      </c>
    </row>
    <row r="14" spans="1:16" ht="45" customHeight="1" x14ac:dyDescent="0.2">
      <c r="A14" s="42">
        <v>13</v>
      </c>
      <c r="B14" s="42" t="s">
        <v>87</v>
      </c>
      <c r="C14" s="42" t="s">
        <v>17</v>
      </c>
      <c r="D14" s="42" t="s">
        <v>18</v>
      </c>
      <c r="E14" s="42">
        <v>1</v>
      </c>
      <c r="F14" s="42" t="s">
        <v>40</v>
      </c>
      <c r="G14" s="42" t="s">
        <v>20</v>
      </c>
      <c r="H14" s="42" t="s">
        <v>34</v>
      </c>
      <c r="I14" s="42" t="s">
        <v>88</v>
      </c>
      <c r="J14" s="42" t="s">
        <v>89</v>
      </c>
      <c r="K14" s="42" t="s">
        <v>24</v>
      </c>
      <c r="L14" s="43" t="s">
        <v>90</v>
      </c>
      <c r="M14" s="42">
        <f t="shared" si="0"/>
        <v>125</v>
      </c>
      <c r="N14" s="42" t="str">
        <f t="shared" si="1"/>
        <v>Uygun</v>
      </c>
      <c r="O14" s="42">
        <v>8</v>
      </c>
      <c r="P14" s="42" t="s">
        <v>91</v>
      </c>
    </row>
    <row r="15" spans="1:16" ht="60" customHeight="1" x14ac:dyDescent="0.2">
      <c r="A15" s="42">
        <v>14</v>
      </c>
      <c r="B15" s="42" t="s">
        <v>92</v>
      </c>
      <c r="C15" s="42" t="s">
        <v>17</v>
      </c>
      <c r="D15" s="42" t="s">
        <v>18</v>
      </c>
      <c r="E15" s="42">
        <v>1</v>
      </c>
      <c r="F15" s="42" t="s">
        <v>19</v>
      </c>
      <c r="G15" s="42" t="s">
        <v>28</v>
      </c>
      <c r="H15" s="42" t="s">
        <v>93</v>
      </c>
      <c r="I15" s="42" t="s">
        <v>29</v>
      </c>
      <c r="J15" s="42" t="s">
        <v>30</v>
      </c>
      <c r="K15" s="42" t="s">
        <v>24</v>
      </c>
      <c r="L15" s="43" t="s">
        <v>94</v>
      </c>
      <c r="M15" s="42">
        <f t="shared" si="0"/>
        <v>127</v>
      </c>
      <c r="N15" s="42" t="str">
        <f t="shared" si="1"/>
        <v>Uygun</v>
      </c>
      <c r="O15" s="42">
        <v>9</v>
      </c>
      <c r="P15" s="42" t="s">
        <v>95</v>
      </c>
    </row>
    <row r="16" spans="1:16" ht="45" customHeight="1" x14ac:dyDescent="0.2">
      <c r="A16" s="42">
        <v>15</v>
      </c>
      <c r="B16" s="42" t="s">
        <v>96</v>
      </c>
      <c r="C16" s="42" t="s">
        <v>17</v>
      </c>
      <c r="D16" s="42" t="s">
        <v>18</v>
      </c>
      <c r="E16" s="42">
        <v>1</v>
      </c>
      <c r="F16" s="42" t="s">
        <v>19</v>
      </c>
      <c r="G16" s="42" t="s">
        <v>20</v>
      </c>
      <c r="H16" s="42" t="s">
        <v>34</v>
      </c>
      <c r="I16" s="42" t="s">
        <v>22</v>
      </c>
      <c r="J16" s="42" t="s">
        <v>23</v>
      </c>
      <c r="K16" s="42" t="s">
        <v>24</v>
      </c>
      <c r="L16" s="43" t="s">
        <v>97</v>
      </c>
      <c r="M16" s="42">
        <f t="shared" si="0"/>
        <v>127</v>
      </c>
      <c r="N16" s="42" t="str">
        <f t="shared" si="1"/>
        <v>Uygun</v>
      </c>
      <c r="O16" s="42">
        <v>8</v>
      </c>
      <c r="P16" s="42" t="s">
        <v>98</v>
      </c>
    </row>
    <row r="17" spans="1:16" ht="45" customHeight="1" x14ac:dyDescent="0.2">
      <c r="A17" s="42">
        <v>16</v>
      </c>
      <c r="B17" s="42" t="s">
        <v>99</v>
      </c>
      <c r="C17" s="42" t="s">
        <v>17</v>
      </c>
      <c r="D17" s="42" t="s">
        <v>18</v>
      </c>
      <c r="E17" s="42">
        <v>1</v>
      </c>
      <c r="F17" s="42" t="s">
        <v>19</v>
      </c>
      <c r="G17" s="42" t="s">
        <v>28</v>
      </c>
      <c r="H17" s="42" t="s">
        <v>47</v>
      </c>
      <c r="I17" s="42" t="s">
        <v>35</v>
      </c>
      <c r="J17" s="42" t="s">
        <v>36</v>
      </c>
      <c r="K17" s="42" t="s">
        <v>24</v>
      </c>
      <c r="L17" s="43" t="s">
        <v>100</v>
      </c>
      <c r="M17" s="42">
        <v>129</v>
      </c>
      <c r="N17" s="42" t="s">
        <v>101</v>
      </c>
      <c r="O17" s="42">
        <v>9</v>
      </c>
      <c r="P17" s="42" t="s">
        <v>102</v>
      </c>
    </row>
    <row r="18" spans="1:16" ht="60" customHeight="1" x14ac:dyDescent="0.2">
      <c r="A18" s="42">
        <v>17</v>
      </c>
      <c r="B18" s="42" t="s">
        <v>103</v>
      </c>
      <c r="C18" s="42" t="s">
        <v>17</v>
      </c>
      <c r="D18" s="42" t="s">
        <v>18</v>
      </c>
      <c r="E18" s="42">
        <v>1</v>
      </c>
      <c r="F18" s="42" t="s">
        <v>41</v>
      </c>
      <c r="G18" s="42" t="s">
        <v>20</v>
      </c>
      <c r="H18" s="42" t="s">
        <v>41</v>
      </c>
      <c r="I18" s="42" t="s">
        <v>42</v>
      </c>
      <c r="J18" s="42" t="s">
        <v>43</v>
      </c>
      <c r="K18" s="42" t="s">
        <v>24</v>
      </c>
      <c r="L18" s="43" t="s">
        <v>104</v>
      </c>
      <c r="M18" s="42">
        <f t="shared" ref="M18:M41" si="2">LEN(L18)</f>
        <v>128</v>
      </c>
      <c r="N18" s="42" t="str">
        <f t="shared" ref="N18:N41" si="3">IF(L18="","Eksik",IF(M18&lt;=130,"Uygun","130 karakteri aşıyor"))</f>
        <v>Uygun</v>
      </c>
      <c r="O18" s="42">
        <v>10</v>
      </c>
      <c r="P18" s="42" t="s">
        <v>105</v>
      </c>
    </row>
    <row r="19" spans="1:16" ht="60" customHeight="1" x14ac:dyDescent="0.2">
      <c r="A19" s="42">
        <v>18</v>
      </c>
      <c r="B19" s="42" t="s">
        <v>106</v>
      </c>
      <c r="C19" s="42" t="s">
        <v>17</v>
      </c>
      <c r="D19" s="42" t="s">
        <v>18</v>
      </c>
      <c r="E19" s="42">
        <v>1</v>
      </c>
      <c r="F19" s="42" t="s">
        <v>59</v>
      </c>
      <c r="G19" s="42" t="s">
        <v>28</v>
      </c>
      <c r="H19" s="42" t="s">
        <v>60</v>
      </c>
      <c r="I19" s="42" t="s">
        <v>68</v>
      </c>
      <c r="J19" s="42" t="s">
        <v>69</v>
      </c>
      <c r="K19" s="42" t="s">
        <v>24</v>
      </c>
      <c r="L19" s="43" t="s">
        <v>107</v>
      </c>
      <c r="M19" s="42">
        <f t="shared" si="2"/>
        <v>130</v>
      </c>
      <c r="N19" s="42" t="str">
        <f t="shared" si="3"/>
        <v>Uygun</v>
      </c>
      <c r="O19" s="42">
        <v>10</v>
      </c>
      <c r="P19" s="42" t="s">
        <v>108</v>
      </c>
    </row>
    <row r="20" spans="1:16" ht="75" customHeight="1" x14ac:dyDescent="0.2">
      <c r="A20" s="42">
        <v>19</v>
      </c>
      <c r="B20" s="42" t="s">
        <v>109</v>
      </c>
      <c r="C20" s="42" t="s">
        <v>17</v>
      </c>
      <c r="D20" s="42" t="s">
        <v>18</v>
      </c>
      <c r="E20" s="42">
        <v>1</v>
      </c>
      <c r="F20" s="42" t="s">
        <v>19</v>
      </c>
      <c r="G20" s="42" t="s">
        <v>20</v>
      </c>
      <c r="H20" s="42" t="s">
        <v>110</v>
      </c>
      <c r="I20" s="42" t="s">
        <v>111</v>
      </c>
      <c r="J20" s="42" t="s">
        <v>112</v>
      </c>
      <c r="K20" s="42" t="s">
        <v>24</v>
      </c>
      <c r="L20" s="43" t="s">
        <v>113</v>
      </c>
      <c r="M20" s="42">
        <f t="shared" si="2"/>
        <v>128</v>
      </c>
      <c r="N20" s="42" t="str">
        <f t="shared" si="3"/>
        <v>Uygun</v>
      </c>
      <c r="O20" s="42">
        <v>10</v>
      </c>
      <c r="P20" s="42" t="s">
        <v>114</v>
      </c>
    </row>
    <row r="21" spans="1:16" ht="45" customHeight="1" x14ac:dyDescent="0.2">
      <c r="A21" s="42">
        <v>20</v>
      </c>
      <c r="B21" s="42" t="s">
        <v>115</v>
      </c>
      <c r="C21" s="42" t="s">
        <v>17</v>
      </c>
      <c r="D21" s="42" t="s">
        <v>18</v>
      </c>
      <c r="E21" s="42">
        <v>1</v>
      </c>
      <c r="F21" s="42" t="s">
        <v>40</v>
      </c>
      <c r="G21" s="42" t="s">
        <v>20</v>
      </c>
      <c r="H21" s="42" t="s">
        <v>116</v>
      </c>
      <c r="I21" s="42" t="s">
        <v>88</v>
      </c>
      <c r="J21" s="42" t="s">
        <v>89</v>
      </c>
      <c r="K21" s="42" t="s">
        <v>24</v>
      </c>
      <c r="L21" s="43" t="s">
        <v>117</v>
      </c>
      <c r="M21" s="42">
        <f t="shared" si="2"/>
        <v>125</v>
      </c>
      <c r="N21" s="42" t="str">
        <f t="shared" si="3"/>
        <v>Uygun</v>
      </c>
      <c r="O21" s="42">
        <v>8</v>
      </c>
      <c r="P21" s="42" t="s">
        <v>118</v>
      </c>
    </row>
    <row r="22" spans="1:16" ht="60" customHeight="1" x14ac:dyDescent="0.2">
      <c r="A22" s="42">
        <v>21</v>
      </c>
      <c r="B22" s="42" t="s">
        <v>119</v>
      </c>
      <c r="C22" s="42" t="s">
        <v>17</v>
      </c>
      <c r="D22" s="42" t="s">
        <v>18</v>
      </c>
      <c r="E22" s="42">
        <v>1</v>
      </c>
      <c r="F22" s="42" t="s">
        <v>41</v>
      </c>
      <c r="G22" s="42" t="s">
        <v>28</v>
      </c>
      <c r="H22" s="42" t="s">
        <v>21</v>
      </c>
      <c r="I22" s="42" t="s">
        <v>29</v>
      </c>
      <c r="J22" s="42" t="s">
        <v>30</v>
      </c>
      <c r="K22" s="42" t="s">
        <v>24</v>
      </c>
      <c r="L22" s="43" t="s">
        <v>120</v>
      </c>
      <c r="M22" s="42">
        <f t="shared" si="2"/>
        <v>120</v>
      </c>
      <c r="N22" s="42" t="str">
        <f t="shared" si="3"/>
        <v>Uygun</v>
      </c>
      <c r="O22" s="42">
        <v>9</v>
      </c>
      <c r="P22" s="42" t="s">
        <v>121</v>
      </c>
    </row>
    <row r="23" spans="1:16" ht="45" customHeight="1" x14ac:dyDescent="0.2">
      <c r="A23" s="42">
        <v>22</v>
      </c>
      <c r="B23" s="42" t="s">
        <v>122</v>
      </c>
      <c r="C23" s="42" t="s">
        <v>17</v>
      </c>
      <c r="D23" s="42" t="s">
        <v>18</v>
      </c>
      <c r="E23" s="42">
        <v>1</v>
      </c>
      <c r="F23" s="42" t="s">
        <v>40</v>
      </c>
      <c r="G23" s="42" t="s">
        <v>28</v>
      </c>
      <c r="H23" s="42" t="s">
        <v>123</v>
      </c>
      <c r="I23" s="42" t="s">
        <v>35</v>
      </c>
      <c r="J23" s="42" t="s">
        <v>36</v>
      </c>
      <c r="K23" s="42" t="s">
        <v>24</v>
      </c>
      <c r="L23" s="43" t="s">
        <v>124</v>
      </c>
      <c r="M23" s="42">
        <f t="shared" si="2"/>
        <v>127</v>
      </c>
      <c r="N23" s="42" t="str">
        <f t="shared" si="3"/>
        <v>Uygun</v>
      </c>
      <c r="O23" s="42">
        <v>9</v>
      </c>
      <c r="P23" s="42" t="s">
        <v>125</v>
      </c>
    </row>
    <row r="24" spans="1:16" ht="60" customHeight="1" x14ac:dyDescent="0.2">
      <c r="A24" s="42">
        <v>23</v>
      </c>
      <c r="B24" s="42" t="s">
        <v>126</v>
      </c>
      <c r="C24" s="42" t="s">
        <v>17</v>
      </c>
      <c r="D24" s="42" t="s">
        <v>18</v>
      </c>
      <c r="E24" s="42">
        <v>1</v>
      </c>
      <c r="F24" s="42" t="s">
        <v>40</v>
      </c>
      <c r="G24" s="42" t="s">
        <v>20</v>
      </c>
      <c r="H24" s="42" t="s">
        <v>53</v>
      </c>
      <c r="I24" s="42" t="s">
        <v>127</v>
      </c>
      <c r="J24" s="42" t="s">
        <v>128</v>
      </c>
      <c r="K24" s="42" t="s">
        <v>24</v>
      </c>
      <c r="L24" s="43" t="s">
        <v>129</v>
      </c>
      <c r="M24" s="42">
        <f t="shared" si="2"/>
        <v>123</v>
      </c>
      <c r="N24" s="42" t="str">
        <f t="shared" si="3"/>
        <v>Uygun</v>
      </c>
      <c r="O24" s="42">
        <v>10</v>
      </c>
      <c r="P24" s="42" t="s">
        <v>130</v>
      </c>
    </row>
    <row r="25" spans="1:16" ht="75" customHeight="1" x14ac:dyDescent="0.2">
      <c r="A25" s="42">
        <v>24</v>
      </c>
      <c r="B25" s="42" t="s">
        <v>131</v>
      </c>
      <c r="C25" s="42" t="s">
        <v>17</v>
      </c>
      <c r="D25" s="42" t="s">
        <v>18</v>
      </c>
      <c r="E25" s="42">
        <v>1</v>
      </c>
      <c r="F25" s="42" t="s">
        <v>41</v>
      </c>
      <c r="G25" s="42" t="s">
        <v>28</v>
      </c>
      <c r="H25" s="42" t="s">
        <v>132</v>
      </c>
      <c r="I25" s="42" t="s">
        <v>111</v>
      </c>
      <c r="J25" s="42" t="s">
        <v>112</v>
      </c>
      <c r="K25" s="42" t="s">
        <v>24</v>
      </c>
      <c r="L25" s="43" t="s">
        <v>133</v>
      </c>
      <c r="M25" s="42">
        <f t="shared" si="2"/>
        <v>122</v>
      </c>
      <c r="N25" s="42" t="str">
        <f t="shared" si="3"/>
        <v>Uygun</v>
      </c>
      <c r="O25" s="42">
        <v>10</v>
      </c>
      <c r="P25" s="42" t="s">
        <v>134</v>
      </c>
    </row>
    <row r="26" spans="1:16" ht="45" customHeight="1" x14ac:dyDescent="0.2">
      <c r="A26" s="42">
        <v>25</v>
      </c>
      <c r="B26" s="42" t="s">
        <v>135</v>
      </c>
      <c r="C26" s="42" t="s">
        <v>17</v>
      </c>
      <c r="D26" s="42" t="s">
        <v>18</v>
      </c>
      <c r="E26" s="42">
        <v>1</v>
      </c>
      <c r="F26" s="42" t="s">
        <v>19</v>
      </c>
      <c r="G26" s="42" t="s">
        <v>20</v>
      </c>
      <c r="H26" s="42" t="s">
        <v>79</v>
      </c>
      <c r="I26" s="42" t="s">
        <v>35</v>
      </c>
      <c r="J26" s="42" t="s">
        <v>36</v>
      </c>
      <c r="K26" s="42" t="s">
        <v>24</v>
      </c>
      <c r="L26" s="43" t="s">
        <v>136</v>
      </c>
      <c r="M26" s="42">
        <f t="shared" si="2"/>
        <v>125</v>
      </c>
      <c r="N26" s="42" t="str">
        <f t="shared" si="3"/>
        <v>Uygun</v>
      </c>
      <c r="O26" s="42">
        <v>9</v>
      </c>
      <c r="P26" s="42" t="s">
        <v>137</v>
      </c>
    </row>
    <row r="27" spans="1:16" ht="60" customHeight="1" x14ac:dyDescent="0.2">
      <c r="A27" s="42">
        <v>26</v>
      </c>
      <c r="B27" s="42" t="s">
        <v>138</v>
      </c>
      <c r="C27" s="42" t="s">
        <v>17</v>
      </c>
      <c r="D27" s="42" t="s">
        <v>18</v>
      </c>
      <c r="E27" s="42">
        <v>1</v>
      </c>
      <c r="F27" s="42" t="s">
        <v>41</v>
      </c>
      <c r="G27" s="42" t="s">
        <v>28</v>
      </c>
      <c r="H27" s="42" t="s">
        <v>41</v>
      </c>
      <c r="I27" s="42" t="s">
        <v>42</v>
      </c>
      <c r="J27" s="42" t="s">
        <v>43</v>
      </c>
      <c r="K27" s="42" t="s">
        <v>24</v>
      </c>
      <c r="L27" s="43" t="s">
        <v>139</v>
      </c>
      <c r="M27" s="42">
        <f t="shared" si="2"/>
        <v>122</v>
      </c>
      <c r="N27" s="42" t="str">
        <f t="shared" si="3"/>
        <v>Uygun</v>
      </c>
      <c r="O27" s="42">
        <v>10</v>
      </c>
      <c r="P27" s="42" t="s">
        <v>140</v>
      </c>
    </row>
    <row r="28" spans="1:16" ht="60" customHeight="1" x14ac:dyDescent="0.2">
      <c r="A28" s="42">
        <v>27</v>
      </c>
      <c r="B28" s="42" t="s">
        <v>141</v>
      </c>
      <c r="C28" s="42" t="s">
        <v>17</v>
      </c>
      <c r="D28" s="42" t="s">
        <v>18</v>
      </c>
      <c r="E28" s="42">
        <v>1</v>
      </c>
      <c r="F28" s="42" t="s">
        <v>40</v>
      </c>
      <c r="G28" s="42" t="s">
        <v>20</v>
      </c>
      <c r="H28" s="42" t="s">
        <v>53</v>
      </c>
      <c r="I28" s="42" t="s">
        <v>54</v>
      </c>
      <c r="J28" s="42" t="s">
        <v>55</v>
      </c>
      <c r="K28" s="42" t="s">
        <v>24</v>
      </c>
      <c r="L28" s="43" t="s">
        <v>142</v>
      </c>
      <c r="M28" s="42">
        <f t="shared" si="2"/>
        <v>120</v>
      </c>
      <c r="N28" s="42" t="str">
        <f t="shared" si="3"/>
        <v>Uygun</v>
      </c>
      <c r="O28" s="42">
        <v>10</v>
      </c>
      <c r="P28" s="42" t="s">
        <v>143</v>
      </c>
    </row>
    <row r="29" spans="1:16" ht="45" customHeight="1" x14ac:dyDescent="0.2">
      <c r="A29" s="42">
        <v>28</v>
      </c>
      <c r="B29" s="42" t="s">
        <v>144</v>
      </c>
      <c r="C29" s="42" t="s">
        <v>17</v>
      </c>
      <c r="D29" s="42" t="s">
        <v>18</v>
      </c>
      <c r="E29" s="42">
        <v>1</v>
      </c>
      <c r="F29" s="42" t="s">
        <v>19</v>
      </c>
      <c r="G29" s="42" t="s">
        <v>28</v>
      </c>
      <c r="H29" s="42" t="s">
        <v>110</v>
      </c>
      <c r="I29" s="42" t="s">
        <v>80</v>
      </c>
      <c r="J29" s="42" t="s">
        <v>81</v>
      </c>
      <c r="K29" s="42" t="s">
        <v>24</v>
      </c>
      <c r="L29" s="43" t="s">
        <v>145</v>
      </c>
      <c r="M29" s="42">
        <f t="shared" si="2"/>
        <v>125</v>
      </c>
      <c r="N29" s="42" t="str">
        <f t="shared" si="3"/>
        <v>Uygun</v>
      </c>
      <c r="O29" s="42">
        <v>8</v>
      </c>
      <c r="P29" s="42" t="s">
        <v>146</v>
      </c>
    </row>
    <row r="30" spans="1:16" ht="60" customHeight="1" x14ac:dyDescent="0.2">
      <c r="A30" s="42">
        <v>29</v>
      </c>
      <c r="B30" s="42" t="s">
        <v>147</v>
      </c>
      <c r="C30" s="42" t="s">
        <v>17</v>
      </c>
      <c r="D30" s="42" t="s">
        <v>18</v>
      </c>
      <c r="E30" s="42">
        <v>1</v>
      </c>
      <c r="F30" s="42" t="s">
        <v>19</v>
      </c>
      <c r="G30" s="42" t="s">
        <v>20</v>
      </c>
      <c r="H30" s="42" t="s">
        <v>73</v>
      </c>
      <c r="I30" s="42" t="s">
        <v>127</v>
      </c>
      <c r="J30" s="42" t="s">
        <v>128</v>
      </c>
      <c r="K30" s="42" t="s">
        <v>24</v>
      </c>
      <c r="L30" s="43" t="s">
        <v>148</v>
      </c>
      <c r="M30" s="42">
        <f t="shared" si="2"/>
        <v>129</v>
      </c>
      <c r="N30" s="42" t="str">
        <f t="shared" si="3"/>
        <v>Uygun</v>
      </c>
      <c r="O30" s="42">
        <v>10</v>
      </c>
      <c r="P30" s="42" t="s">
        <v>149</v>
      </c>
    </row>
    <row r="31" spans="1:16" ht="60" customHeight="1" x14ac:dyDescent="0.2">
      <c r="A31" s="42">
        <v>30</v>
      </c>
      <c r="B31" s="42" t="s">
        <v>150</v>
      </c>
      <c r="C31" s="42" t="s">
        <v>17</v>
      </c>
      <c r="D31" s="42" t="s">
        <v>18</v>
      </c>
      <c r="E31" s="42">
        <v>1</v>
      </c>
      <c r="F31" s="42" t="s">
        <v>40</v>
      </c>
      <c r="G31" s="42" t="s">
        <v>28</v>
      </c>
      <c r="H31" s="42" t="s">
        <v>21</v>
      </c>
      <c r="I31" s="42" t="s">
        <v>74</v>
      </c>
      <c r="J31" s="42" t="s">
        <v>75</v>
      </c>
      <c r="K31" s="42" t="s">
        <v>24</v>
      </c>
      <c r="L31" s="43" t="s">
        <v>151</v>
      </c>
      <c r="M31" s="42">
        <f t="shared" si="2"/>
        <v>129</v>
      </c>
      <c r="N31" s="42" t="str">
        <f t="shared" si="3"/>
        <v>Uygun</v>
      </c>
      <c r="O31" s="42">
        <v>9</v>
      </c>
      <c r="P31" s="42" t="s">
        <v>152</v>
      </c>
    </row>
    <row r="32" spans="1:16" ht="60" customHeight="1" x14ac:dyDescent="0.2">
      <c r="A32" s="42">
        <v>31</v>
      </c>
      <c r="B32" s="42" t="s">
        <v>153</v>
      </c>
      <c r="C32" s="42" t="s">
        <v>17</v>
      </c>
      <c r="D32" s="42" t="s">
        <v>18</v>
      </c>
      <c r="E32" s="42">
        <v>1</v>
      </c>
      <c r="F32" s="42" t="s">
        <v>19</v>
      </c>
      <c r="G32" s="42" t="s">
        <v>20</v>
      </c>
      <c r="H32" s="42" t="s">
        <v>154</v>
      </c>
      <c r="I32" s="42" t="s">
        <v>155</v>
      </c>
      <c r="J32" s="42" t="s">
        <v>156</v>
      </c>
      <c r="K32" s="42" t="s">
        <v>24</v>
      </c>
      <c r="L32" s="43" t="s">
        <v>157</v>
      </c>
      <c r="M32" s="42">
        <f t="shared" si="2"/>
        <v>124</v>
      </c>
      <c r="N32" s="42" t="str">
        <f t="shared" si="3"/>
        <v>Uygun</v>
      </c>
      <c r="O32" s="42">
        <v>10</v>
      </c>
      <c r="P32" s="42" t="s">
        <v>158</v>
      </c>
    </row>
    <row r="33" spans="1:16" ht="60" customHeight="1" x14ac:dyDescent="0.2">
      <c r="A33" s="42">
        <v>32</v>
      </c>
      <c r="B33" s="42" t="s">
        <v>159</v>
      </c>
      <c r="C33" s="42" t="s">
        <v>17</v>
      </c>
      <c r="D33" s="42" t="s">
        <v>18</v>
      </c>
      <c r="E33" s="42">
        <v>1</v>
      </c>
      <c r="F33" s="42" t="s">
        <v>19</v>
      </c>
      <c r="G33" s="42" t="s">
        <v>28</v>
      </c>
      <c r="H33" s="42" t="s">
        <v>60</v>
      </c>
      <c r="I33" s="42" t="s">
        <v>68</v>
      </c>
      <c r="J33" s="42" t="s">
        <v>69</v>
      </c>
      <c r="K33" s="42" t="s">
        <v>24</v>
      </c>
      <c r="L33" s="43" t="s">
        <v>160</v>
      </c>
      <c r="M33" s="42">
        <f t="shared" si="2"/>
        <v>130</v>
      </c>
      <c r="N33" s="42" t="str">
        <f t="shared" si="3"/>
        <v>Uygun</v>
      </c>
      <c r="O33" s="42">
        <v>10</v>
      </c>
      <c r="P33" s="42" t="s">
        <v>161</v>
      </c>
    </row>
    <row r="34" spans="1:16" ht="60" customHeight="1" x14ac:dyDescent="0.2">
      <c r="A34" s="42">
        <v>33</v>
      </c>
      <c r="B34" s="42" t="s">
        <v>162</v>
      </c>
      <c r="C34" s="42" t="s">
        <v>17</v>
      </c>
      <c r="D34" s="42" t="s">
        <v>163</v>
      </c>
      <c r="E34" s="42">
        <v>2</v>
      </c>
      <c r="F34" s="42" t="s">
        <v>40</v>
      </c>
      <c r="G34" s="42" t="s">
        <v>20</v>
      </c>
      <c r="H34" s="42" t="s">
        <v>164</v>
      </c>
      <c r="I34" s="42" t="s">
        <v>48</v>
      </c>
      <c r="J34" s="42" t="s">
        <v>49</v>
      </c>
      <c r="K34" s="42" t="s">
        <v>24</v>
      </c>
      <c r="L34" s="43" t="s">
        <v>165</v>
      </c>
      <c r="M34" s="42">
        <f t="shared" si="2"/>
        <v>121</v>
      </c>
      <c r="N34" s="42" t="str">
        <f t="shared" si="3"/>
        <v>Uygun</v>
      </c>
      <c r="O34" s="42">
        <v>10</v>
      </c>
      <c r="P34" s="42" t="s">
        <v>166</v>
      </c>
    </row>
    <row r="35" spans="1:16" ht="60" customHeight="1" x14ac:dyDescent="0.2">
      <c r="A35" s="42">
        <v>34</v>
      </c>
      <c r="B35" s="42" t="s">
        <v>167</v>
      </c>
      <c r="C35" s="42" t="s">
        <v>17</v>
      </c>
      <c r="D35" s="42" t="s">
        <v>163</v>
      </c>
      <c r="E35" s="42">
        <v>2</v>
      </c>
      <c r="F35" s="42" t="s">
        <v>19</v>
      </c>
      <c r="G35" s="42" t="s">
        <v>28</v>
      </c>
      <c r="H35" s="42" t="s">
        <v>60</v>
      </c>
      <c r="I35" s="42" t="s">
        <v>155</v>
      </c>
      <c r="J35" s="42" t="s">
        <v>156</v>
      </c>
      <c r="K35" s="42" t="s">
        <v>24</v>
      </c>
      <c r="L35" s="43" t="s">
        <v>168</v>
      </c>
      <c r="M35" s="42">
        <f t="shared" si="2"/>
        <v>130</v>
      </c>
      <c r="N35" s="42" t="str">
        <f t="shared" si="3"/>
        <v>Uygun</v>
      </c>
      <c r="O35" s="42">
        <v>10</v>
      </c>
      <c r="P35" s="42" t="s">
        <v>169</v>
      </c>
    </row>
    <row r="36" spans="1:16" ht="45" customHeight="1" x14ac:dyDescent="0.2">
      <c r="A36" s="42">
        <v>35</v>
      </c>
      <c r="B36" s="42" t="s">
        <v>170</v>
      </c>
      <c r="C36" s="42" t="s">
        <v>17</v>
      </c>
      <c r="D36" s="42" t="s">
        <v>163</v>
      </c>
      <c r="E36" s="42">
        <v>2</v>
      </c>
      <c r="F36" s="42" t="s">
        <v>59</v>
      </c>
      <c r="G36" s="42" t="s">
        <v>20</v>
      </c>
      <c r="H36" s="42" t="s">
        <v>21</v>
      </c>
      <c r="I36" s="42" t="s">
        <v>22</v>
      </c>
      <c r="J36" s="42" t="s">
        <v>23</v>
      </c>
      <c r="K36" s="42" t="s">
        <v>24</v>
      </c>
      <c r="L36" s="43" t="s">
        <v>171</v>
      </c>
      <c r="M36" s="42">
        <f t="shared" si="2"/>
        <v>127</v>
      </c>
      <c r="N36" s="42" t="str">
        <f t="shared" si="3"/>
        <v>Uygun</v>
      </c>
      <c r="O36" s="42">
        <v>8</v>
      </c>
      <c r="P36" s="42" t="s">
        <v>172</v>
      </c>
    </row>
    <row r="37" spans="1:16" ht="45" customHeight="1" x14ac:dyDescent="0.2">
      <c r="A37" s="42">
        <v>36</v>
      </c>
      <c r="B37" s="42" t="s">
        <v>173</v>
      </c>
      <c r="C37" s="42" t="s">
        <v>17</v>
      </c>
      <c r="D37" s="42" t="s">
        <v>163</v>
      </c>
      <c r="E37" s="42">
        <v>2</v>
      </c>
      <c r="F37" s="42" t="s">
        <v>41</v>
      </c>
      <c r="G37" s="42" t="s">
        <v>28</v>
      </c>
      <c r="H37" s="42" t="s">
        <v>174</v>
      </c>
      <c r="I37" s="42" t="s">
        <v>80</v>
      </c>
      <c r="J37" s="42" t="s">
        <v>81</v>
      </c>
      <c r="K37" s="42" t="s">
        <v>24</v>
      </c>
      <c r="L37" s="43" t="s">
        <v>175</v>
      </c>
      <c r="M37" s="42">
        <f t="shared" si="2"/>
        <v>127</v>
      </c>
      <c r="N37" s="42" t="str">
        <f t="shared" si="3"/>
        <v>Uygun</v>
      </c>
      <c r="O37" s="42">
        <v>8</v>
      </c>
      <c r="P37" s="42" t="s">
        <v>176</v>
      </c>
    </row>
    <row r="38" spans="1:16" ht="45" customHeight="1" x14ac:dyDescent="0.2">
      <c r="A38" s="42">
        <v>37</v>
      </c>
      <c r="B38" s="42" t="s">
        <v>177</v>
      </c>
      <c r="C38" s="42" t="s">
        <v>17</v>
      </c>
      <c r="D38" s="42" t="s">
        <v>163</v>
      </c>
      <c r="E38" s="42">
        <v>2</v>
      </c>
      <c r="F38" s="42" t="s">
        <v>40</v>
      </c>
      <c r="G38" s="42" t="s">
        <v>20</v>
      </c>
      <c r="H38" s="42" t="s">
        <v>178</v>
      </c>
      <c r="I38" s="42" t="s">
        <v>88</v>
      </c>
      <c r="J38" s="42" t="s">
        <v>89</v>
      </c>
      <c r="K38" s="42" t="s">
        <v>24</v>
      </c>
      <c r="L38" s="43" t="s">
        <v>179</v>
      </c>
      <c r="M38" s="42">
        <f t="shared" si="2"/>
        <v>127</v>
      </c>
      <c r="N38" s="42" t="str">
        <f t="shared" si="3"/>
        <v>Uygun</v>
      </c>
      <c r="O38" s="42">
        <v>8</v>
      </c>
      <c r="P38" s="42" t="s">
        <v>180</v>
      </c>
    </row>
    <row r="39" spans="1:16" ht="75" customHeight="1" x14ac:dyDescent="0.2">
      <c r="A39" s="42">
        <v>38</v>
      </c>
      <c r="B39" s="42" t="s">
        <v>181</v>
      </c>
      <c r="C39" s="42" t="s">
        <v>17</v>
      </c>
      <c r="D39" s="42" t="s">
        <v>163</v>
      </c>
      <c r="E39" s="42">
        <v>2</v>
      </c>
      <c r="F39" s="42" t="s">
        <v>19</v>
      </c>
      <c r="G39" s="42" t="s">
        <v>20</v>
      </c>
      <c r="H39" s="42" t="s">
        <v>132</v>
      </c>
      <c r="I39" s="42" t="s">
        <v>111</v>
      </c>
      <c r="J39" s="42" t="s">
        <v>112</v>
      </c>
      <c r="K39" s="42" t="s">
        <v>24</v>
      </c>
      <c r="L39" s="43" t="s">
        <v>182</v>
      </c>
      <c r="M39" s="42">
        <f t="shared" si="2"/>
        <v>123</v>
      </c>
      <c r="N39" s="42" t="str">
        <f t="shared" si="3"/>
        <v>Uygun</v>
      </c>
      <c r="O39" s="42">
        <v>10</v>
      </c>
      <c r="P39" s="42" t="s">
        <v>183</v>
      </c>
    </row>
    <row r="40" spans="1:16" ht="60" customHeight="1" x14ac:dyDescent="0.2">
      <c r="A40" s="42">
        <v>39</v>
      </c>
      <c r="B40" s="42" t="s">
        <v>184</v>
      </c>
      <c r="C40" s="42" t="s">
        <v>17</v>
      </c>
      <c r="D40" s="42" t="s">
        <v>163</v>
      </c>
      <c r="E40" s="42">
        <v>2</v>
      </c>
      <c r="F40" s="42" t="s">
        <v>19</v>
      </c>
      <c r="G40" s="42" t="s">
        <v>28</v>
      </c>
      <c r="H40" s="42" t="s">
        <v>93</v>
      </c>
      <c r="I40" s="42" t="s">
        <v>29</v>
      </c>
      <c r="J40" s="42" t="s">
        <v>30</v>
      </c>
      <c r="K40" s="42" t="s">
        <v>24</v>
      </c>
      <c r="L40" s="43" t="s">
        <v>185</v>
      </c>
      <c r="M40" s="42">
        <f t="shared" si="2"/>
        <v>128</v>
      </c>
      <c r="N40" s="42" t="str">
        <f t="shared" si="3"/>
        <v>Uygun</v>
      </c>
      <c r="O40" s="42">
        <v>9</v>
      </c>
      <c r="P40" s="42" t="s">
        <v>186</v>
      </c>
    </row>
    <row r="41" spans="1:16" ht="45" customHeight="1" x14ac:dyDescent="0.2">
      <c r="A41" s="42">
        <v>40</v>
      </c>
      <c r="B41" s="42" t="s">
        <v>187</v>
      </c>
      <c r="C41" s="42" t="s">
        <v>17</v>
      </c>
      <c r="D41" s="42" t="s">
        <v>163</v>
      </c>
      <c r="E41" s="42">
        <v>2</v>
      </c>
      <c r="F41" s="42" t="s">
        <v>59</v>
      </c>
      <c r="G41" s="42" t="s">
        <v>20</v>
      </c>
      <c r="H41" s="42" t="s">
        <v>53</v>
      </c>
      <c r="I41" s="42" t="s">
        <v>35</v>
      </c>
      <c r="J41" s="42" t="s">
        <v>36</v>
      </c>
      <c r="K41" s="42" t="s">
        <v>24</v>
      </c>
      <c r="L41" s="43" t="s">
        <v>188</v>
      </c>
      <c r="M41" s="42">
        <f t="shared" si="2"/>
        <v>128</v>
      </c>
      <c r="N41" s="42" t="str">
        <f t="shared" si="3"/>
        <v>Uygun</v>
      </c>
      <c r="O41" s="42">
        <v>9</v>
      </c>
      <c r="P41" s="42" t="s">
        <v>189</v>
      </c>
    </row>
    <row r="42" spans="1:16" ht="45" customHeight="1" x14ac:dyDescent="0.2">
      <c r="A42" s="42">
        <v>41</v>
      </c>
      <c r="B42" s="42" t="s">
        <v>190</v>
      </c>
      <c r="C42" s="42" t="s">
        <v>17</v>
      </c>
      <c r="D42" s="42" t="s">
        <v>163</v>
      </c>
      <c r="E42" s="42">
        <v>2</v>
      </c>
      <c r="F42" s="42" t="s">
        <v>19</v>
      </c>
      <c r="G42" s="42" t="s">
        <v>28</v>
      </c>
      <c r="H42" s="42" t="s">
        <v>110</v>
      </c>
      <c r="I42" s="42" t="s">
        <v>35</v>
      </c>
      <c r="J42" s="42" t="s">
        <v>36</v>
      </c>
      <c r="K42" s="42" t="s">
        <v>24</v>
      </c>
      <c r="L42" s="43" t="s">
        <v>191</v>
      </c>
      <c r="M42" s="42">
        <v>127</v>
      </c>
      <c r="N42" s="42" t="s">
        <v>101</v>
      </c>
      <c r="O42" s="42">
        <v>9</v>
      </c>
      <c r="P42" s="42" t="s">
        <v>192</v>
      </c>
    </row>
    <row r="43" spans="1:16" ht="45" customHeight="1" x14ac:dyDescent="0.2">
      <c r="A43" s="42">
        <v>42</v>
      </c>
      <c r="B43" s="42" t="s">
        <v>193</v>
      </c>
      <c r="C43" s="42" t="s">
        <v>17</v>
      </c>
      <c r="D43" s="42" t="s">
        <v>163</v>
      </c>
      <c r="E43" s="42">
        <v>2</v>
      </c>
      <c r="F43" s="42" t="s">
        <v>40</v>
      </c>
      <c r="G43" s="42" t="s">
        <v>20</v>
      </c>
      <c r="H43" s="42" t="s">
        <v>110</v>
      </c>
      <c r="I43" s="42" t="s">
        <v>88</v>
      </c>
      <c r="J43" s="42" t="s">
        <v>89</v>
      </c>
      <c r="K43" s="42" t="s">
        <v>24</v>
      </c>
      <c r="L43" s="43" t="s">
        <v>194</v>
      </c>
      <c r="M43" s="42">
        <f t="shared" ref="M43:M80" si="4">LEN(L43)</f>
        <v>123</v>
      </c>
      <c r="N43" s="42" t="str">
        <f t="shared" ref="N43:N80" si="5">IF(L43="","Eksik",IF(M43&lt;=130,"Uygun","130 karakteri aşıyor"))</f>
        <v>Uygun</v>
      </c>
      <c r="O43" s="42">
        <v>8</v>
      </c>
      <c r="P43" s="42" t="s">
        <v>195</v>
      </c>
    </row>
    <row r="44" spans="1:16" ht="60" customHeight="1" x14ac:dyDescent="0.2">
      <c r="A44" s="42">
        <v>43</v>
      </c>
      <c r="B44" s="42" t="s">
        <v>196</v>
      </c>
      <c r="C44" s="42" t="s">
        <v>17</v>
      </c>
      <c r="D44" s="42" t="s">
        <v>163</v>
      </c>
      <c r="E44" s="42">
        <v>2</v>
      </c>
      <c r="F44" s="42" t="s">
        <v>41</v>
      </c>
      <c r="G44" s="42" t="s">
        <v>28</v>
      </c>
      <c r="H44" s="42" t="s">
        <v>123</v>
      </c>
      <c r="I44" s="42" t="s">
        <v>155</v>
      </c>
      <c r="J44" s="42" t="s">
        <v>156</v>
      </c>
      <c r="K44" s="42" t="s">
        <v>24</v>
      </c>
      <c r="L44" s="43" t="s">
        <v>197</v>
      </c>
      <c r="M44" s="42">
        <f t="shared" si="4"/>
        <v>126</v>
      </c>
      <c r="N44" s="42" t="str">
        <f t="shared" si="5"/>
        <v>Uygun</v>
      </c>
      <c r="O44" s="42">
        <v>10</v>
      </c>
      <c r="P44" s="42" t="s">
        <v>198</v>
      </c>
    </row>
    <row r="45" spans="1:16" ht="45" customHeight="1" x14ac:dyDescent="0.2">
      <c r="A45" s="42">
        <v>44</v>
      </c>
      <c r="B45" s="42" t="s">
        <v>199</v>
      </c>
      <c r="C45" s="42" t="s">
        <v>17</v>
      </c>
      <c r="D45" s="42" t="s">
        <v>163</v>
      </c>
      <c r="E45" s="42">
        <v>2</v>
      </c>
      <c r="F45" s="42" t="s">
        <v>19</v>
      </c>
      <c r="G45" s="42" t="s">
        <v>20</v>
      </c>
      <c r="H45" s="42" t="s">
        <v>79</v>
      </c>
      <c r="I45" s="42" t="s">
        <v>22</v>
      </c>
      <c r="J45" s="42" t="s">
        <v>23</v>
      </c>
      <c r="K45" s="42" t="s">
        <v>24</v>
      </c>
      <c r="L45" s="43" t="s">
        <v>200</v>
      </c>
      <c r="M45" s="42">
        <f t="shared" si="4"/>
        <v>120</v>
      </c>
      <c r="N45" s="42" t="str">
        <f t="shared" si="5"/>
        <v>Uygun</v>
      </c>
      <c r="O45" s="42">
        <v>8</v>
      </c>
      <c r="P45" s="42" t="s">
        <v>201</v>
      </c>
    </row>
    <row r="46" spans="1:16" ht="75" customHeight="1" x14ac:dyDescent="0.2">
      <c r="A46" s="42">
        <v>45</v>
      </c>
      <c r="B46" s="42" t="s">
        <v>202</v>
      </c>
      <c r="C46" s="42" t="s">
        <v>17</v>
      </c>
      <c r="D46" s="42" t="s">
        <v>163</v>
      </c>
      <c r="E46" s="42">
        <v>2</v>
      </c>
      <c r="F46" s="42" t="s">
        <v>41</v>
      </c>
      <c r="G46" s="42" t="s">
        <v>28</v>
      </c>
      <c r="H46" s="42" t="s">
        <v>110</v>
      </c>
      <c r="I46" s="42" t="s">
        <v>111</v>
      </c>
      <c r="J46" s="42" t="s">
        <v>112</v>
      </c>
      <c r="K46" s="42" t="s">
        <v>24</v>
      </c>
      <c r="L46" s="43" t="s">
        <v>203</v>
      </c>
      <c r="M46" s="42">
        <f t="shared" si="4"/>
        <v>126</v>
      </c>
      <c r="N46" s="42" t="str">
        <f t="shared" si="5"/>
        <v>Uygun</v>
      </c>
      <c r="O46" s="42">
        <v>10</v>
      </c>
      <c r="P46" s="42" t="s">
        <v>204</v>
      </c>
    </row>
    <row r="47" spans="1:16" ht="60" customHeight="1" x14ac:dyDescent="0.2">
      <c r="A47" s="42">
        <v>46</v>
      </c>
      <c r="B47" s="42" t="s">
        <v>205</v>
      </c>
      <c r="C47" s="42" t="s">
        <v>17</v>
      </c>
      <c r="D47" s="42" t="s">
        <v>163</v>
      </c>
      <c r="E47" s="42">
        <v>2</v>
      </c>
      <c r="F47" s="42" t="s">
        <v>41</v>
      </c>
      <c r="G47" s="42" t="s">
        <v>20</v>
      </c>
      <c r="H47" s="42" t="s">
        <v>41</v>
      </c>
      <c r="I47" s="42" t="s">
        <v>42</v>
      </c>
      <c r="J47" s="42" t="s">
        <v>43</v>
      </c>
      <c r="K47" s="42" t="s">
        <v>24</v>
      </c>
      <c r="L47" s="43" t="s">
        <v>206</v>
      </c>
      <c r="M47" s="42">
        <f t="shared" si="4"/>
        <v>129</v>
      </c>
      <c r="N47" s="42" t="str">
        <f t="shared" si="5"/>
        <v>Uygun</v>
      </c>
      <c r="O47" s="42">
        <v>10</v>
      </c>
      <c r="P47" s="42" t="s">
        <v>207</v>
      </c>
    </row>
    <row r="48" spans="1:16" ht="60" customHeight="1" x14ac:dyDescent="0.2">
      <c r="A48" s="42">
        <v>47</v>
      </c>
      <c r="B48" s="42" t="s">
        <v>208</v>
      </c>
      <c r="C48" s="42" t="s">
        <v>17</v>
      </c>
      <c r="D48" s="42" t="s">
        <v>163</v>
      </c>
      <c r="E48" s="42">
        <v>2</v>
      </c>
      <c r="F48" s="42" t="s">
        <v>19</v>
      </c>
      <c r="G48" s="42" t="s">
        <v>28</v>
      </c>
      <c r="H48" s="42" t="s">
        <v>79</v>
      </c>
      <c r="I48" s="42" t="s">
        <v>68</v>
      </c>
      <c r="J48" s="42" t="s">
        <v>69</v>
      </c>
      <c r="K48" s="42" t="s">
        <v>24</v>
      </c>
      <c r="L48" s="43" t="s">
        <v>209</v>
      </c>
      <c r="M48" s="42">
        <f t="shared" si="4"/>
        <v>127</v>
      </c>
      <c r="N48" s="42" t="str">
        <f t="shared" si="5"/>
        <v>Uygun</v>
      </c>
      <c r="O48" s="42">
        <v>10</v>
      </c>
      <c r="P48" s="42" t="s">
        <v>210</v>
      </c>
    </row>
    <row r="49" spans="1:16" ht="60" customHeight="1" x14ac:dyDescent="0.2">
      <c r="A49" s="42">
        <v>48</v>
      </c>
      <c r="B49" s="42" t="s">
        <v>211</v>
      </c>
      <c r="C49" s="42" t="s">
        <v>17</v>
      </c>
      <c r="D49" s="42" t="s">
        <v>163</v>
      </c>
      <c r="E49" s="42">
        <v>2</v>
      </c>
      <c r="F49" s="42" t="s">
        <v>212</v>
      </c>
      <c r="G49" s="42" t="s">
        <v>213</v>
      </c>
      <c r="H49" s="42" t="s">
        <v>214</v>
      </c>
      <c r="I49" s="42" t="s">
        <v>54</v>
      </c>
      <c r="J49" s="42" t="s">
        <v>55</v>
      </c>
      <c r="K49" s="42" t="s">
        <v>24</v>
      </c>
      <c r="L49" s="43" t="s">
        <v>215</v>
      </c>
      <c r="M49" s="42">
        <f t="shared" si="4"/>
        <v>122</v>
      </c>
      <c r="N49" s="42" t="str">
        <f t="shared" si="5"/>
        <v>Uygun</v>
      </c>
      <c r="O49" s="42">
        <v>10</v>
      </c>
      <c r="P49" s="42" t="s">
        <v>216</v>
      </c>
    </row>
    <row r="50" spans="1:16" ht="75" customHeight="1" x14ac:dyDescent="0.2">
      <c r="A50" s="42">
        <v>49</v>
      </c>
      <c r="B50" s="42" t="s">
        <v>217</v>
      </c>
      <c r="C50" s="42" t="s">
        <v>17</v>
      </c>
      <c r="D50" s="42" t="s">
        <v>218</v>
      </c>
      <c r="E50" s="42">
        <v>3</v>
      </c>
      <c r="F50" s="42" t="s">
        <v>19</v>
      </c>
      <c r="G50" s="42" t="s">
        <v>20</v>
      </c>
      <c r="H50" s="42" t="s">
        <v>79</v>
      </c>
      <c r="I50" s="42" t="s">
        <v>111</v>
      </c>
      <c r="J50" s="42" t="s">
        <v>112</v>
      </c>
      <c r="K50" s="42" t="s">
        <v>24</v>
      </c>
      <c r="L50" s="43" t="s">
        <v>219</v>
      </c>
      <c r="M50" s="42">
        <f t="shared" si="4"/>
        <v>129</v>
      </c>
      <c r="N50" s="42" t="str">
        <f t="shared" si="5"/>
        <v>Uygun</v>
      </c>
      <c r="O50" s="42">
        <v>10</v>
      </c>
      <c r="P50" s="42" t="s">
        <v>220</v>
      </c>
    </row>
    <row r="51" spans="1:16" ht="60" customHeight="1" x14ac:dyDescent="0.2">
      <c r="A51" s="42">
        <v>50</v>
      </c>
      <c r="B51" s="42" t="s">
        <v>221</v>
      </c>
      <c r="C51" s="42" t="s">
        <v>17</v>
      </c>
      <c r="D51" s="42" t="s">
        <v>218</v>
      </c>
      <c r="E51" s="42">
        <v>3</v>
      </c>
      <c r="F51" s="42" t="s">
        <v>19</v>
      </c>
      <c r="G51" s="42" t="s">
        <v>28</v>
      </c>
      <c r="H51" s="42" t="s">
        <v>79</v>
      </c>
      <c r="I51" s="42" t="s">
        <v>68</v>
      </c>
      <c r="J51" s="42" t="s">
        <v>69</v>
      </c>
      <c r="K51" s="42" t="s">
        <v>24</v>
      </c>
      <c r="L51" s="43" t="s">
        <v>222</v>
      </c>
      <c r="M51" s="42">
        <f t="shared" si="4"/>
        <v>126</v>
      </c>
      <c r="N51" s="42" t="str">
        <f t="shared" si="5"/>
        <v>Uygun</v>
      </c>
      <c r="O51" s="42">
        <v>10</v>
      </c>
      <c r="P51" s="42" t="s">
        <v>223</v>
      </c>
    </row>
    <row r="52" spans="1:16" ht="60" customHeight="1" x14ac:dyDescent="0.2">
      <c r="A52" s="42">
        <v>51</v>
      </c>
      <c r="B52" s="42" t="s">
        <v>224</v>
      </c>
      <c r="C52" s="42" t="s">
        <v>17</v>
      </c>
      <c r="D52" s="42" t="s">
        <v>218</v>
      </c>
      <c r="E52" s="42">
        <v>3</v>
      </c>
      <c r="F52" s="42" t="s">
        <v>19</v>
      </c>
      <c r="G52" s="42" t="s">
        <v>20</v>
      </c>
      <c r="H52" s="42" t="s">
        <v>123</v>
      </c>
      <c r="I52" s="42" t="s">
        <v>54</v>
      </c>
      <c r="J52" s="42" t="s">
        <v>55</v>
      </c>
      <c r="K52" s="42" t="s">
        <v>24</v>
      </c>
      <c r="L52" s="43" t="s">
        <v>225</v>
      </c>
      <c r="M52" s="42">
        <f t="shared" si="4"/>
        <v>130</v>
      </c>
      <c r="N52" s="42" t="str">
        <f t="shared" si="5"/>
        <v>Uygun</v>
      </c>
      <c r="O52" s="42">
        <v>10</v>
      </c>
      <c r="P52" s="42" t="s">
        <v>226</v>
      </c>
    </row>
    <row r="53" spans="1:16" ht="60" customHeight="1" x14ac:dyDescent="0.2">
      <c r="A53" s="42">
        <v>52</v>
      </c>
      <c r="B53" s="42" t="s">
        <v>227</v>
      </c>
      <c r="C53" s="42" t="s">
        <v>17</v>
      </c>
      <c r="D53" s="42" t="s">
        <v>218</v>
      </c>
      <c r="E53" s="42">
        <v>3</v>
      </c>
      <c r="F53" s="42" t="s">
        <v>19</v>
      </c>
      <c r="G53" s="42" t="s">
        <v>28</v>
      </c>
      <c r="H53" s="42" t="s">
        <v>123</v>
      </c>
      <c r="I53" s="42" t="s">
        <v>155</v>
      </c>
      <c r="J53" s="42" t="s">
        <v>156</v>
      </c>
      <c r="K53" s="42" t="s">
        <v>24</v>
      </c>
      <c r="L53" s="43" t="s">
        <v>228</v>
      </c>
      <c r="M53" s="42">
        <f t="shared" si="4"/>
        <v>124</v>
      </c>
      <c r="N53" s="42" t="str">
        <f t="shared" si="5"/>
        <v>Uygun</v>
      </c>
      <c r="O53" s="42">
        <v>10</v>
      </c>
      <c r="P53" s="42" t="s">
        <v>229</v>
      </c>
    </row>
    <row r="54" spans="1:16" ht="60" customHeight="1" x14ac:dyDescent="0.2">
      <c r="A54" s="42">
        <v>53</v>
      </c>
      <c r="B54" s="42" t="s">
        <v>230</v>
      </c>
      <c r="C54" s="42" t="s">
        <v>17</v>
      </c>
      <c r="D54" s="42" t="s">
        <v>218</v>
      </c>
      <c r="E54" s="42">
        <v>3</v>
      </c>
      <c r="F54" s="42" t="s">
        <v>40</v>
      </c>
      <c r="G54" s="42" t="s">
        <v>28</v>
      </c>
      <c r="H54" s="42" t="s">
        <v>231</v>
      </c>
      <c r="I54" s="42" t="s">
        <v>42</v>
      </c>
      <c r="J54" s="42" t="s">
        <v>43</v>
      </c>
      <c r="K54" s="42" t="s">
        <v>24</v>
      </c>
      <c r="L54" s="43" t="s">
        <v>232</v>
      </c>
      <c r="M54" s="42">
        <f t="shared" si="4"/>
        <v>124</v>
      </c>
      <c r="N54" s="42" t="str">
        <f t="shared" si="5"/>
        <v>Uygun</v>
      </c>
      <c r="O54" s="42">
        <v>10</v>
      </c>
      <c r="P54" s="42" t="s">
        <v>233</v>
      </c>
    </row>
    <row r="55" spans="1:16" ht="45" customHeight="1" x14ac:dyDescent="0.2">
      <c r="A55" s="42">
        <v>54</v>
      </c>
      <c r="B55" s="42" t="s">
        <v>234</v>
      </c>
      <c r="C55" s="42" t="s">
        <v>17</v>
      </c>
      <c r="D55" s="42" t="s">
        <v>218</v>
      </c>
      <c r="E55" s="42">
        <v>3</v>
      </c>
      <c r="F55" s="42" t="s">
        <v>59</v>
      </c>
      <c r="G55" s="42" t="s">
        <v>20</v>
      </c>
      <c r="H55" s="42" t="s">
        <v>47</v>
      </c>
      <c r="I55" s="42" t="s">
        <v>35</v>
      </c>
      <c r="J55" s="42" t="s">
        <v>36</v>
      </c>
      <c r="K55" s="42" t="s">
        <v>24</v>
      </c>
      <c r="L55" s="43" t="s">
        <v>235</v>
      </c>
      <c r="M55" s="42">
        <f t="shared" si="4"/>
        <v>128</v>
      </c>
      <c r="N55" s="42" t="str">
        <f t="shared" si="5"/>
        <v>Uygun</v>
      </c>
      <c r="O55" s="42">
        <v>9</v>
      </c>
      <c r="P55" s="42" t="s">
        <v>236</v>
      </c>
    </row>
    <row r="56" spans="1:16" ht="60" customHeight="1" x14ac:dyDescent="0.2">
      <c r="A56" s="42">
        <v>55</v>
      </c>
      <c r="B56" s="42" t="s">
        <v>237</v>
      </c>
      <c r="C56" s="42" t="s">
        <v>17</v>
      </c>
      <c r="D56" s="42" t="s">
        <v>218</v>
      </c>
      <c r="E56" s="42">
        <v>3</v>
      </c>
      <c r="F56" s="42" t="s">
        <v>64</v>
      </c>
      <c r="G56" s="42" t="s">
        <v>213</v>
      </c>
      <c r="H56" s="42" t="s">
        <v>231</v>
      </c>
      <c r="I56" s="42" t="s">
        <v>54</v>
      </c>
      <c r="J56" s="42" t="s">
        <v>55</v>
      </c>
      <c r="K56" s="42" t="s">
        <v>24</v>
      </c>
      <c r="L56" s="43" t="s">
        <v>238</v>
      </c>
      <c r="M56" s="42">
        <f t="shared" si="4"/>
        <v>129</v>
      </c>
      <c r="N56" s="42" t="str">
        <f t="shared" si="5"/>
        <v>Uygun</v>
      </c>
      <c r="O56" s="42">
        <v>10</v>
      </c>
      <c r="P56" s="42" t="s">
        <v>239</v>
      </c>
    </row>
    <row r="57" spans="1:16" ht="60" customHeight="1" x14ac:dyDescent="0.2">
      <c r="A57" s="42">
        <v>56</v>
      </c>
      <c r="B57" s="42" t="s">
        <v>240</v>
      </c>
      <c r="C57" s="42" t="s">
        <v>17</v>
      </c>
      <c r="D57" s="42" t="s">
        <v>218</v>
      </c>
      <c r="E57" s="42">
        <v>3</v>
      </c>
      <c r="F57" s="42" t="s">
        <v>212</v>
      </c>
      <c r="G57" s="42" t="s">
        <v>28</v>
      </c>
      <c r="H57" s="42" t="s">
        <v>79</v>
      </c>
      <c r="I57" s="42" t="s">
        <v>42</v>
      </c>
      <c r="J57" s="42" t="s">
        <v>43</v>
      </c>
      <c r="K57" s="42" t="s">
        <v>24</v>
      </c>
      <c r="L57" s="43" t="s">
        <v>241</v>
      </c>
      <c r="M57" s="42">
        <f t="shared" si="4"/>
        <v>124</v>
      </c>
      <c r="N57" s="42" t="str">
        <f t="shared" si="5"/>
        <v>Uygun</v>
      </c>
      <c r="O57" s="42">
        <v>10</v>
      </c>
      <c r="P57" s="42" t="s">
        <v>242</v>
      </c>
    </row>
    <row r="58" spans="1:16" ht="60" customHeight="1" x14ac:dyDescent="0.2">
      <c r="A58" s="42">
        <v>57</v>
      </c>
      <c r="B58" s="42" t="s">
        <v>243</v>
      </c>
      <c r="C58" s="42" t="s">
        <v>17</v>
      </c>
      <c r="D58" s="42" t="s">
        <v>244</v>
      </c>
      <c r="E58" s="42">
        <v>4</v>
      </c>
      <c r="F58" s="42" t="s">
        <v>245</v>
      </c>
      <c r="G58" s="42" t="s">
        <v>20</v>
      </c>
      <c r="H58" s="42" t="s">
        <v>79</v>
      </c>
      <c r="I58" s="42" t="s">
        <v>54</v>
      </c>
      <c r="J58" s="42" t="s">
        <v>55</v>
      </c>
      <c r="K58" s="42" t="s">
        <v>24</v>
      </c>
      <c r="L58" s="43" t="s">
        <v>246</v>
      </c>
      <c r="M58" s="42">
        <f t="shared" si="4"/>
        <v>126</v>
      </c>
      <c r="N58" s="42" t="str">
        <f t="shared" si="5"/>
        <v>Uygun</v>
      </c>
      <c r="O58" s="42">
        <v>10</v>
      </c>
      <c r="P58" s="42" t="s">
        <v>247</v>
      </c>
    </row>
    <row r="59" spans="1:16" ht="60" customHeight="1" x14ac:dyDescent="0.2">
      <c r="A59" s="42">
        <v>58</v>
      </c>
      <c r="B59" s="42" t="s">
        <v>248</v>
      </c>
      <c r="C59" s="42" t="s">
        <v>17</v>
      </c>
      <c r="D59" s="42" t="s">
        <v>244</v>
      </c>
      <c r="E59" s="42">
        <v>4</v>
      </c>
      <c r="F59" s="42" t="s">
        <v>59</v>
      </c>
      <c r="G59" s="42" t="s">
        <v>28</v>
      </c>
      <c r="H59" s="42" t="s">
        <v>60</v>
      </c>
      <c r="I59" s="42" t="s">
        <v>68</v>
      </c>
      <c r="J59" s="42" t="s">
        <v>69</v>
      </c>
      <c r="K59" s="42" t="s">
        <v>24</v>
      </c>
      <c r="L59" s="43" t="s">
        <v>249</v>
      </c>
      <c r="M59" s="42">
        <f t="shared" si="4"/>
        <v>129</v>
      </c>
      <c r="N59" s="42" t="str">
        <f t="shared" si="5"/>
        <v>Uygun</v>
      </c>
      <c r="O59" s="42">
        <v>10</v>
      </c>
      <c r="P59" s="42" t="s">
        <v>250</v>
      </c>
    </row>
    <row r="60" spans="1:16" ht="60" customHeight="1" x14ac:dyDescent="0.2">
      <c r="A60" s="42">
        <v>59</v>
      </c>
      <c r="B60" s="42" t="s">
        <v>251</v>
      </c>
      <c r="C60" s="42" t="s">
        <v>17</v>
      </c>
      <c r="D60" s="42" t="s">
        <v>244</v>
      </c>
      <c r="E60" s="42">
        <v>4</v>
      </c>
      <c r="F60" s="42" t="s">
        <v>41</v>
      </c>
      <c r="G60" s="42" t="s">
        <v>20</v>
      </c>
      <c r="H60" s="42" t="s">
        <v>231</v>
      </c>
      <c r="I60" s="42" t="s">
        <v>54</v>
      </c>
      <c r="J60" s="42" t="s">
        <v>55</v>
      </c>
      <c r="K60" s="42" t="s">
        <v>24</v>
      </c>
      <c r="L60" s="43" t="s">
        <v>252</v>
      </c>
      <c r="M60" s="42">
        <f t="shared" si="4"/>
        <v>127</v>
      </c>
      <c r="N60" s="42" t="str">
        <f t="shared" si="5"/>
        <v>Uygun</v>
      </c>
      <c r="O60" s="42">
        <v>10</v>
      </c>
      <c r="P60" s="42" t="s">
        <v>253</v>
      </c>
    </row>
    <row r="61" spans="1:16" ht="60" customHeight="1" x14ac:dyDescent="0.2">
      <c r="A61" s="42">
        <v>60</v>
      </c>
      <c r="B61" s="42" t="s">
        <v>254</v>
      </c>
      <c r="C61" s="42" t="s">
        <v>17</v>
      </c>
      <c r="D61" s="42" t="s">
        <v>244</v>
      </c>
      <c r="E61" s="42">
        <v>4</v>
      </c>
      <c r="F61" s="42" t="s">
        <v>245</v>
      </c>
      <c r="G61" s="42" t="s">
        <v>213</v>
      </c>
      <c r="H61" s="42" t="s">
        <v>110</v>
      </c>
      <c r="I61" s="42" t="s">
        <v>155</v>
      </c>
      <c r="J61" s="42" t="s">
        <v>156</v>
      </c>
      <c r="K61" s="42" t="s">
        <v>24</v>
      </c>
      <c r="L61" s="43" t="s">
        <v>255</v>
      </c>
      <c r="M61" s="42">
        <f t="shared" si="4"/>
        <v>116</v>
      </c>
      <c r="N61" s="42" t="str">
        <f t="shared" si="5"/>
        <v>Uygun</v>
      </c>
      <c r="O61" s="42">
        <v>10</v>
      </c>
      <c r="P61" s="42" t="s">
        <v>256</v>
      </c>
    </row>
    <row r="62" spans="1:16" ht="60" customHeight="1" x14ac:dyDescent="0.2">
      <c r="A62" s="42">
        <v>61</v>
      </c>
      <c r="B62" s="42" t="s">
        <v>257</v>
      </c>
      <c r="C62" s="42" t="s">
        <v>17</v>
      </c>
      <c r="D62" s="42" t="s">
        <v>258</v>
      </c>
      <c r="E62" s="42">
        <v>5</v>
      </c>
      <c r="F62" s="42" t="s">
        <v>212</v>
      </c>
      <c r="G62" s="42" t="s">
        <v>213</v>
      </c>
      <c r="H62" s="42" t="s">
        <v>53</v>
      </c>
      <c r="I62" s="42" t="s">
        <v>54</v>
      </c>
      <c r="J62" s="42" t="s">
        <v>55</v>
      </c>
      <c r="K62" s="42" t="s">
        <v>24</v>
      </c>
      <c r="L62" s="43" t="s">
        <v>259</v>
      </c>
      <c r="M62" s="42">
        <f t="shared" si="4"/>
        <v>126</v>
      </c>
      <c r="N62" s="42" t="str">
        <f t="shared" si="5"/>
        <v>Uygun</v>
      </c>
      <c r="O62" s="42">
        <v>10</v>
      </c>
      <c r="P62" s="42" t="s">
        <v>260</v>
      </c>
    </row>
    <row r="63" spans="1:16" ht="60" customHeight="1" x14ac:dyDescent="0.2">
      <c r="A63" s="42">
        <v>62</v>
      </c>
      <c r="B63" s="42" t="s">
        <v>261</v>
      </c>
      <c r="C63" s="42" t="s">
        <v>17</v>
      </c>
      <c r="D63" s="42" t="s">
        <v>258</v>
      </c>
      <c r="E63" s="42">
        <v>5</v>
      </c>
      <c r="F63" s="42" t="s">
        <v>212</v>
      </c>
      <c r="G63" s="42" t="s">
        <v>213</v>
      </c>
      <c r="H63" s="42" t="s">
        <v>231</v>
      </c>
      <c r="I63" s="42" t="s">
        <v>42</v>
      </c>
      <c r="J63" s="42" t="s">
        <v>43</v>
      </c>
      <c r="K63" s="42" t="s">
        <v>24</v>
      </c>
      <c r="L63" s="43" t="s">
        <v>262</v>
      </c>
      <c r="M63" s="42">
        <f t="shared" si="4"/>
        <v>127</v>
      </c>
      <c r="N63" s="42" t="str">
        <f t="shared" si="5"/>
        <v>Uygun</v>
      </c>
      <c r="O63" s="42">
        <v>10</v>
      </c>
      <c r="P63" s="42" t="s">
        <v>263</v>
      </c>
    </row>
    <row r="64" spans="1:16" ht="75" customHeight="1" x14ac:dyDescent="0.2">
      <c r="A64" s="42">
        <v>63</v>
      </c>
      <c r="B64" s="42" t="s">
        <v>264</v>
      </c>
      <c r="C64" s="42" t="s">
        <v>17</v>
      </c>
      <c r="D64" s="42" t="s">
        <v>258</v>
      </c>
      <c r="E64" s="42">
        <v>5</v>
      </c>
      <c r="F64" s="42" t="s">
        <v>212</v>
      </c>
      <c r="G64" s="42" t="s">
        <v>213</v>
      </c>
      <c r="H64" s="42" t="s">
        <v>132</v>
      </c>
      <c r="I64" s="42" t="s">
        <v>111</v>
      </c>
      <c r="J64" s="42" t="s">
        <v>112</v>
      </c>
      <c r="K64" s="42" t="s">
        <v>24</v>
      </c>
      <c r="L64" s="43" t="s">
        <v>265</v>
      </c>
      <c r="M64" s="42">
        <f t="shared" si="4"/>
        <v>128</v>
      </c>
      <c r="N64" s="42" t="str">
        <f t="shared" si="5"/>
        <v>Uygun</v>
      </c>
      <c r="O64" s="42">
        <v>10</v>
      </c>
      <c r="P64" s="42" t="s">
        <v>266</v>
      </c>
    </row>
    <row r="65" spans="1:16" ht="30" customHeight="1" x14ac:dyDescent="0.2">
      <c r="A65" s="42">
        <v>64</v>
      </c>
      <c r="B65" s="42" t="s">
        <v>267</v>
      </c>
      <c r="C65" s="42" t="s">
        <v>268</v>
      </c>
      <c r="D65" s="42" t="s">
        <v>18</v>
      </c>
      <c r="E65" s="42">
        <v>1</v>
      </c>
      <c r="F65" s="42" t="s">
        <v>79</v>
      </c>
      <c r="G65" s="42" t="s">
        <v>269</v>
      </c>
      <c r="H65" s="42" t="s">
        <v>79</v>
      </c>
      <c r="I65" s="42" t="s">
        <v>270</v>
      </c>
      <c r="J65" s="42" t="s">
        <v>271</v>
      </c>
      <c r="K65" s="42" t="s">
        <v>272</v>
      </c>
      <c r="L65" s="43" t="s">
        <v>273</v>
      </c>
      <c r="M65" s="42">
        <f t="shared" si="4"/>
        <v>126</v>
      </c>
      <c r="N65" s="42" t="str">
        <f t="shared" si="5"/>
        <v>Uygun</v>
      </c>
      <c r="O65" s="42">
        <v>4</v>
      </c>
      <c r="P65" s="42" t="s">
        <v>274</v>
      </c>
    </row>
    <row r="66" spans="1:16" ht="30" customHeight="1" x14ac:dyDescent="0.2">
      <c r="A66" s="42">
        <v>65</v>
      </c>
      <c r="B66" s="42" t="s">
        <v>275</v>
      </c>
      <c r="C66" s="42" t="s">
        <v>268</v>
      </c>
      <c r="D66" s="42" t="s">
        <v>18</v>
      </c>
      <c r="E66" s="42">
        <v>1</v>
      </c>
      <c r="F66" s="42" t="s">
        <v>79</v>
      </c>
      <c r="G66" s="42" t="s">
        <v>28</v>
      </c>
      <c r="H66" s="42" t="s">
        <v>116</v>
      </c>
      <c r="I66" s="42" t="s">
        <v>276</v>
      </c>
      <c r="J66" s="42" t="s">
        <v>277</v>
      </c>
      <c r="K66" s="42" t="s">
        <v>278</v>
      </c>
      <c r="L66" s="43" t="s">
        <v>279</v>
      </c>
      <c r="M66" s="42">
        <f t="shared" si="4"/>
        <v>123</v>
      </c>
      <c r="N66" s="42" t="str">
        <f t="shared" si="5"/>
        <v>Uygun</v>
      </c>
      <c r="O66" s="42">
        <v>3</v>
      </c>
      <c r="P66" s="42" t="s">
        <v>280</v>
      </c>
    </row>
    <row r="67" spans="1:16" ht="45" customHeight="1" x14ac:dyDescent="0.2">
      <c r="A67" s="42">
        <v>66</v>
      </c>
      <c r="B67" s="42" t="s">
        <v>281</v>
      </c>
      <c r="C67" s="42" t="s">
        <v>268</v>
      </c>
      <c r="D67" s="42" t="s">
        <v>18</v>
      </c>
      <c r="E67" s="42">
        <v>1</v>
      </c>
      <c r="F67" s="42" t="s">
        <v>79</v>
      </c>
      <c r="G67" s="42" t="s">
        <v>28</v>
      </c>
      <c r="H67" s="42" t="s">
        <v>47</v>
      </c>
      <c r="I67" s="42" t="s">
        <v>270</v>
      </c>
      <c r="J67" s="42" t="s">
        <v>282</v>
      </c>
      <c r="K67" s="42" t="s">
        <v>283</v>
      </c>
      <c r="L67" s="43" t="s">
        <v>284</v>
      </c>
      <c r="M67" s="42">
        <f t="shared" si="4"/>
        <v>126</v>
      </c>
      <c r="N67" s="42" t="str">
        <f t="shared" si="5"/>
        <v>Uygun</v>
      </c>
      <c r="O67" s="42">
        <v>4</v>
      </c>
      <c r="P67" s="42" t="s">
        <v>274</v>
      </c>
    </row>
    <row r="68" spans="1:16" ht="30" customHeight="1" x14ac:dyDescent="0.2">
      <c r="A68" s="42">
        <v>67</v>
      </c>
      <c r="B68" s="42" t="s">
        <v>285</v>
      </c>
      <c r="C68" s="42" t="s">
        <v>268</v>
      </c>
      <c r="D68" s="42" t="s">
        <v>18</v>
      </c>
      <c r="E68" s="42">
        <v>1</v>
      </c>
      <c r="F68" s="42" t="s">
        <v>79</v>
      </c>
      <c r="G68" s="42" t="s">
        <v>269</v>
      </c>
      <c r="H68" s="42" t="s">
        <v>41</v>
      </c>
      <c r="I68" s="42" t="s">
        <v>270</v>
      </c>
      <c r="J68" s="42" t="s">
        <v>286</v>
      </c>
      <c r="K68" s="42" t="s">
        <v>287</v>
      </c>
      <c r="L68" s="43" t="s">
        <v>288</v>
      </c>
      <c r="M68" s="42">
        <f t="shared" si="4"/>
        <v>120</v>
      </c>
      <c r="N68" s="42" t="str">
        <f t="shared" si="5"/>
        <v>Uygun</v>
      </c>
      <c r="O68" s="42">
        <v>3</v>
      </c>
      <c r="P68" s="42" t="s">
        <v>274</v>
      </c>
    </row>
    <row r="69" spans="1:16" ht="45" customHeight="1" x14ac:dyDescent="0.2">
      <c r="A69" s="42">
        <v>68</v>
      </c>
      <c r="B69" s="42" t="s">
        <v>289</v>
      </c>
      <c r="C69" s="42" t="s">
        <v>268</v>
      </c>
      <c r="D69" s="42" t="s">
        <v>18</v>
      </c>
      <c r="E69" s="42">
        <v>1</v>
      </c>
      <c r="F69" s="42" t="s">
        <v>79</v>
      </c>
      <c r="G69" s="42" t="s">
        <v>269</v>
      </c>
      <c r="H69" s="42" t="s">
        <v>116</v>
      </c>
      <c r="I69" s="42" t="s">
        <v>270</v>
      </c>
      <c r="J69" s="42" t="s">
        <v>290</v>
      </c>
      <c r="K69" s="42" t="s">
        <v>272</v>
      </c>
      <c r="L69" s="43" t="s">
        <v>291</v>
      </c>
      <c r="M69" s="42">
        <f t="shared" si="4"/>
        <v>123</v>
      </c>
      <c r="N69" s="42" t="str">
        <f t="shared" si="5"/>
        <v>Uygun</v>
      </c>
      <c r="O69" s="42">
        <v>4</v>
      </c>
      <c r="P69" s="42" t="s">
        <v>274</v>
      </c>
    </row>
    <row r="70" spans="1:16" ht="30" customHeight="1" x14ac:dyDescent="0.2">
      <c r="A70" s="42">
        <v>69</v>
      </c>
      <c r="B70" s="42" t="s">
        <v>292</v>
      </c>
      <c r="C70" s="42" t="s">
        <v>268</v>
      </c>
      <c r="D70" s="42" t="s">
        <v>18</v>
      </c>
      <c r="E70" s="42">
        <v>1</v>
      </c>
      <c r="F70" s="42" t="s">
        <v>79</v>
      </c>
      <c r="G70" s="42" t="s">
        <v>269</v>
      </c>
      <c r="H70" s="42" t="s">
        <v>132</v>
      </c>
      <c r="I70" s="42" t="s">
        <v>270</v>
      </c>
      <c r="J70" s="42" t="s">
        <v>293</v>
      </c>
      <c r="K70" s="42" t="s">
        <v>278</v>
      </c>
      <c r="L70" s="43" t="s">
        <v>294</v>
      </c>
      <c r="M70" s="42">
        <f t="shared" si="4"/>
        <v>128</v>
      </c>
      <c r="N70" s="42" t="str">
        <f t="shared" si="5"/>
        <v>Uygun</v>
      </c>
      <c r="O70" s="42">
        <v>3</v>
      </c>
      <c r="P70" s="42" t="s">
        <v>274</v>
      </c>
    </row>
    <row r="71" spans="1:16" ht="45" customHeight="1" x14ac:dyDescent="0.2">
      <c r="A71" s="42">
        <v>70</v>
      </c>
      <c r="B71" s="42" t="s">
        <v>295</v>
      </c>
      <c r="C71" s="42" t="s">
        <v>268</v>
      </c>
      <c r="D71" s="42" t="s">
        <v>18</v>
      </c>
      <c r="E71" s="42">
        <v>1</v>
      </c>
      <c r="F71" s="42" t="s">
        <v>79</v>
      </c>
      <c r="G71" s="42" t="s">
        <v>269</v>
      </c>
      <c r="H71" s="42" t="s">
        <v>79</v>
      </c>
      <c r="I71" s="42" t="s">
        <v>270</v>
      </c>
      <c r="J71" s="42" t="s">
        <v>296</v>
      </c>
      <c r="K71" s="42" t="s">
        <v>283</v>
      </c>
      <c r="L71" s="43" t="s">
        <v>297</v>
      </c>
      <c r="M71" s="42">
        <f t="shared" si="4"/>
        <v>126</v>
      </c>
      <c r="N71" s="42" t="str">
        <f t="shared" si="5"/>
        <v>Uygun</v>
      </c>
      <c r="O71" s="42">
        <v>4</v>
      </c>
      <c r="P71" s="42" t="s">
        <v>274</v>
      </c>
    </row>
    <row r="72" spans="1:16" ht="30" customHeight="1" x14ac:dyDescent="0.2">
      <c r="A72" s="42">
        <v>71</v>
      </c>
      <c r="B72" s="42" t="s">
        <v>298</v>
      </c>
      <c r="C72" s="42" t="s">
        <v>268</v>
      </c>
      <c r="D72" s="42" t="s">
        <v>18</v>
      </c>
      <c r="E72" s="42">
        <v>1</v>
      </c>
      <c r="F72" s="42" t="s">
        <v>299</v>
      </c>
      <c r="G72" s="42" t="s">
        <v>20</v>
      </c>
      <c r="H72" s="42" t="s">
        <v>123</v>
      </c>
      <c r="I72" s="42" t="s">
        <v>270</v>
      </c>
      <c r="J72" s="42" t="s">
        <v>300</v>
      </c>
      <c r="K72" s="42" t="s">
        <v>287</v>
      </c>
      <c r="L72" s="43" t="s">
        <v>301</v>
      </c>
      <c r="M72" s="42">
        <f t="shared" si="4"/>
        <v>120</v>
      </c>
      <c r="N72" s="42" t="str">
        <f t="shared" si="5"/>
        <v>Uygun</v>
      </c>
      <c r="O72" s="42">
        <v>3</v>
      </c>
      <c r="P72" s="42" t="s">
        <v>274</v>
      </c>
    </row>
    <row r="73" spans="1:16" ht="30" customHeight="1" x14ac:dyDescent="0.2">
      <c r="A73" s="42">
        <v>72</v>
      </c>
      <c r="B73" s="42" t="s">
        <v>302</v>
      </c>
      <c r="C73" s="42" t="s">
        <v>268</v>
      </c>
      <c r="D73" s="42" t="s">
        <v>18</v>
      </c>
      <c r="E73" s="42">
        <v>1</v>
      </c>
      <c r="F73" s="42" t="s">
        <v>79</v>
      </c>
      <c r="G73" s="42" t="s">
        <v>269</v>
      </c>
      <c r="H73" s="42" t="s">
        <v>79</v>
      </c>
      <c r="I73" s="42" t="s">
        <v>270</v>
      </c>
      <c r="J73" s="42" t="s">
        <v>303</v>
      </c>
      <c r="K73" s="42" t="s">
        <v>272</v>
      </c>
      <c r="L73" s="43" t="s">
        <v>304</v>
      </c>
      <c r="M73" s="42">
        <f t="shared" si="4"/>
        <v>114</v>
      </c>
      <c r="N73" s="42" t="str">
        <f t="shared" si="5"/>
        <v>Uygun</v>
      </c>
      <c r="O73" s="42">
        <v>4</v>
      </c>
      <c r="P73" s="42" t="s">
        <v>274</v>
      </c>
    </row>
    <row r="74" spans="1:16" ht="45" customHeight="1" x14ac:dyDescent="0.2">
      <c r="A74" s="42">
        <v>73</v>
      </c>
      <c r="B74" s="42" t="s">
        <v>305</v>
      </c>
      <c r="C74" s="42" t="s">
        <v>268</v>
      </c>
      <c r="D74" s="42" t="s">
        <v>18</v>
      </c>
      <c r="E74" s="42">
        <v>1</v>
      </c>
      <c r="F74" s="42" t="s">
        <v>79</v>
      </c>
      <c r="G74" s="42" t="s">
        <v>20</v>
      </c>
      <c r="H74" s="42" t="s">
        <v>60</v>
      </c>
      <c r="I74" s="42" t="s">
        <v>270</v>
      </c>
      <c r="J74" s="42" t="s">
        <v>306</v>
      </c>
      <c r="K74" s="42" t="s">
        <v>278</v>
      </c>
      <c r="L74" s="43" t="s">
        <v>307</v>
      </c>
      <c r="M74" s="42">
        <f t="shared" si="4"/>
        <v>128</v>
      </c>
      <c r="N74" s="42" t="str">
        <f t="shared" si="5"/>
        <v>Uygun</v>
      </c>
      <c r="O74" s="42">
        <v>3</v>
      </c>
      <c r="P74" s="42" t="s">
        <v>274</v>
      </c>
    </row>
    <row r="75" spans="1:16" ht="30" customHeight="1" x14ac:dyDescent="0.2">
      <c r="A75" s="42">
        <v>74</v>
      </c>
      <c r="B75" s="42" t="s">
        <v>308</v>
      </c>
      <c r="C75" s="42" t="s">
        <v>268</v>
      </c>
      <c r="D75" s="42" t="s">
        <v>18</v>
      </c>
      <c r="E75" s="42">
        <v>1</v>
      </c>
      <c r="F75" s="42" t="s">
        <v>79</v>
      </c>
      <c r="G75" s="42" t="s">
        <v>20</v>
      </c>
      <c r="H75" s="42" t="s">
        <v>53</v>
      </c>
      <c r="I75" s="42" t="s">
        <v>270</v>
      </c>
      <c r="J75" s="42" t="s">
        <v>309</v>
      </c>
      <c r="K75" s="42" t="s">
        <v>283</v>
      </c>
      <c r="L75" s="43" t="s">
        <v>310</v>
      </c>
      <c r="M75" s="42">
        <f t="shared" si="4"/>
        <v>128</v>
      </c>
      <c r="N75" s="42" t="str">
        <f t="shared" si="5"/>
        <v>Uygun</v>
      </c>
      <c r="O75" s="42">
        <v>4</v>
      </c>
      <c r="P75" s="42" t="s">
        <v>274</v>
      </c>
    </row>
    <row r="76" spans="1:16" ht="30" customHeight="1" x14ac:dyDescent="0.2">
      <c r="A76" s="42">
        <v>75</v>
      </c>
      <c r="B76" s="42" t="s">
        <v>311</v>
      </c>
      <c r="C76" s="42" t="s">
        <v>268</v>
      </c>
      <c r="D76" s="42" t="s">
        <v>18</v>
      </c>
      <c r="E76" s="42">
        <v>1</v>
      </c>
      <c r="F76" s="42" t="s">
        <v>79</v>
      </c>
      <c r="G76" s="42" t="s">
        <v>269</v>
      </c>
      <c r="H76" s="42" t="s">
        <v>231</v>
      </c>
      <c r="I76" s="42" t="s">
        <v>270</v>
      </c>
      <c r="J76" s="42" t="s">
        <v>312</v>
      </c>
      <c r="K76" s="42" t="s">
        <v>287</v>
      </c>
      <c r="L76" s="43" t="s">
        <v>313</v>
      </c>
      <c r="M76" s="42">
        <f t="shared" si="4"/>
        <v>129</v>
      </c>
      <c r="N76" s="42" t="str">
        <f t="shared" si="5"/>
        <v>Uygun</v>
      </c>
      <c r="O76" s="42">
        <v>3</v>
      </c>
      <c r="P76" s="42" t="s">
        <v>274</v>
      </c>
    </row>
    <row r="77" spans="1:16" ht="30" customHeight="1" x14ac:dyDescent="0.2">
      <c r="A77" s="42">
        <v>76</v>
      </c>
      <c r="B77" s="42" t="s">
        <v>314</v>
      </c>
      <c r="C77" s="42" t="s">
        <v>268</v>
      </c>
      <c r="D77" s="42" t="s">
        <v>18</v>
      </c>
      <c r="E77" s="42">
        <v>1</v>
      </c>
      <c r="F77" s="42" t="s">
        <v>64</v>
      </c>
      <c r="G77" s="42" t="s">
        <v>269</v>
      </c>
      <c r="H77" s="42" t="s">
        <v>231</v>
      </c>
      <c r="I77" s="42" t="s">
        <v>270</v>
      </c>
      <c r="J77" s="42" t="s">
        <v>315</v>
      </c>
      <c r="K77" s="42" t="s">
        <v>272</v>
      </c>
      <c r="L77" s="43" t="s">
        <v>316</v>
      </c>
      <c r="M77" s="42">
        <f t="shared" si="4"/>
        <v>117</v>
      </c>
      <c r="N77" s="42" t="str">
        <f t="shared" si="5"/>
        <v>Uygun</v>
      </c>
      <c r="O77" s="42">
        <v>4</v>
      </c>
      <c r="P77" s="42" t="s">
        <v>274</v>
      </c>
    </row>
    <row r="78" spans="1:16" ht="30" customHeight="1" x14ac:dyDescent="0.2">
      <c r="A78" s="42">
        <v>77</v>
      </c>
      <c r="B78" s="42" t="s">
        <v>317</v>
      </c>
      <c r="C78" s="42" t="s">
        <v>268</v>
      </c>
      <c r="D78" s="42" t="s">
        <v>18</v>
      </c>
      <c r="E78" s="42">
        <v>1</v>
      </c>
      <c r="F78" s="42" t="s">
        <v>19</v>
      </c>
      <c r="G78" s="42" t="s">
        <v>28</v>
      </c>
      <c r="H78" s="42" t="s">
        <v>21</v>
      </c>
      <c r="I78" s="42" t="s">
        <v>270</v>
      </c>
      <c r="J78" s="42" t="s">
        <v>318</v>
      </c>
      <c r="K78" s="42" t="s">
        <v>278</v>
      </c>
      <c r="L78" s="43" t="s">
        <v>319</v>
      </c>
      <c r="M78" s="42">
        <f t="shared" si="4"/>
        <v>126</v>
      </c>
      <c r="N78" s="42" t="str">
        <f t="shared" si="5"/>
        <v>Uygun</v>
      </c>
      <c r="O78" s="42">
        <v>3</v>
      </c>
      <c r="P78" s="42" t="s">
        <v>274</v>
      </c>
    </row>
    <row r="79" spans="1:16" ht="45" customHeight="1" x14ac:dyDescent="0.2">
      <c r="A79" s="42">
        <v>78</v>
      </c>
      <c r="B79" s="42" t="s">
        <v>320</v>
      </c>
      <c r="C79" s="42" t="s">
        <v>268</v>
      </c>
      <c r="D79" s="42" t="s">
        <v>18</v>
      </c>
      <c r="E79" s="42">
        <v>1</v>
      </c>
      <c r="F79" s="42" t="s">
        <v>299</v>
      </c>
      <c r="G79" s="42" t="s">
        <v>269</v>
      </c>
      <c r="H79" s="42" t="s">
        <v>110</v>
      </c>
      <c r="I79" s="42" t="s">
        <v>270</v>
      </c>
      <c r="J79" s="42" t="s">
        <v>321</v>
      </c>
      <c r="K79" s="42" t="s">
        <v>283</v>
      </c>
      <c r="L79" s="43" t="s">
        <v>322</v>
      </c>
      <c r="M79" s="42">
        <f t="shared" si="4"/>
        <v>130</v>
      </c>
      <c r="N79" s="42" t="str">
        <f t="shared" si="5"/>
        <v>Uygun</v>
      </c>
      <c r="O79" s="42">
        <v>4</v>
      </c>
      <c r="P79" s="42" t="s">
        <v>274</v>
      </c>
    </row>
    <row r="80" spans="1:16" ht="45" customHeight="1" x14ac:dyDescent="0.2">
      <c r="A80" s="42">
        <v>79</v>
      </c>
      <c r="B80" s="42" t="s">
        <v>323</v>
      </c>
      <c r="C80" s="42" t="s">
        <v>268</v>
      </c>
      <c r="D80" s="42" t="s">
        <v>18</v>
      </c>
      <c r="E80" s="42">
        <v>1</v>
      </c>
      <c r="F80" s="42" t="s">
        <v>79</v>
      </c>
      <c r="G80" s="42" t="s">
        <v>269</v>
      </c>
      <c r="H80" s="42" t="s">
        <v>174</v>
      </c>
      <c r="I80" s="42" t="s">
        <v>270</v>
      </c>
      <c r="J80" s="42" t="s">
        <v>324</v>
      </c>
      <c r="K80" s="42" t="s">
        <v>287</v>
      </c>
      <c r="L80" s="43" t="s">
        <v>325</v>
      </c>
      <c r="M80" s="42">
        <f t="shared" si="4"/>
        <v>130</v>
      </c>
      <c r="N80" s="42" t="str">
        <f t="shared" si="5"/>
        <v>Uygun</v>
      </c>
      <c r="O80" s="42">
        <v>3</v>
      </c>
      <c r="P80" s="42" t="s">
        <v>274</v>
      </c>
    </row>
    <row r="81" spans="1:16" ht="30" customHeight="1" x14ac:dyDescent="0.2">
      <c r="A81" s="42">
        <v>80</v>
      </c>
      <c r="B81" s="42" t="s">
        <v>326</v>
      </c>
      <c r="C81" s="42" t="s">
        <v>268</v>
      </c>
      <c r="D81" s="42" t="s">
        <v>18</v>
      </c>
      <c r="E81" s="42">
        <v>1</v>
      </c>
      <c r="F81" s="42" t="s">
        <v>79</v>
      </c>
      <c r="G81" s="42" t="s">
        <v>20</v>
      </c>
      <c r="H81" s="42" t="s">
        <v>34</v>
      </c>
      <c r="I81" s="42" t="s">
        <v>270</v>
      </c>
      <c r="J81" s="42" t="s">
        <v>327</v>
      </c>
      <c r="K81" s="42" t="s">
        <v>272</v>
      </c>
      <c r="L81" s="43" t="s">
        <v>328</v>
      </c>
      <c r="M81" s="42">
        <v>128</v>
      </c>
      <c r="N81" s="42" t="s">
        <v>101</v>
      </c>
      <c r="O81" s="42">
        <v>4</v>
      </c>
      <c r="P81" s="42" t="s">
        <v>274</v>
      </c>
    </row>
    <row r="82" spans="1:16" ht="45" customHeight="1" x14ac:dyDescent="0.2">
      <c r="A82" s="42">
        <v>81</v>
      </c>
      <c r="B82" s="42" t="s">
        <v>329</v>
      </c>
      <c r="C82" s="42" t="s">
        <v>268</v>
      </c>
      <c r="D82" s="42" t="s">
        <v>18</v>
      </c>
      <c r="E82" s="42">
        <v>1</v>
      </c>
      <c r="F82" s="42" t="s">
        <v>19</v>
      </c>
      <c r="G82" s="42" t="s">
        <v>28</v>
      </c>
      <c r="H82" s="42" t="s">
        <v>53</v>
      </c>
      <c r="I82" s="42" t="s">
        <v>330</v>
      </c>
      <c r="J82" s="42" t="s">
        <v>331</v>
      </c>
      <c r="K82" s="42" t="s">
        <v>278</v>
      </c>
      <c r="L82" s="43" t="s">
        <v>332</v>
      </c>
      <c r="M82" s="42">
        <f t="shared" ref="M82:M113" si="6">LEN(L82)</f>
        <v>128</v>
      </c>
      <c r="N82" s="42" t="str">
        <f t="shared" ref="N82:N113" si="7">IF(L82="","Eksik",IF(M82&lt;=130,"Uygun","130 karakteri aşıyor"))</f>
        <v>Uygun</v>
      </c>
      <c r="O82" s="42">
        <v>3</v>
      </c>
      <c r="P82" s="42" t="s">
        <v>333</v>
      </c>
    </row>
    <row r="83" spans="1:16" ht="30" customHeight="1" x14ac:dyDescent="0.2">
      <c r="A83" s="42">
        <v>82</v>
      </c>
      <c r="B83" s="42" t="s">
        <v>334</v>
      </c>
      <c r="C83" s="42" t="s">
        <v>268</v>
      </c>
      <c r="D83" s="42" t="s">
        <v>18</v>
      </c>
      <c r="E83" s="42">
        <v>1</v>
      </c>
      <c r="F83" s="42" t="s">
        <v>40</v>
      </c>
      <c r="G83" s="42" t="s">
        <v>269</v>
      </c>
      <c r="H83" s="42" t="s">
        <v>79</v>
      </c>
      <c r="I83" s="42" t="s">
        <v>270</v>
      </c>
      <c r="J83" s="42" t="s">
        <v>335</v>
      </c>
      <c r="K83" s="42" t="s">
        <v>283</v>
      </c>
      <c r="L83" s="43" t="s">
        <v>336</v>
      </c>
      <c r="M83" s="42">
        <f t="shared" si="6"/>
        <v>129</v>
      </c>
      <c r="N83" s="42" t="str">
        <f t="shared" si="7"/>
        <v>Uygun</v>
      </c>
      <c r="O83" s="42">
        <v>4</v>
      </c>
      <c r="P83" s="42" t="s">
        <v>274</v>
      </c>
    </row>
    <row r="84" spans="1:16" ht="30" customHeight="1" x14ac:dyDescent="0.2">
      <c r="A84" s="42">
        <v>83</v>
      </c>
      <c r="B84" s="42" t="s">
        <v>337</v>
      </c>
      <c r="C84" s="42" t="s">
        <v>268</v>
      </c>
      <c r="D84" s="42" t="s">
        <v>18</v>
      </c>
      <c r="E84" s="42">
        <v>1</v>
      </c>
      <c r="F84" s="42" t="s">
        <v>79</v>
      </c>
      <c r="G84" s="42" t="s">
        <v>269</v>
      </c>
      <c r="H84" s="42" t="s">
        <v>231</v>
      </c>
      <c r="I84" s="42" t="s">
        <v>270</v>
      </c>
      <c r="J84" s="42" t="s">
        <v>338</v>
      </c>
      <c r="K84" s="42" t="s">
        <v>287</v>
      </c>
      <c r="L84" s="43" t="s">
        <v>339</v>
      </c>
      <c r="M84" s="42">
        <f t="shared" si="6"/>
        <v>116</v>
      </c>
      <c r="N84" s="42" t="str">
        <f t="shared" si="7"/>
        <v>Uygun</v>
      </c>
      <c r="O84" s="42">
        <v>3</v>
      </c>
      <c r="P84" s="42" t="s">
        <v>274</v>
      </c>
    </row>
    <row r="85" spans="1:16" ht="30" customHeight="1" x14ac:dyDescent="0.2">
      <c r="A85" s="42">
        <v>84</v>
      </c>
      <c r="B85" s="42" t="s">
        <v>340</v>
      </c>
      <c r="C85" s="42" t="s">
        <v>268</v>
      </c>
      <c r="D85" s="42" t="s">
        <v>18</v>
      </c>
      <c r="E85" s="42">
        <v>1</v>
      </c>
      <c r="F85" s="42" t="s">
        <v>299</v>
      </c>
      <c r="G85" s="42" t="s">
        <v>28</v>
      </c>
      <c r="H85" s="42" t="s">
        <v>178</v>
      </c>
      <c r="I85" s="42" t="s">
        <v>270</v>
      </c>
      <c r="J85" s="42" t="s">
        <v>341</v>
      </c>
      <c r="K85" s="42" t="s">
        <v>272</v>
      </c>
      <c r="L85" s="43" t="s">
        <v>342</v>
      </c>
      <c r="M85" s="42">
        <f t="shared" si="6"/>
        <v>127</v>
      </c>
      <c r="N85" s="42" t="str">
        <f t="shared" si="7"/>
        <v>Uygun</v>
      </c>
      <c r="O85" s="42">
        <v>4</v>
      </c>
      <c r="P85" s="42" t="s">
        <v>274</v>
      </c>
    </row>
    <row r="86" spans="1:16" ht="30" customHeight="1" x14ac:dyDescent="0.2">
      <c r="A86" s="42">
        <v>85</v>
      </c>
      <c r="B86" s="42" t="s">
        <v>343</v>
      </c>
      <c r="C86" s="42" t="s">
        <v>268</v>
      </c>
      <c r="D86" s="42" t="s">
        <v>18</v>
      </c>
      <c r="E86" s="42">
        <v>1</v>
      </c>
      <c r="F86" s="42" t="s">
        <v>79</v>
      </c>
      <c r="G86" s="42" t="s">
        <v>269</v>
      </c>
      <c r="H86" s="42" t="s">
        <v>47</v>
      </c>
      <c r="I86" s="42" t="s">
        <v>270</v>
      </c>
      <c r="J86" s="42" t="s">
        <v>344</v>
      </c>
      <c r="K86" s="42" t="s">
        <v>278</v>
      </c>
      <c r="L86" s="43" t="s">
        <v>345</v>
      </c>
      <c r="M86" s="42">
        <f t="shared" si="6"/>
        <v>121</v>
      </c>
      <c r="N86" s="42" t="str">
        <f t="shared" si="7"/>
        <v>Uygun</v>
      </c>
      <c r="O86" s="42">
        <v>3</v>
      </c>
      <c r="P86" s="42" t="s">
        <v>274</v>
      </c>
    </row>
    <row r="87" spans="1:16" ht="30" customHeight="1" x14ac:dyDescent="0.2">
      <c r="A87" s="42">
        <v>86</v>
      </c>
      <c r="B87" s="42" t="s">
        <v>346</v>
      </c>
      <c r="C87" s="42" t="s">
        <v>268</v>
      </c>
      <c r="D87" s="42" t="s">
        <v>18</v>
      </c>
      <c r="E87" s="42">
        <v>1</v>
      </c>
      <c r="F87" s="42" t="s">
        <v>79</v>
      </c>
      <c r="G87" s="42" t="s">
        <v>28</v>
      </c>
      <c r="H87" s="42" t="s">
        <v>214</v>
      </c>
      <c r="I87" s="42" t="s">
        <v>270</v>
      </c>
      <c r="J87" s="42" t="s">
        <v>347</v>
      </c>
      <c r="K87" s="42" t="s">
        <v>283</v>
      </c>
      <c r="L87" s="43" t="s">
        <v>348</v>
      </c>
      <c r="M87" s="42">
        <f t="shared" si="6"/>
        <v>130</v>
      </c>
      <c r="N87" s="42" t="str">
        <f t="shared" si="7"/>
        <v>Uygun</v>
      </c>
      <c r="O87" s="42">
        <v>4</v>
      </c>
      <c r="P87" s="42" t="s">
        <v>274</v>
      </c>
    </row>
    <row r="88" spans="1:16" ht="30" customHeight="1" x14ac:dyDescent="0.2">
      <c r="A88" s="42">
        <v>87</v>
      </c>
      <c r="B88" s="42" t="s">
        <v>349</v>
      </c>
      <c r="C88" s="42" t="s">
        <v>268</v>
      </c>
      <c r="D88" s="42" t="s">
        <v>18</v>
      </c>
      <c r="E88" s="42">
        <v>1</v>
      </c>
      <c r="F88" s="42" t="s">
        <v>79</v>
      </c>
      <c r="G88" s="42" t="s">
        <v>28</v>
      </c>
      <c r="H88" s="42" t="s">
        <v>47</v>
      </c>
      <c r="I88" s="42" t="s">
        <v>270</v>
      </c>
      <c r="J88" s="42" t="s">
        <v>350</v>
      </c>
      <c r="K88" s="42" t="s">
        <v>287</v>
      </c>
      <c r="L88" s="43" t="s">
        <v>351</v>
      </c>
      <c r="M88" s="42">
        <f t="shared" si="6"/>
        <v>126</v>
      </c>
      <c r="N88" s="42" t="str">
        <f t="shared" si="7"/>
        <v>Uygun</v>
      </c>
      <c r="O88" s="42">
        <v>3</v>
      </c>
      <c r="P88" s="42" t="s">
        <v>274</v>
      </c>
    </row>
    <row r="89" spans="1:16" ht="45" customHeight="1" x14ac:dyDescent="0.2">
      <c r="A89" s="42">
        <v>88</v>
      </c>
      <c r="B89" s="42" t="s">
        <v>352</v>
      </c>
      <c r="C89" s="42" t="s">
        <v>268</v>
      </c>
      <c r="D89" s="42" t="s">
        <v>18</v>
      </c>
      <c r="E89" s="42">
        <v>1</v>
      </c>
      <c r="F89" s="42" t="s">
        <v>79</v>
      </c>
      <c r="G89" s="42" t="s">
        <v>28</v>
      </c>
      <c r="H89" s="42" t="s">
        <v>132</v>
      </c>
      <c r="I89" s="42" t="s">
        <v>270</v>
      </c>
      <c r="J89" s="42" t="s">
        <v>353</v>
      </c>
      <c r="K89" s="42" t="s">
        <v>272</v>
      </c>
      <c r="L89" s="43" t="s">
        <v>354</v>
      </c>
      <c r="M89" s="42">
        <f t="shared" si="6"/>
        <v>128</v>
      </c>
      <c r="N89" s="42" t="str">
        <f t="shared" si="7"/>
        <v>Uygun</v>
      </c>
      <c r="O89" s="42">
        <v>4</v>
      </c>
      <c r="P89" s="42" t="s">
        <v>274</v>
      </c>
    </row>
    <row r="90" spans="1:16" ht="30" customHeight="1" x14ac:dyDescent="0.2">
      <c r="A90" s="42">
        <v>89</v>
      </c>
      <c r="B90" s="42" t="s">
        <v>355</v>
      </c>
      <c r="C90" s="42" t="s">
        <v>268</v>
      </c>
      <c r="D90" s="42" t="s">
        <v>18</v>
      </c>
      <c r="E90" s="42">
        <v>1</v>
      </c>
      <c r="F90" s="42" t="s">
        <v>356</v>
      </c>
      <c r="G90" s="42" t="s">
        <v>28</v>
      </c>
      <c r="H90" s="42" t="s">
        <v>60</v>
      </c>
      <c r="I90" s="42" t="s">
        <v>270</v>
      </c>
      <c r="J90" s="42" t="s">
        <v>357</v>
      </c>
      <c r="K90" s="42" t="s">
        <v>278</v>
      </c>
      <c r="L90" s="43" t="s">
        <v>358</v>
      </c>
      <c r="M90" s="42">
        <f t="shared" si="6"/>
        <v>128</v>
      </c>
      <c r="N90" s="42" t="str">
        <f t="shared" si="7"/>
        <v>Uygun</v>
      </c>
      <c r="O90" s="42">
        <v>3</v>
      </c>
      <c r="P90" s="42" t="s">
        <v>274</v>
      </c>
    </row>
    <row r="91" spans="1:16" ht="30" customHeight="1" x14ac:dyDescent="0.2">
      <c r="A91" s="42">
        <v>90</v>
      </c>
      <c r="B91" s="42" t="s">
        <v>359</v>
      </c>
      <c r="C91" s="42" t="s">
        <v>268</v>
      </c>
      <c r="D91" s="42" t="s">
        <v>18</v>
      </c>
      <c r="E91" s="42">
        <v>1</v>
      </c>
      <c r="F91" s="42" t="s">
        <v>79</v>
      </c>
      <c r="G91" s="42" t="s">
        <v>269</v>
      </c>
      <c r="H91" s="42" t="s">
        <v>79</v>
      </c>
      <c r="I91" s="42" t="s">
        <v>270</v>
      </c>
      <c r="J91" s="42" t="s">
        <v>360</v>
      </c>
      <c r="K91" s="42" t="s">
        <v>283</v>
      </c>
      <c r="L91" s="43" t="s">
        <v>361</v>
      </c>
      <c r="M91" s="42">
        <f t="shared" si="6"/>
        <v>126</v>
      </c>
      <c r="N91" s="42" t="str">
        <f t="shared" si="7"/>
        <v>Uygun</v>
      </c>
      <c r="O91" s="42">
        <v>4</v>
      </c>
      <c r="P91" s="42" t="s">
        <v>274</v>
      </c>
    </row>
    <row r="92" spans="1:16" ht="45" customHeight="1" x14ac:dyDescent="0.2">
      <c r="A92" s="42">
        <v>91</v>
      </c>
      <c r="B92" s="42" t="s">
        <v>362</v>
      </c>
      <c r="C92" s="42" t="s">
        <v>268</v>
      </c>
      <c r="D92" s="42" t="s">
        <v>18</v>
      </c>
      <c r="E92" s="42">
        <v>1</v>
      </c>
      <c r="F92" s="42" t="s">
        <v>79</v>
      </c>
      <c r="G92" s="42" t="s">
        <v>269</v>
      </c>
      <c r="H92" s="42" t="s">
        <v>79</v>
      </c>
      <c r="I92" s="42" t="s">
        <v>270</v>
      </c>
      <c r="J92" s="42" t="s">
        <v>363</v>
      </c>
      <c r="K92" s="42" t="s">
        <v>287</v>
      </c>
      <c r="L92" s="43" t="s">
        <v>364</v>
      </c>
      <c r="M92" s="42">
        <f t="shared" si="6"/>
        <v>130</v>
      </c>
      <c r="N92" s="42" t="str">
        <f t="shared" si="7"/>
        <v>Uygun</v>
      </c>
      <c r="O92" s="42">
        <v>3</v>
      </c>
      <c r="P92" s="42" t="s">
        <v>274</v>
      </c>
    </row>
    <row r="93" spans="1:16" ht="30" customHeight="1" x14ac:dyDescent="0.2">
      <c r="A93" s="42">
        <v>92</v>
      </c>
      <c r="B93" s="42" t="s">
        <v>365</v>
      </c>
      <c r="C93" s="42" t="s">
        <v>268</v>
      </c>
      <c r="D93" s="42" t="s">
        <v>18</v>
      </c>
      <c r="E93" s="42">
        <v>1</v>
      </c>
      <c r="F93" s="42" t="s">
        <v>79</v>
      </c>
      <c r="G93" s="42" t="s">
        <v>269</v>
      </c>
      <c r="H93" s="42" t="s">
        <v>73</v>
      </c>
      <c r="I93" s="42" t="s">
        <v>270</v>
      </c>
      <c r="J93" s="42" t="s">
        <v>366</v>
      </c>
      <c r="K93" s="42" t="s">
        <v>272</v>
      </c>
      <c r="L93" s="43" t="s">
        <v>367</v>
      </c>
      <c r="M93" s="42">
        <f t="shared" si="6"/>
        <v>122</v>
      </c>
      <c r="N93" s="42" t="str">
        <f t="shared" si="7"/>
        <v>Uygun</v>
      </c>
      <c r="O93" s="42">
        <v>4</v>
      </c>
      <c r="P93" s="42" t="s">
        <v>274</v>
      </c>
    </row>
    <row r="94" spans="1:16" ht="30" customHeight="1" x14ac:dyDescent="0.2">
      <c r="A94" s="42">
        <v>93</v>
      </c>
      <c r="B94" s="42" t="s">
        <v>368</v>
      </c>
      <c r="C94" s="42" t="s">
        <v>268</v>
      </c>
      <c r="D94" s="42" t="s">
        <v>18</v>
      </c>
      <c r="E94" s="42">
        <v>1</v>
      </c>
      <c r="F94" s="42" t="s">
        <v>79</v>
      </c>
      <c r="G94" s="42" t="s">
        <v>269</v>
      </c>
      <c r="H94" s="42" t="s">
        <v>21</v>
      </c>
      <c r="I94" s="42" t="s">
        <v>270</v>
      </c>
      <c r="J94" s="42" t="s">
        <v>369</v>
      </c>
      <c r="K94" s="42" t="s">
        <v>278</v>
      </c>
      <c r="L94" s="43" t="s">
        <v>370</v>
      </c>
      <c r="M94" s="42">
        <f t="shared" si="6"/>
        <v>117</v>
      </c>
      <c r="N94" s="42" t="str">
        <f t="shared" si="7"/>
        <v>Uygun</v>
      </c>
      <c r="O94" s="42">
        <v>3</v>
      </c>
      <c r="P94" s="42" t="s">
        <v>274</v>
      </c>
    </row>
    <row r="95" spans="1:16" ht="30" customHeight="1" x14ac:dyDescent="0.2">
      <c r="A95" s="42">
        <v>94</v>
      </c>
      <c r="B95" s="42" t="s">
        <v>371</v>
      </c>
      <c r="C95" s="42" t="s">
        <v>268</v>
      </c>
      <c r="D95" s="42" t="s">
        <v>18</v>
      </c>
      <c r="E95" s="42">
        <v>1</v>
      </c>
      <c r="F95" s="42" t="s">
        <v>19</v>
      </c>
      <c r="G95" s="42" t="s">
        <v>28</v>
      </c>
      <c r="H95" s="42" t="s">
        <v>21</v>
      </c>
      <c r="I95" s="42" t="s">
        <v>276</v>
      </c>
      <c r="J95" s="42" t="s">
        <v>372</v>
      </c>
      <c r="K95" s="42" t="s">
        <v>283</v>
      </c>
      <c r="L95" s="43" t="s">
        <v>373</v>
      </c>
      <c r="M95" s="42">
        <f t="shared" si="6"/>
        <v>127</v>
      </c>
      <c r="N95" s="42" t="str">
        <f t="shared" si="7"/>
        <v>Uygun</v>
      </c>
      <c r="O95" s="42">
        <v>4</v>
      </c>
      <c r="P95" s="42" t="s">
        <v>280</v>
      </c>
    </row>
    <row r="96" spans="1:16" ht="30" customHeight="1" x14ac:dyDescent="0.2">
      <c r="A96" s="42">
        <v>95</v>
      </c>
      <c r="B96" s="42" t="s">
        <v>374</v>
      </c>
      <c r="C96" s="42" t="s">
        <v>268</v>
      </c>
      <c r="D96" s="42" t="s">
        <v>18</v>
      </c>
      <c r="E96" s="42">
        <v>1</v>
      </c>
      <c r="F96" s="42" t="s">
        <v>79</v>
      </c>
      <c r="G96" s="42" t="s">
        <v>269</v>
      </c>
      <c r="H96" s="42" t="s">
        <v>53</v>
      </c>
      <c r="I96" s="42" t="s">
        <v>330</v>
      </c>
      <c r="J96" s="42" t="s">
        <v>375</v>
      </c>
      <c r="K96" s="42" t="s">
        <v>287</v>
      </c>
      <c r="L96" s="43" t="s">
        <v>376</v>
      </c>
      <c r="M96" s="42">
        <f t="shared" si="6"/>
        <v>129</v>
      </c>
      <c r="N96" s="42" t="str">
        <f t="shared" si="7"/>
        <v>Uygun</v>
      </c>
      <c r="O96" s="42">
        <v>3</v>
      </c>
      <c r="P96" s="42" t="s">
        <v>333</v>
      </c>
    </row>
    <row r="97" spans="1:16" ht="30" customHeight="1" x14ac:dyDescent="0.2">
      <c r="A97" s="42">
        <v>96</v>
      </c>
      <c r="B97" s="42" t="s">
        <v>377</v>
      </c>
      <c r="C97" s="42" t="s">
        <v>268</v>
      </c>
      <c r="D97" s="42" t="s">
        <v>163</v>
      </c>
      <c r="E97" s="42">
        <v>2</v>
      </c>
      <c r="F97" s="42" t="s">
        <v>79</v>
      </c>
      <c r="G97" s="42" t="s">
        <v>269</v>
      </c>
      <c r="H97" s="42" t="s">
        <v>47</v>
      </c>
      <c r="I97" s="42" t="s">
        <v>378</v>
      </c>
      <c r="J97" s="42" t="s">
        <v>379</v>
      </c>
      <c r="K97" s="42" t="s">
        <v>380</v>
      </c>
      <c r="L97" s="43" t="s">
        <v>381</v>
      </c>
      <c r="M97" s="42">
        <f t="shared" si="6"/>
        <v>123</v>
      </c>
      <c r="N97" s="42" t="str">
        <f t="shared" si="7"/>
        <v>Uygun</v>
      </c>
      <c r="O97" s="42">
        <v>5</v>
      </c>
      <c r="P97" s="42" t="s">
        <v>382</v>
      </c>
    </row>
    <row r="98" spans="1:16" ht="30" customHeight="1" x14ac:dyDescent="0.2">
      <c r="A98" s="42">
        <v>97</v>
      </c>
      <c r="B98" s="42" t="s">
        <v>383</v>
      </c>
      <c r="C98" s="42" t="s">
        <v>268</v>
      </c>
      <c r="D98" s="42" t="s">
        <v>163</v>
      </c>
      <c r="E98" s="42">
        <v>2</v>
      </c>
      <c r="F98" s="42" t="s">
        <v>79</v>
      </c>
      <c r="G98" s="42" t="s">
        <v>28</v>
      </c>
      <c r="H98" s="42" t="s">
        <v>60</v>
      </c>
      <c r="I98" s="42" t="s">
        <v>378</v>
      </c>
      <c r="J98" s="42" t="s">
        <v>384</v>
      </c>
      <c r="K98" s="42" t="s">
        <v>385</v>
      </c>
      <c r="L98" s="43" t="s">
        <v>386</v>
      </c>
      <c r="M98" s="42">
        <f t="shared" si="6"/>
        <v>129</v>
      </c>
      <c r="N98" s="42" t="str">
        <f t="shared" si="7"/>
        <v>Uygun</v>
      </c>
      <c r="O98" s="42">
        <v>5</v>
      </c>
      <c r="P98" s="42" t="s">
        <v>382</v>
      </c>
    </row>
    <row r="99" spans="1:16" ht="45" customHeight="1" x14ac:dyDescent="0.2">
      <c r="A99" s="42">
        <v>98</v>
      </c>
      <c r="B99" s="42" t="s">
        <v>387</v>
      </c>
      <c r="C99" s="42" t="s">
        <v>268</v>
      </c>
      <c r="D99" s="42" t="s">
        <v>163</v>
      </c>
      <c r="E99" s="42">
        <v>2</v>
      </c>
      <c r="F99" s="42" t="s">
        <v>79</v>
      </c>
      <c r="G99" s="42" t="s">
        <v>28</v>
      </c>
      <c r="H99" s="42" t="s">
        <v>60</v>
      </c>
      <c r="I99" s="42" t="s">
        <v>378</v>
      </c>
      <c r="J99" s="42" t="s">
        <v>388</v>
      </c>
      <c r="K99" s="42" t="s">
        <v>389</v>
      </c>
      <c r="L99" s="43" t="s">
        <v>390</v>
      </c>
      <c r="M99" s="42">
        <f t="shared" si="6"/>
        <v>121</v>
      </c>
      <c r="N99" s="42" t="str">
        <f t="shared" si="7"/>
        <v>Uygun</v>
      </c>
      <c r="O99" s="42">
        <v>5</v>
      </c>
      <c r="P99" s="42" t="s">
        <v>382</v>
      </c>
    </row>
    <row r="100" spans="1:16" ht="30" customHeight="1" x14ac:dyDescent="0.2">
      <c r="A100" s="42">
        <v>99</v>
      </c>
      <c r="B100" s="42" t="s">
        <v>391</v>
      </c>
      <c r="C100" s="42" t="s">
        <v>268</v>
      </c>
      <c r="D100" s="42" t="s">
        <v>163</v>
      </c>
      <c r="E100" s="42">
        <v>2</v>
      </c>
      <c r="F100" s="42" t="s">
        <v>299</v>
      </c>
      <c r="G100" s="42" t="s">
        <v>28</v>
      </c>
      <c r="H100" s="42" t="s">
        <v>154</v>
      </c>
      <c r="I100" s="42" t="s">
        <v>392</v>
      </c>
      <c r="J100" s="42" t="s">
        <v>393</v>
      </c>
      <c r="K100" s="42" t="s">
        <v>394</v>
      </c>
      <c r="L100" s="43" t="s">
        <v>395</v>
      </c>
      <c r="M100" s="42">
        <f t="shared" si="6"/>
        <v>113</v>
      </c>
      <c r="N100" s="42" t="str">
        <f t="shared" si="7"/>
        <v>Uygun</v>
      </c>
      <c r="O100" s="42">
        <v>5</v>
      </c>
      <c r="P100" s="42" t="s">
        <v>396</v>
      </c>
    </row>
    <row r="101" spans="1:16" ht="30" customHeight="1" x14ac:dyDescent="0.2">
      <c r="A101" s="42">
        <v>100</v>
      </c>
      <c r="B101" s="42" t="s">
        <v>397</v>
      </c>
      <c r="C101" s="42" t="s">
        <v>268</v>
      </c>
      <c r="D101" s="42" t="s">
        <v>163</v>
      </c>
      <c r="E101" s="42">
        <v>2</v>
      </c>
      <c r="F101" s="42" t="s">
        <v>79</v>
      </c>
      <c r="G101" s="42" t="s">
        <v>28</v>
      </c>
      <c r="H101" s="42" t="s">
        <v>110</v>
      </c>
      <c r="I101" s="42" t="s">
        <v>398</v>
      </c>
      <c r="J101" s="42" t="s">
        <v>399</v>
      </c>
      <c r="K101" s="42" t="s">
        <v>380</v>
      </c>
      <c r="L101" s="43" t="s">
        <v>400</v>
      </c>
      <c r="M101" s="42">
        <f t="shared" si="6"/>
        <v>121</v>
      </c>
      <c r="N101" s="42" t="str">
        <f t="shared" si="7"/>
        <v>Uygun</v>
      </c>
      <c r="O101" s="42">
        <v>5</v>
      </c>
      <c r="P101" s="42" t="s">
        <v>401</v>
      </c>
    </row>
    <row r="102" spans="1:16" ht="30" customHeight="1" x14ac:dyDescent="0.2">
      <c r="A102" s="42">
        <v>101</v>
      </c>
      <c r="B102" s="42" t="s">
        <v>402</v>
      </c>
      <c r="C102" s="42" t="s">
        <v>268</v>
      </c>
      <c r="D102" s="42" t="s">
        <v>163</v>
      </c>
      <c r="E102" s="42">
        <v>2</v>
      </c>
      <c r="F102" s="42" t="s">
        <v>299</v>
      </c>
      <c r="G102" s="42" t="s">
        <v>28</v>
      </c>
      <c r="H102" s="42" t="s">
        <v>123</v>
      </c>
      <c r="I102" s="42" t="s">
        <v>378</v>
      </c>
      <c r="J102" s="42" t="s">
        <v>403</v>
      </c>
      <c r="K102" s="42" t="s">
        <v>385</v>
      </c>
      <c r="L102" s="43" t="s">
        <v>404</v>
      </c>
      <c r="M102" s="42">
        <f t="shared" si="6"/>
        <v>125</v>
      </c>
      <c r="N102" s="42" t="str">
        <f t="shared" si="7"/>
        <v>Uygun</v>
      </c>
      <c r="O102" s="42">
        <v>5</v>
      </c>
      <c r="P102" s="42" t="s">
        <v>382</v>
      </c>
    </row>
    <row r="103" spans="1:16" ht="30" customHeight="1" x14ac:dyDescent="0.2">
      <c r="A103" s="42">
        <v>102</v>
      </c>
      <c r="B103" s="42" t="s">
        <v>405</v>
      </c>
      <c r="C103" s="42" t="s">
        <v>268</v>
      </c>
      <c r="D103" s="42" t="s">
        <v>163</v>
      </c>
      <c r="E103" s="42">
        <v>2</v>
      </c>
      <c r="F103" s="42" t="s">
        <v>79</v>
      </c>
      <c r="G103" s="42" t="s">
        <v>28</v>
      </c>
      <c r="H103" s="42" t="s">
        <v>41</v>
      </c>
      <c r="I103" s="42" t="s">
        <v>378</v>
      </c>
      <c r="J103" s="42" t="s">
        <v>406</v>
      </c>
      <c r="K103" s="42" t="s">
        <v>389</v>
      </c>
      <c r="L103" s="43" t="s">
        <v>407</v>
      </c>
      <c r="M103" s="42">
        <f t="shared" si="6"/>
        <v>130</v>
      </c>
      <c r="N103" s="42" t="str">
        <f t="shared" si="7"/>
        <v>Uygun</v>
      </c>
      <c r="O103" s="42">
        <v>5</v>
      </c>
      <c r="P103" s="42" t="s">
        <v>382</v>
      </c>
    </row>
    <row r="104" spans="1:16" ht="45" customHeight="1" x14ac:dyDescent="0.2">
      <c r="A104" s="42">
        <v>103</v>
      </c>
      <c r="B104" s="42" t="s">
        <v>408</v>
      </c>
      <c r="C104" s="42" t="s">
        <v>268</v>
      </c>
      <c r="D104" s="42" t="s">
        <v>163</v>
      </c>
      <c r="E104" s="42">
        <v>2</v>
      </c>
      <c r="F104" s="42" t="s">
        <v>79</v>
      </c>
      <c r="G104" s="42" t="s">
        <v>269</v>
      </c>
      <c r="H104" s="42" t="s">
        <v>41</v>
      </c>
      <c r="I104" s="42" t="s">
        <v>378</v>
      </c>
      <c r="J104" s="42" t="s">
        <v>409</v>
      </c>
      <c r="K104" s="42" t="s">
        <v>394</v>
      </c>
      <c r="L104" s="43" t="s">
        <v>410</v>
      </c>
      <c r="M104" s="42">
        <f t="shared" si="6"/>
        <v>128</v>
      </c>
      <c r="N104" s="42" t="str">
        <f t="shared" si="7"/>
        <v>Uygun</v>
      </c>
      <c r="O104" s="42">
        <v>5</v>
      </c>
      <c r="P104" s="42" t="s">
        <v>382</v>
      </c>
    </row>
    <row r="105" spans="1:16" ht="30" customHeight="1" x14ac:dyDescent="0.2">
      <c r="A105" s="42">
        <v>104</v>
      </c>
      <c r="B105" s="42" t="s">
        <v>411</v>
      </c>
      <c r="C105" s="42" t="s">
        <v>268</v>
      </c>
      <c r="D105" s="42" t="s">
        <v>163</v>
      </c>
      <c r="E105" s="42">
        <v>2</v>
      </c>
      <c r="F105" s="42" t="s">
        <v>412</v>
      </c>
      <c r="G105" s="42" t="s">
        <v>28</v>
      </c>
      <c r="H105" s="42" t="s">
        <v>34</v>
      </c>
      <c r="I105" s="42" t="s">
        <v>378</v>
      </c>
      <c r="J105" s="42" t="s">
        <v>413</v>
      </c>
      <c r="K105" s="42" t="s">
        <v>380</v>
      </c>
      <c r="L105" s="43" t="s">
        <v>414</v>
      </c>
      <c r="M105" s="42">
        <f t="shared" si="6"/>
        <v>124</v>
      </c>
      <c r="N105" s="42" t="str">
        <f t="shared" si="7"/>
        <v>Uygun</v>
      </c>
      <c r="O105" s="42">
        <v>5</v>
      </c>
      <c r="P105" s="42" t="s">
        <v>382</v>
      </c>
    </row>
    <row r="106" spans="1:16" ht="30" customHeight="1" x14ac:dyDescent="0.2">
      <c r="A106" s="42">
        <v>105</v>
      </c>
      <c r="B106" s="42" t="s">
        <v>415</v>
      </c>
      <c r="C106" s="42" t="s">
        <v>268</v>
      </c>
      <c r="D106" s="42" t="s">
        <v>163</v>
      </c>
      <c r="E106" s="42">
        <v>2</v>
      </c>
      <c r="F106" s="42" t="s">
        <v>79</v>
      </c>
      <c r="G106" s="42" t="s">
        <v>28</v>
      </c>
      <c r="H106" s="42" t="s">
        <v>21</v>
      </c>
      <c r="I106" s="42" t="s">
        <v>378</v>
      </c>
      <c r="J106" s="42" t="s">
        <v>416</v>
      </c>
      <c r="K106" s="42" t="s">
        <v>385</v>
      </c>
      <c r="L106" s="43" t="s">
        <v>417</v>
      </c>
      <c r="M106" s="42">
        <f t="shared" si="6"/>
        <v>128</v>
      </c>
      <c r="N106" s="42" t="str">
        <f t="shared" si="7"/>
        <v>Uygun</v>
      </c>
      <c r="O106" s="42">
        <v>5</v>
      </c>
      <c r="P106" s="42" t="s">
        <v>382</v>
      </c>
    </row>
    <row r="107" spans="1:16" ht="30" customHeight="1" x14ac:dyDescent="0.2">
      <c r="A107" s="42">
        <v>106</v>
      </c>
      <c r="B107" s="42" t="s">
        <v>418</v>
      </c>
      <c r="C107" s="42" t="s">
        <v>268</v>
      </c>
      <c r="D107" s="42" t="s">
        <v>163</v>
      </c>
      <c r="E107" s="42">
        <v>2</v>
      </c>
      <c r="F107" s="42" t="s">
        <v>41</v>
      </c>
      <c r="G107" s="42" t="s">
        <v>28</v>
      </c>
      <c r="H107" s="42" t="s">
        <v>53</v>
      </c>
      <c r="I107" s="42" t="s">
        <v>419</v>
      </c>
      <c r="J107" s="42" t="s">
        <v>420</v>
      </c>
      <c r="K107" s="42" t="s">
        <v>389</v>
      </c>
      <c r="L107" s="43" t="s">
        <v>421</v>
      </c>
      <c r="M107" s="42">
        <f t="shared" si="6"/>
        <v>122</v>
      </c>
      <c r="N107" s="42" t="str">
        <f t="shared" si="7"/>
        <v>Uygun</v>
      </c>
      <c r="O107" s="42">
        <v>5</v>
      </c>
      <c r="P107" s="42" t="s">
        <v>422</v>
      </c>
    </row>
    <row r="108" spans="1:16" ht="45" customHeight="1" x14ac:dyDescent="0.2">
      <c r="A108" s="42">
        <v>107</v>
      </c>
      <c r="B108" s="42" t="s">
        <v>423</v>
      </c>
      <c r="C108" s="42" t="s">
        <v>268</v>
      </c>
      <c r="D108" s="42" t="s">
        <v>163</v>
      </c>
      <c r="E108" s="42">
        <v>2</v>
      </c>
      <c r="F108" s="42" t="s">
        <v>79</v>
      </c>
      <c r="G108" s="42" t="s">
        <v>28</v>
      </c>
      <c r="H108" s="42" t="s">
        <v>34</v>
      </c>
      <c r="I108" s="42" t="s">
        <v>378</v>
      </c>
      <c r="J108" s="42" t="s">
        <v>424</v>
      </c>
      <c r="K108" s="42" t="s">
        <v>394</v>
      </c>
      <c r="L108" s="43" t="s">
        <v>425</v>
      </c>
      <c r="M108" s="42">
        <f t="shared" si="6"/>
        <v>129</v>
      </c>
      <c r="N108" s="42" t="str">
        <f t="shared" si="7"/>
        <v>Uygun</v>
      </c>
      <c r="O108" s="42">
        <v>5</v>
      </c>
      <c r="P108" s="42" t="s">
        <v>382</v>
      </c>
    </row>
    <row r="109" spans="1:16" ht="30" customHeight="1" x14ac:dyDescent="0.2">
      <c r="A109" s="42">
        <v>108</v>
      </c>
      <c r="B109" s="42" t="s">
        <v>426</v>
      </c>
      <c r="C109" s="42" t="s">
        <v>268</v>
      </c>
      <c r="D109" s="42" t="s">
        <v>163</v>
      </c>
      <c r="E109" s="42">
        <v>2</v>
      </c>
      <c r="F109" s="42" t="s">
        <v>412</v>
      </c>
      <c r="G109" s="42" t="s">
        <v>28</v>
      </c>
      <c r="H109" s="42" t="s">
        <v>110</v>
      </c>
      <c r="I109" s="42" t="s">
        <v>392</v>
      </c>
      <c r="J109" s="42" t="s">
        <v>427</v>
      </c>
      <c r="K109" s="42" t="s">
        <v>380</v>
      </c>
      <c r="L109" s="43" t="s">
        <v>428</v>
      </c>
      <c r="M109" s="42">
        <f t="shared" si="6"/>
        <v>126</v>
      </c>
      <c r="N109" s="42" t="str">
        <f t="shared" si="7"/>
        <v>Uygun</v>
      </c>
      <c r="O109" s="42">
        <v>5</v>
      </c>
      <c r="P109" s="42" t="s">
        <v>396</v>
      </c>
    </row>
    <row r="110" spans="1:16" ht="30" customHeight="1" x14ac:dyDescent="0.2">
      <c r="A110" s="42">
        <v>109</v>
      </c>
      <c r="B110" s="42" t="s">
        <v>429</v>
      </c>
      <c r="C110" s="42" t="s">
        <v>268</v>
      </c>
      <c r="D110" s="42" t="s">
        <v>163</v>
      </c>
      <c r="E110" s="42">
        <v>2</v>
      </c>
      <c r="F110" s="42" t="s">
        <v>79</v>
      </c>
      <c r="G110" s="42" t="s">
        <v>28</v>
      </c>
      <c r="H110" s="42" t="s">
        <v>21</v>
      </c>
      <c r="I110" s="42" t="s">
        <v>378</v>
      </c>
      <c r="J110" s="42" t="s">
        <v>430</v>
      </c>
      <c r="K110" s="42" t="s">
        <v>385</v>
      </c>
      <c r="L110" s="43" t="s">
        <v>431</v>
      </c>
      <c r="M110" s="42">
        <f t="shared" si="6"/>
        <v>124</v>
      </c>
      <c r="N110" s="42" t="str">
        <f t="shared" si="7"/>
        <v>Uygun</v>
      </c>
      <c r="O110" s="42">
        <v>5</v>
      </c>
      <c r="P110" s="42" t="s">
        <v>382</v>
      </c>
    </row>
    <row r="111" spans="1:16" ht="30" customHeight="1" x14ac:dyDescent="0.2">
      <c r="A111" s="42">
        <v>110</v>
      </c>
      <c r="B111" s="42" t="s">
        <v>432</v>
      </c>
      <c r="C111" s="42" t="s">
        <v>268</v>
      </c>
      <c r="D111" s="42" t="s">
        <v>163</v>
      </c>
      <c r="E111" s="42">
        <v>2</v>
      </c>
      <c r="F111" s="42" t="s">
        <v>79</v>
      </c>
      <c r="G111" s="42" t="s">
        <v>28</v>
      </c>
      <c r="H111" s="42" t="s">
        <v>21</v>
      </c>
      <c r="I111" s="42" t="s">
        <v>378</v>
      </c>
      <c r="J111" s="42" t="s">
        <v>433</v>
      </c>
      <c r="K111" s="42" t="s">
        <v>389</v>
      </c>
      <c r="L111" s="43" t="s">
        <v>434</v>
      </c>
      <c r="M111" s="42">
        <f t="shared" si="6"/>
        <v>126</v>
      </c>
      <c r="N111" s="42" t="str">
        <f t="shared" si="7"/>
        <v>Uygun</v>
      </c>
      <c r="O111" s="42">
        <v>5</v>
      </c>
      <c r="P111" s="42" t="s">
        <v>382</v>
      </c>
    </row>
    <row r="112" spans="1:16" ht="30" customHeight="1" x14ac:dyDescent="0.2">
      <c r="A112" s="42">
        <v>111</v>
      </c>
      <c r="B112" s="42" t="s">
        <v>435</v>
      </c>
      <c r="C112" s="42" t="s">
        <v>268</v>
      </c>
      <c r="D112" s="42" t="s">
        <v>163</v>
      </c>
      <c r="E112" s="42">
        <v>2</v>
      </c>
      <c r="F112" s="42" t="s">
        <v>79</v>
      </c>
      <c r="G112" s="42" t="s">
        <v>269</v>
      </c>
      <c r="H112" s="42" t="s">
        <v>73</v>
      </c>
      <c r="I112" s="42" t="s">
        <v>378</v>
      </c>
      <c r="J112" s="42" t="s">
        <v>436</v>
      </c>
      <c r="K112" s="42" t="s">
        <v>394</v>
      </c>
      <c r="L112" s="43" t="s">
        <v>437</v>
      </c>
      <c r="M112" s="42">
        <f t="shared" si="6"/>
        <v>123</v>
      </c>
      <c r="N112" s="42" t="str">
        <f t="shared" si="7"/>
        <v>Uygun</v>
      </c>
      <c r="O112" s="42">
        <v>5</v>
      </c>
      <c r="P112" s="42" t="s">
        <v>382</v>
      </c>
    </row>
    <row r="113" spans="1:16" ht="45" customHeight="1" x14ac:dyDescent="0.2">
      <c r="A113" s="42">
        <v>112</v>
      </c>
      <c r="B113" s="42" t="s">
        <v>438</v>
      </c>
      <c r="C113" s="42" t="s">
        <v>268</v>
      </c>
      <c r="D113" s="42" t="s">
        <v>218</v>
      </c>
      <c r="E113" s="42">
        <v>3</v>
      </c>
      <c r="F113" s="42" t="s">
        <v>64</v>
      </c>
      <c r="G113" s="42" t="s">
        <v>28</v>
      </c>
      <c r="H113" s="42" t="s">
        <v>93</v>
      </c>
      <c r="I113" s="42" t="s">
        <v>439</v>
      </c>
      <c r="J113" s="42" t="s">
        <v>440</v>
      </c>
      <c r="K113" s="42" t="s">
        <v>441</v>
      </c>
      <c r="L113" s="43" t="s">
        <v>442</v>
      </c>
      <c r="M113" s="42">
        <f t="shared" si="6"/>
        <v>121</v>
      </c>
      <c r="N113" s="42" t="str">
        <f t="shared" si="7"/>
        <v>Uygun</v>
      </c>
      <c r="O113" s="42">
        <v>7</v>
      </c>
      <c r="P113" s="42" t="s">
        <v>443</v>
      </c>
    </row>
    <row r="114" spans="1:16" ht="30" customHeight="1" x14ac:dyDescent="0.2">
      <c r="A114" s="42">
        <v>113</v>
      </c>
      <c r="B114" s="42" t="s">
        <v>444</v>
      </c>
      <c r="C114" s="42" t="s">
        <v>268</v>
      </c>
      <c r="D114" s="42" t="s">
        <v>218</v>
      </c>
      <c r="E114" s="42">
        <v>3</v>
      </c>
      <c r="F114" s="42" t="s">
        <v>245</v>
      </c>
      <c r="G114" s="42" t="s">
        <v>269</v>
      </c>
      <c r="H114" s="42" t="s">
        <v>123</v>
      </c>
      <c r="I114" s="42" t="s">
        <v>445</v>
      </c>
      <c r="J114" s="42" t="s">
        <v>446</v>
      </c>
      <c r="K114" s="42" t="s">
        <v>447</v>
      </c>
      <c r="L114" s="43" t="s">
        <v>448</v>
      </c>
      <c r="M114" s="42">
        <f t="shared" ref="M114:M143" si="8">LEN(L114)</f>
        <v>119</v>
      </c>
      <c r="N114" s="42" t="str">
        <f t="shared" ref="N114:N143" si="9">IF(L114="","Eksik",IF(M114&lt;=130,"Uygun","130 karakteri aşıyor"))</f>
        <v>Uygun</v>
      </c>
      <c r="O114" s="42">
        <v>6</v>
      </c>
      <c r="P114" s="42" t="s">
        <v>449</v>
      </c>
    </row>
    <row r="115" spans="1:16" ht="45" customHeight="1" x14ac:dyDescent="0.2">
      <c r="A115" s="42">
        <v>114</v>
      </c>
      <c r="B115" s="42" t="s">
        <v>450</v>
      </c>
      <c r="C115" s="42" t="s">
        <v>268</v>
      </c>
      <c r="D115" s="42" t="s">
        <v>218</v>
      </c>
      <c r="E115" s="42">
        <v>3</v>
      </c>
      <c r="F115" s="42" t="s">
        <v>79</v>
      </c>
      <c r="G115" s="42" t="s">
        <v>269</v>
      </c>
      <c r="H115" s="42" t="s">
        <v>93</v>
      </c>
      <c r="I115" s="42" t="s">
        <v>451</v>
      </c>
      <c r="J115" s="42" t="s">
        <v>452</v>
      </c>
      <c r="K115" s="42" t="s">
        <v>453</v>
      </c>
      <c r="L115" s="43" t="s">
        <v>454</v>
      </c>
      <c r="M115" s="42">
        <f t="shared" si="8"/>
        <v>129</v>
      </c>
      <c r="N115" s="42" t="str">
        <f t="shared" si="9"/>
        <v>Uygun</v>
      </c>
      <c r="O115" s="42">
        <v>7</v>
      </c>
      <c r="P115" s="42" t="s">
        <v>455</v>
      </c>
    </row>
    <row r="116" spans="1:16" ht="45" customHeight="1" x14ac:dyDescent="0.2">
      <c r="A116" s="42">
        <v>115</v>
      </c>
      <c r="B116" s="42" t="s">
        <v>456</v>
      </c>
      <c r="C116" s="42" t="s">
        <v>268</v>
      </c>
      <c r="D116" s="42" t="s">
        <v>218</v>
      </c>
      <c r="E116" s="42">
        <v>3</v>
      </c>
      <c r="F116" s="42" t="s">
        <v>356</v>
      </c>
      <c r="G116" s="42" t="s">
        <v>28</v>
      </c>
      <c r="H116" s="42" t="s">
        <v>164</v>
      </c>
      <c r="I116" s="42" t="s">
        <v>445</v>
      </c>
      <c r="J116" s="42" t="s">
        <v>457</v>
      </c>
      <c r="K116" s="42" t="s">
        <v>458</v>
      </c>
      <c r="L116" s="43" t="s">
        <v>459</v>
      </c>
      <c r="M116" s="42">
        <f t="shared" si="8"/>
        <v>126</v>
      </c>
      <c r="N116" s="42" t="str">
        <f t="shared" si="9"/>
        <v>Uygun</v>
      </c>
      <c r="O116" s="42">
        <v>6</v>
      </c>
      <c r="P116" s="42" t="s">
        <v>449</v>
      </c>
    </row>
    <row r="117" spans="1:16" ht="45" customHeight="1" x14ac:dyDescent="0.2">
      <c r="A117" s="42">
        <v>116</v>
      </c>
      <c r="B117" s="42" t="s">
        <v>460</v>
      </c>
      <c r="C117" s="42" t="s">
        <v>268</v>
      </c>
      <c r="D117" s="42" t="s">
        <v>218</v>
      </c>
      <c r="E117" s="42">
        <v>3</v>
      </c>
      <c r="F117" s="42" t="s">
        <v>64</v>
      </c>
      <c r="G117" s="42" t="s">
        <v>269</v>
      </c>
      <c r="H117" s="42" t="s">
        <v>231</v>
      </c>
      <c r="I117" s="42" t="s">
        <v>445</v>
      </c>
      <c r="J117" s="42" t="s">
        <v>461</v>
      </c>
      <c r="K117" s="42" t="s">
        <v>441</v>
      </c>
      <c r="L117" s="43" t="s">
        <v>462</v>
      </c>
      <c r="M117" s="42">
        <f t="shared" si="8"/>
        <v>129</v>
      </c>
      <c r="N117" s="42" t="str">
        <f t="shared" si="9"/>
        <v>Uygun</v>
      </c>
      <c r="O117" s="42">
        <v>7</v>
      </c>
      <c r="P117" s="42" t="s">
        <v>449</v>
      </c>
    </row>
    <row r="118" spans="1:16" ht="45" customHeight="1" x14ac:dyDescent="0.2">
      <c r="A118" s="42">
        <v>117</v>
      </c>
      <c r="B118" s="42" t="s">
        <v>463</v>
      </c>
      <c r="C118" s="42" t="s">
        <v>268</v>
      </c>
      <c r="D118" s="42" t="s">
        <v>218</v>
      </c>
      <c r="E118" s="42">
        <v>3</v>
      </c>
      <c r="F118" s="42" t="s">
        <v>412</v>
      </c>
      <c r="G118" s="42" t="s">
        <v>28</v>
      </c>
      <c r="H118" s="42" t="s">
        <v>53</v>
      </c>
      <c r="I118" s="42" t="s">
        <v>445</v>
      </c>
      <c r="J118" s="42" t="s">
        <v>464</v>
      </c>
      <c r="K118" s="42" t="s">
        <v>447</v>
      </c>
      <c r="L118" s="43" t="s">
        <v>465</v>
      </c>
      <c r="M118" s="42">
        <f t="shared" si="8"/>
        <v>129</v>
      </c>
      <c r="N118" s="42" t="str">
        <f t="shared" si="9"/>
        <v>Uygun</v>
      </c>
      <c r="O118" s="42">
        <v>6</v>
      </c>
      <c r="P118" s="42" t="s">
        <v>449</v>
      </c>
    </row>
    <row r="119" spans="1:16" ht="45" customHeight="1" x14ac:dyDescent="0.2">
      <c r="A119" s="42">
        <v>118</v>
      </c>
      <c r="B119" s="42" t="s">
        <v>466</v>
      </c>
      <c r="C119" s="42" t="s">
        <v>268</v>
      </c>
      <c r="D119" s="42" t="s">
        <v>218</v>
      </c>
      <c r="E119" s="42">
        <v>3</v>
      </c>
      <c r="F119" s="42" t="s">
        <v>79</v>
      </c>
      <c r="G119" s="42" t="s">
        <v>28</v>
      </c>
      <c r="H119" s="42" t="s">
        <v>60</v>
      </c>
      <c r="I119" s="42" t="s">
        <v>445</v>
      </c>
      <c r="J119" s="42" t="s">
        <v>467</v>
      </c>
      <c r="K119" s="42" t="s">
        <v>453</v>
      </c>
      <c r="L119" s="43" t="s">
        <v>468</v>
      </c>
      <c r="M119" s="42">
        <f t="shared" si="8"/>
        <v>123</v>
      </c>
      <c r="N119" s="42" t="str">
        <f t="shared" si="9"/>
        <v>Uygun</v>
      </c>
      <c r="O119" s="42">
        <v>7</v>
      </c>
      <c r="P119" s="42" t="s">
        <v>449</v>
      </c>
    </row>
    <row r="120" spans="1:16" ht="45" customHeight="1" x14ac:dyDescent="0.2">
      <c r="A120" s="42">
        <v>119</v>
      </c>
      <c r="B120" s="42" t="s">
        <v>469</v>
      </c>
      <c r="C120" s="42" t="s">
        <v>268</v>
      </c>
      <c r="D120" s="42" t="s">
        <v>218</v>
      </c>
      <c r="E120" s="42">
        <v>3</v>
      </c>
      <c r="F120" s="42" t="s">
        <v>412</v>
      </c>
      <c r="G120" s="42" t="s">
        <v>28</v>
      </c>
      <c r="H120" s="42" t="s">
        <v>110</v>
      </c>
      <c r="I120" s="42" t="s">
        <v>445</v>
      </c>
      <c r="J120" s="42" t="s">
        <v>470</v>
      </c>
      <c r="K120" s="42" t="s">
        <v>458</v>
      </c>
      <c r="L120" s="43" t="s">
        <v>471</v>
      </c>
      <c r="M120" s="42">
        <f t="shared" si="8"/>
        <v>127</v>
      </c>
      <c r="N120" s="42" t="str">
        <f t="shared" si="9"/>
        <v>Uygun</v>
      </c>
      <c r="O120" s="42">
        <v>6</v>
      </c>
      <c r="P120" s="42" t="s">
        <v>449</v>
      </c>
    </row>
    <row r="121" spans="1:16" ht="45" customHeight="1" x14ac:dyDescent="0.2">
      <c r="A121" s="42">
        <v>120</v>
      </c>
      <c r="B121" s="42" t="s">
        <v>472</v>
      </c>
      <c r="C121" s="42" t="s">
        <v>268</v>
      </c>
      <c r="D121" s="42" t="s">
        <v>244</v>
      </c>
      <c r="E121" s="42">
        <v>4</v>
      </c>
      <c r="F121" s="42" t="s">
        <v>79</v>
      </c>
      <c r="G121" s="42" t="s">
        <v>269</v>
      </c>
      <c r="H121" s="42" t="s">
        <v>110</v>
      </c>
      <c r="I121" s="42" t="s">
        <v>473</v>
      </c>
      <c r="J121" s="42" t="s">
        <v>474</v>
      </c>
      <c r="K121" s="42" t="s">
        <v>475</v>
      </c>
      <c r="L121" s="43" t="s">
        <v>476</v>
      </c>
      <c r="M121" s="42">
        <f t="shared" si="8"/>
        <v>117</v>
      </c>
      <c r="N121" s="42" t="str">
        <f t="shared" si="9"/>
        <v>Uygun</v>
      </c>
      <c r="O121" s="42">
        <v>8</v>
      </c>
      <c r="P121" s="42" t="s">
        <v>477</v>
      </c>
    </row>
    <row r="122" spans="1:16" ht="45" customHeight="1" x14ac:dyDescent="0.2">
      <c r="A122" s="42">
        <v>121</v>
      </c>
      <c r="B122" s="42" t="s">
        <v>478</v>
      </c>
      <c r="C122" s="42" t="s">
        <v>268</v>
      </c>
      <c r="D122" s="42" t="s">
        <v>244</v>
      </c>
      <c r="E122" s="42">
        <v>4</v>
      </c>
      <c r="F122" s="42" t="s">
        <v>41</v>
      </c>
      <c r="G122" s="42" t="s">
        <v>28</v>
      </c>
      <c r="H122" s="42" t="s">
        <v>123</v>
      </c>
      <c r="I122" s="42" t="s">
        <v>479</v>
      </c>
      <c r="J122" s="42" t="s">
        <v>480</v>
      </c>
      <c r="K122" s="42" t="s">
        <v>481</v>
      </c>
      <c r="L122" s="43" t="s">
        <v>482</v>
      </c>
      <c r="M122" s="42">
        <f t="shared" si="8"/>
        <v>127</v>
      </c>
      <c r="N122" s="42" t="str">
        <f t="shared" si="9"/>
        <v>Uygun</v>
      </c>
      <c r="O122" s="42">
        <v>8</v>
      </c>
      <c r="P122" s="42" t="s">
        <v>483</v>
      </c>
    </row>
    <row r="123" spans="1:16" ht="60" customHeight="1" x14ac:dyDescent="0.2">
      <c r="A123" s="42">
        <v>122</v>
      </c>
      <c r="B123" s="42" t="s">
        <v>484</v>
      </c>
      <c r="C123" s="42" t="s">
        <v>268</v>
      </c>
      <c r="D123" s="42" t="s">
        <v>244</v>
      </c>
      <c r="E123" s="42">
        <v>4</v>
      </c>
      <c r="F123" s="42" t="s">
        <v>41</v>
      </c>
      <c r="G123" s="42" t="s">
        <v>28</v>
      </c>
      <c r="H123" s="42" t="s">
        <v>41</v>
      </c>
      <c r="I123" s="42" t="s">
        <v>485</v>
      </c>
      <c r="J123" s="42" t="s">
        <v>486</v>
      </c>
      <c r="K123" s="42" t="s">
        <v>487</v>
      </c>
      <c r="L123" s="43" t="s">
        <v>488</v>
      </c>
      <c r="M123" s="42">
        <f t="shared" si="8"/>
        <v>130</v>
      </c>
      <c r="N123" s="42" t="str">
        <f t="shared" si="9"/>
        <v>Uygun</v>
      </c>
      <c r="O123" s="42">
        <v>8</v>
      </c>
      <c r="P123" s="42" t="s">
        <v>489</v>
      </c>
    </row>
    <row r="124" spans="1:16" ht="45" customHeight="1" x14ac:dyDescent="0.2">
      <c r="A124" s="42">
        <v>123</v>
      </c>
      <c r="B124" s="42" t="s">
        <v>490</v>
      </c>
      <c r="C124" s="42" t="s">
        <v>268</v>
      </c>
      <c r="D124" s="42" t="s">
        <v>244</v>
      </c>
      <c r="E124" s="42">
        <v>4</v>
      </c>
      <c r="F124" s="42" t="s">
        <v>79</v>
      </c>
      <c r="G124" s="42" t="s">
        <v>269</v>
      </c>
      <c r="H124" s="42" t="s">
        <v>79</v>
      </c>
      <c r="I124" s="42" t="s">
        <v>473</v>
      </c>
      <c r="J124" s="42" t="s">
        <v>491</v>
      </c>
      <c r="K124" s="42" t="s">
        <v>492</v>
      </c>
      <c r="L124" s="43" t="s">
        <v>493</v>
      </c>
      <c r="M124" s="42">
        <f t="shared" si="8"/>
        <v>126</v>
      </c>
      <c r="N124" s="42" t="str">
        <f t="shared" si="9"/>
        <v>Uygun</v>
      </c>
      <c r="O124" s="42">
        <v>8</v>
      </c>
      <c r="P124" s="42" t="s">
        <v>477</v>
      </c>
    </row>
    <row r="125" spans="1:16" ht="60" customHeight="1" x14ac:dyDescent="0.2">
      <c r="A125" s="42">
        <v>124</v>
      </c>
      <c r="B125" s="42" t="s">
        <v>494</v>
      </c>
      <c r="C125" s="42" t="s">
        <v>268</v>
      </c>
      <c r="D125" s="42" t="s">
        <v>258</v>
      </c>
      <c r="E125" s="42">
        <v>5</v>
      </c>
      <c r="F125" s="42" t="s">
        <v>79</v>
      </c>
      <c r="G125" s="42" t="s">
        <v>269</v>
      </c>
      <c r="H125" s="42" t="s">
        <v>110</v>
      </c>
      <c r="I125" s="42" t="s">
        <v>495</v>
      </c>
      <c r="J125" s="42" t="s">
        <v>496</v>
      </c>
      <c r="K125" s="42" t="s">
        <v>497</v>
      </c>
      <c r="L125" s="43" t="s">
        <v>498</v>
      </c>
      <c r="M125" s="42">
        <f t="shared" si="8"/>
        <v>128</v>
      </c>
      <c r="N125" s="42" t="str">
        <f t="shared" si="9"/>
        <v>Uygun</v>
      </c>
      <c r="O125" s="42">
        <v>10</v>
      </c>
      <c r="P125" s="42" t="s">
        <v>499</v>
      </c>
    </row>
    <row r="126" spans="1:16" ht="60" customHeight="1" x14ac:dyDescent="0.2">
      <c r="A126" s="42">
        <v>125</v>
      </c>
      <c r="B126" s="42" t="s">
        <v>500</v>
      </c>
      <c r="C126" s="42" t="s">
        <v>268</v>
      </c>
      <c r="D126" s="42" t="s">
        <v>258</v>
      </c>
      <c r="E126" s="42">
        <v>5</v>
      </c>
      <c r="F126" s="42" t="s">
        <v>79</v>
      </c>
      <c r="G126" s="42" t="s">
        <v>269</v>
      </c>
      <c r="H126" s="42" t="s">
        <v>79</v>
      </c>
      <c r="I126" s="42" t="s">
        <v>501</v>
      </c>
      <c r="J126" s="42" t="s">
        <v>502</v>
      </c>
      <c r="K126" s="42" t="s">
        <v>503</v>
      </c>
      <c r="L126" s="43" t="s">
        <v>504</v>
      </c>
      <c r="M126" s="42">
        <f t="shared" si="8"/>
        <v>117</v>
      </c>
      <c r="N126" s="42" t="str">
        <f t="shared" si="9"/>
        <v>Uygun</v>
      </c>
      <c r="O126" s="42">
        <v>10</v>
      </c>
      <c r="P126" s="42" t="s">
        <v>505</v>
      </c>
    </row>
    <row r="127" spans="1:16" ht="45" customHeight="1" x14ac:dyDescent="0.2">
      <c r="A127" s="42">
        <v>126</v>
      </c>
      <c r="B127" s="42" t="s">
        <v>506</v>
      </c>
      <c r="C127" s="42" t="s">
        <v>507</v>
      </c>
      <c r="D127" s="42" t="s">
        <v>18</v>
      </c>
      <c r="E127" s="42">
        <v>1</v>
      </c>
      <c r="F127" s="42" t="s">
        <v>19</v>
      </c>
      <c r="G127" s="42" t="s">
        <v>28</v>
      </c>
      <c r="H127" s="42" t="s">
        <v>21</v>
      </c>
      <c r="I127" s="42" t="s">
        <v>508</v>
      </c>
      <c r="J127" s="42" t="s">
        <v>509</v>
      </c>
      <c r="K127" s="42" t="s">
        <v>272</v>
      </c>
      <c r="L127" s="43" t="s">
        <v>510</v>
      </c>
      <c r="M127" s="42">
        <f t="shared" si="8"/>
        <v>128</v>
      </c>
      <c r="N127" s="42" t="str">
        <f t="shared" si="9"/>
        <v>Uygun</v>
      </c>
      <c r="O127" s="42">
        <v>4</v>
      </c>
      <c r="P127" s="42" t="s">
        <v>511</v>
      </c>
    </row>
    <row r="128" spans="1:16" ht="30" customHeight="1" x14ac:dyDescent="0.2">
      <c r="A128" s="42">
        <v>127</v>
      </c>
      <c r="B128" s="42" t="s">
        <v>512</v>
      </c>
      <c r="C128" s="42" t="s">
        <v>507</v>
      </c>
      <c r="D128" s="42" t="s">
        <v>18</v>
      </c>
      <c r="E128" s="42">
        <v>1</v>
      </c>
      <c r="F128" s="42" t="s">
        <v>513</v>
      </c>
      <c r="G128" s="42" t="s">
        <v>269</v>
      </c>
      <c r="H128" s="42" t="s">
        <v>178</v>
      </c>
      <c r="I128" s="42" t="s">
        <v>508</v>
      </c>
      <c r="J128" s="42" t="s">
        <v>514</v>
      </c>
      <c r="K128" s="42" t="s">
        <v>278</v>
      </c>
      <c r="L128" s="43" t="s">
        <v>515</v>
      </c>
      <c r="M128" s="42">
        <f t="shared" si="8"/>
        <v>123</v>
      </c>
      <c r="N128" s="42" t="str">
        <f t="shared" si="9"/>
        <v>Uygun</v>
      </c>
      <c r="O128" s="42">
        <v>3</v>
      </c>
      <c r="P128" s="42" t="s">
        <v>511</v>
      </c>
    </row>
    <row r="129" spans="1:16" ht="30" customHeight="1" x14ac:dyDescent="0.2">
      <c r="A129" s="42">
        <v>128</v>
      </c>
      <c r="B129" s="42" t="s">
        <v>516</v>
      </c>
      <c r="C129" s="42" t="s">
        <v>507</v>
      </c>
      <c r="D129" s="42" t="s">
        <v>18</v>
      </c>
      <c r="E129" s="42">
        <v>1</v>
      </c>
      <c r="F129" s="42" t="s">
        <v>19</v>
      </c>
      <c r="G129" s="42" t="s">
        <v>28</v>
      </c>
      <c r="H129" s="42" t="s">
        <v>21</v>
      </c>
      <c r="I129" s="42" t="s">
        <v>517</v>
      </c>
      <c r="J129" s="42" t="s">
        <v>518</v>
      </c>
      <c r="K129" s="42" t="s">
        <v>283</v>
      </c>
      <c r="L129" s="43" t="s">
        <v>519</v>
      </c>
      <c r="M129" s="42">
        <f t="shared" si="8"/>
        <v>126</v>
      </c>
      <c r="N129" s="42" t="str">
        <f t="shared" si="9"/>
        <v>Uygun</v>
      </c>
      <c r="O129" s="42">
        <v>4</v>
      </c>
      <c r="P129" s="42" t="s">
        <v>520</v>
      </c>
    </row>
    <row r="130" spans="1:16" ht="30" customHeight="1" x14ac:dyDescent="0.2">
      <c r="A130" s="42">
        <v>129</v>
      </c>
      <c r="B130" s="42" t="s">
        <v>521</v>
      </c>
      <c r="C130" s="42" t="s">
        <v>507</v>
      </c>
      <c r="D130" s="42" t="s">
        <v>18</v>
      </c>
      <c r="E130" s="42">
        <v>1</v>
      </c>
      <c r="F130" s="42" t="s">
        <v>356</v>
      </c>
      <c r="G130" s="42" t="s">
        <v>269</v>
      </c>
      <c r="H130" s="42" t="s">
        <v>47</v>
      </c>
      <c r="I130" s="42" t="s">
        <v>522</v>
      </c>
      <c r="J130" s="42" t="s">
        <v>523</v>
      </c>
      <c r="K130" s="42" t="s">
        <v>287</v>
      </c>
      <c r="L130" s="43" t="s">
        <v>524</v>
      </c>
      <c r="M130" s="42">
        <f t="shared" si="8"/>
        <v>127</v>
      </c>
      <c r="N130" s="42" t="str">
        <f t="shared" si="9"/>
        <v>Uygun</v>
      </c>
      <c r="O130" s="42">
        <v>3</v>
      </c>
      <c r="P130" s="42" t="s">
        <v>525</v>
      </c>
    </row>
    <row r="131" spans="1:16" ht="45" customHeight="1" x14ac:dyDescent="0.2">
      <c r="A131" s="42">
        <v>130</v>
      </c>
      <c r="B131" s="42" t="s">
        <v>526</v>
      </c>
      <c r="C131" s="42" t="s">
        <v>507</v>
      </c>
      <c r="D131" s="42" t="s">
        <v>18</v>
      </c>
      <c r="E131" s="42">
        <v>1</v>
      </c>
      <c r="F131" s="42" t="s">
        <v>64</v>
      </c>
      <c r="G131" s="42" t="s">
        <v>269</v>
      </c>
      <c r="H131" s="42" t="s">
        <v>34</v>
      </c>
      <c r="I131" s="42" t="s">
        <v>527</v>
      </c>
      <c r="J131" s="42" t="s">
        <v>528</v>
      </c>
      <c r="K131" s="42" t="s">
        <v>272</v>
      </c>
      <c r="L131" s="43" t="s">
        <v>529</v>
      </c>
      <c r="M131" s="42">
        <f t="shared" si="8"/>
        <v>130</v>
      </c>
      <c r="N131" s="42" t="str">
        <f t="shared" si="9"/>
        <v>Uygun</v>
      </c>
      <c r="O131" s="42">
        <v>4</v>
      </c>
      <c r="P131" s="42" t="s">
        <v>530</v>
      </c>
    </row>
    <row r="132" spans="1:16" ht="30" customHeight="1" x14ac:dyDescent="0.2">
      <c r="A132" s="42">
        <v>131</v>
      </c>
      <c r="B132" s="42" t="s">
        <v>531</v>
      </c>
      <c r="C132" s="42" t="s">
        <v>507</v>
      </c>
      <c r="D132" s="42" t="s">
        <v>18</v>
      </c>
      <c r="E132" s="42">
        <v>1</v>
      </c>
      <c r="F132" s="42" t="s">
        <v>64</v>
      </c>
      <c r="G132" s="42" t="s">
        <v>269</v>
      </c>
      <c r="H132" s="42" t="s">
        <v>231</v>
      </c>
      <c r="I132" s="42" t="s">
        <v>527</v>
      </c>
      <c r="J132" s="42" t="s">
        <v>532</v>
      </c>
      <c r="K132" s="42" t="s">
        <v>278</v>
      </c>
      <c r="L132" s="43" t="s">
        <v>533</v>
      </c>
      <c r="M132" s="42">
        <f t="shared" si="8"/>
        <v>129</v>
      </c>
      <c r="N132" s="42" t="str">
        <f t="shared" si="9"/>
        <v>Uygun</v>
      </c>
      <c r="O132" s="42">
        <v>3</v>
      </c>
      <c r="P132" s="42" t="s">
        <v>530</v>
      </c>
    </row>
    <row r="133" spans="1:16" ht="30" customHeight="1" x14ac:dyDescent="0.2">
      <c r="A133" s="42">
        <v>132</v>
      </c>
      <c r="B133" s="42" t="s">
        <v>534</v>
      </c>
      <c r="C133" s="42" t="s">
        <v>507</v>
      </c>
      <c r="D133" s="42" t="s">
        <v>18</v>
      </c>
      <c r="E133" s="42">
        <v>1</v>
      </c>
      <c r="F133" s="42" t="s">
        <v>64</v>
      </c>
      <c r="G133" s="42" t="s">
        <v>269</v>
      </c>
      <c r="H133" s="42" t="s">
        <v>231</v>
      </c>
      <c r="I133" s="42" t="s">
        <v>527</v>
      </c>
      <c r="J133" s="42" t="s">
        <v>535</v>
      </c>
      <c r="K133" s="42" t="s">
        <v>283</v>
      </c>
      <c r="L133" s="43" t="s">
        <v>536</v>
      </c>
      <c r="M133" s="42">
        <f t="shared" si="8"/>
        <v>123</v>
      </c>
      <c r="N133" s="42" t="str">
        <f t="shared" si="9"/>
        <v>Uygun</v>
      </c>
      <c r="O133" s="42">
        <v>4</v>
      </c>
      <c r="P133" s="42" t="s">
        <v>530</v>
      </c>
    </row>
    <row r="134" spans="1:16" ht="30" customHeight="1" x14ac:dyDescent="0.2">
      <c r="A134" s="42">
        <v>133</v>
      </c>
      <c r="B134" s="42" t="s">
        <v>537</v>
      </c>
      <c r="C134" s="42" t="s">
        <v>507</v>
      </c>
      <c r="D134" s="42" t="s">
        <v>18</v>
      </c>
      <c r="E134" s="42">
        <v>1</v>
      </c>
      <c r="F134" s="42" t="s">
        <v>64</v>
      </c>
      <c r="G134" s="42" t="s">
        <v>20</v>
      </c>
      <c r="H134" s="42" t="s">
        <v>231</v>
      </c>
      <c r="I134" s="42" t="s">
        <v>527</v>
      </c>
      <c r="J134" s="42" t="s">
        <v>538</v>
      </c>
      <c r="K134" s="42" t="s">
        <v>287</v>
      </c>
      <c r="L134" s="43" t="s">
        <v>539</v>
      </c>
      <c r="M134" s="42">
        <f t="shared" si="8"/>
        <v>118</v>
      </c>
      <c r="N134" s="42" t="str">
        <f t="shared" si="9"/>
        <v>Uygun</v>
      </c>
      <c r="O134" s="42">
        <v>3</v>
      </c>
      <c r="P134" s="42" t="s">
        <v>530</v>
      </c>
    </row>
    <row r="135" spans="1:16" ht="30" customHeight="1" x14ac:dyDescent="0.2">
      <c r="A135" s="42">
        <v>134</v>
      </c>
      <c r="B135" s="42" t="s">
        <v>540</v>
      </c>
      <c r="C135" s="42" t="s">
        <v>507</v>
      </c>
      <c r="D135" s="42" t="s">
        <v>18</v>
      </c>
      <c r="E135" s="42">
        <v>1</v>
      </c>
      <c r="F135" s="42" t="s">
        <v>64</v>
      </c>
      <c r="G135" s="42" t="s">
        <v>20</v>
      </c>
      <c r="H135" s="42" t="s">
        <v>79</v>
      </c>
      <c r="I135" s="42" t="s">
        <v>270</v>
      </c>
      <c r="J135" s="42" t="s">
        <v>541</v>
      </c>
      <c r="K135" s="42" t="s">
        <v>272</v>
      </c>
      <c r="L135" s="43" t="s">
        <v>542</v>
      </c>
      <c r="M135" s="42">
        <f t="shared" si="8"/>
        <v>127</v>
      </c>
      <c r="N135" s="42" t="str">
        <f t="shared" si="9"/>
        <v>Uygun</v>
      </c>
      <c r="O135" s="42">
        <v>4</v>
      </c>
      <c r="P135" s="42" t="s">
        <v>543</v>
      </c>
    </row>
    <row r="136" spans="1:16" ht="45" customHeight="1" x14ac:dyDescent="0.2">
      <c r="A136" s="42">
        <v>135</v>
      </c>
      <c r="B136" s="42" t="s">
        <v>544</v>
      </c>
      <c r="C136" s="42" t="s">
        <v>507</v>
      </c>
      <c r="D136" s="42" t="s">
        <v>18</v>
      </c>
      <c r="E136" s="42">
        <v>1</v>
      </c>
      <c r="F136" s="42" t="s">
        <v>64</v>
      </c>
      <c r="G136" s="42" t="s">
        <v>269</v>
      </c>
      <c r="H136" s="42" t="s">
        <v>79</v>
      </c>
      <c r="I136" s="42" t="s">
        <v>270</v>
      </c>
      <c r="J136" s="42" t="s">
        <v>545</v>
      </c>
      <c r="K136" s="42" t="s">
        <v>278</v>
      </c>
      <c r="L136" s="43" t="s">
        <v>546</v>
      </c>
      <c r="M136" s="42">
        <f t="shared" si="8"/>
        <v>129</v>
      </c>
      <c r="N136" s="42" t="str">
        <f t="shared" si="9"/>
        <v>Uygun</v>
      </c>
      <c r="O136" s="42">
        <v>3</v>
      </c>
      <c r="P136" s="42" t="s">
        <v>543</v>
      </c>
    </row>
    <row r="137" spans="1:16" ht="30" customHeight="1" x14ac:dyDescent="0.2">
      <c r="A137" s="42">
        <v>136</v>
      </c>
      <c r="B137" s="42" t="s">
        <v>547</v>
      </c>
      <c r="C137" s="42" t="s">
        <v>507</v>
      </c>
      <c r="D137" s="42" t="s">
        <v>18</v>
      </c>
      <c r="E137" s="42">
        <v>1</v>
      </c>
      <c r="F137" s="42" t="s">
        <v>64</v>
      </c>
      <c r="G137" s="42" t="s">
        <v>269</v>
      </c>
      <c r="H137" s="42" t="s">
        <v>93</v>
      </c>
      <c r="I137" s="42" t="s">
        <v>527</v>
      </c>
      <c r="J137" s="42" t="s">
        <v>548</v>
      </c>
      <c r="K137" s="42" t="s">
        <v>283</v>
      </c>
      <c r="L137" s="43" t="s">
        <v>549</v>
      </c>
      <c r="M137" s="42">
        <f t="shared" si="8"/>
        <v>121</v>
      </c>
      <c r="N137" s="42" t="str">
        <f t="shared" si="9"/>
        <v>Uygun</v>
      </c>
      <c r="O137" s="42">
        <v>4</v>
      </c>
      <c r="P137" s="42" t="s">
        <v>530</v>
      </c>
    </row>
    <row r="138" spans="1:16" ht="30" customHeight="1" x14ac:dyDescent="0.2">
      <c r="A138" s="42">
        <v>137</v>
      </c>
      <c r="B138" s="42" t="s">
        <v>550</v>
      </c>
      <c r="C138" s="42" t="s">
        <v>507</v>
      </c>
      <c r="D138" s="42" t="s">
        <v>18</v>
      </c>
      <c r="E138" s="42">
        <v>1</v>
      </c>
      <c r="F138" s="42" t="s">
        <v>64</v>
      </c>
      <c r="G138" s="42" t="s">
        <v>269</v>
      </c>
      <c r="H138" s="42" t="s">
        <v>93</v>
      </c>
      <c r="I138" s="42" t="s">
        <v>527</v>
      </c>
      <c r="J138" s="42" t="s">
        <v>551</v>
      </c>
      <c r="K138" s="42" t="s">
        <v>287</v>
      </c>
      <c r="L138" s="43" t="s">
        <v>552</v>
      </c>
      <c r="M138" s="42">
        <f t="shared" si="8"/>
        <v>129</v>
      </c>
      <c r="N138" s="42" t="str">
        <f t="shared" si="9"/>
        <v>Uygun</v>
      </c>
      <c r="O138" s="42">
        <v>3</v>
      </c>
      <c r="P138" s="42" t="s">
        <v>530</v>
      </c>
    </row>
    <row r="139" spans="1:16" ht="30" customHeight="1" x14ac:dyDescent="0.2">
      <c r="A139" s="42">
        <v>138</v>
      </c>
      <c r="B139" s="42" t="s">
        <v>553</v>
      </c>
      <c r="C139" s="42" t="s">
        <v>507</v>
      </c>
      <c r="D139" s="42" t="s">
        <v>18</v>
      </c>
      <c r="E139" s="42">
        <v>1</v>
      </c>
      <c r="F139" s="42" t="s">
        <v>554</v>
      </c>
      <c r="G139" s="42" t="s">
        <v>269</v>
      </c>
      <c r="H139" s="42" t="s">
        <v>154</v>
      </c>
      <c r="I139" s="42" t="s">
        <v>508</v>
      </c>
      <c r="J139" s="42" t="s">
        <v>555</v>
      </c>
      <c r="K139" s="42" t="s">
        <v>272</v>
      </c>
      <c r="L139" s="43" t="s">
        <v>556</v>
      </c>
      <c r="M139" s="42">
        <f t="shared" si="8"/>
        <v>123</v>
      </c>
      <c r="N139" s="42" t="str">
        <f t="shared" si="9"/>
        <v>Uygun</v>
      </c>
      <c r="O139" s="42">
        <v>4</v>
      </c>
      <c r="P139" s="42" t="s">
        <v>511</v>
      </c>
    </row>
    <row r="140" spans="1:16" ht="30" customHeight="1" x14ac:dyDescent="0.2">
      <c r="A140" s="42">
        <v>139</v>
      </c>
      <c r="B140" s="42" t="s">
        <v>557</v>
      </c>
      <c r="C140" s="42" t="s">
        <v>507</v>
      </c>
      <c r="D140" s="42" t="s">
        <v>18</v>
      </c>
      <c r="E140" s="42">
        <v>1</v>
      </c>
      <c r="F140" s="42" t="s">
        <v>558</v>
      </c>
      <c r="G140" s="42" t="s">
        <v>269</v>
      </c>
      <c r="H140" s="42" t="s">
        <v>21</v>
      </c>
      <c r="I140" s="42" t="s">
        <v>508</v>
      </c>
      <c r="J140" s="42" t="s">
        <v>559</v>
      </c>
      <c r="K140" s="42" t="s">
        <v>278</v>
      </c>
      <c r="L140" s="43" t="s">
        <v>560</v>
      </c>
      <c r="M140" s="42">
        <f t="shared" si="8"/>
        <v>115</v>
      </c>
      <c r="N140" s="42" t="str">
        <f t="shared" si="9"/>
        <v>Uygun</v>
      </c>
      <c r="O140" s="42">
        <v>3</v>
      </c>
      <c r="P140" s="42" t="s">
        <v>511</v>
      </c>
    </row>
    <row r="141" spans="1:16" ht="30" customHeight="1" x14ac:dyDescent="0.2">
      <c r="A141" s="42">
        <v>140</v>
      </c>
      <c r="B141" s="42" t="s">
        <v>561</v>
      </c>
      <c r="C141" s="42" t="s">
        <v>507</v>
      </c>
      <c r="D141" s="42" t="s">
        <v>18</v>
      </c>
      <c r="E141" s="42">
        <v>1</v>
      </c>
      <c r="F141" s="42" t="s">
        <v>558</v>
      </c>
      <c r="G141" s="42" t="s">
        <v>20</v>
      </c>
      <c r="H141" s="42" t="s">
        <v>110</v>
      </c>
      <c r="I141" s="42" t="s">
        <v>508</v>
      </c>
      <c r="J141" s="42" t="s">
        <v>562</v>
      </c>
      <c r="K141" s="42" t="s">
        <v>283</v>
      </c>
      <c r="L141" s="43" t="s">
        <v>563</v>
      </c>
      <c r="M141" s="42">
        <f t="shared" si="8"/>
        <v>121</v>
      </c>
      <c r="N141" s="42" t="str">
        <f t="shared" si="9"/>
        <v>Uygun</v>
      </c>
      <c r="O141" s="42">
        <v>4</v>
      </c>
      <c r="P141" s="42" t="s">
        <v>511</v>
      </c>
    </row>
    <row r="142" spans="1:16" ht="45" customHeight="1" x14ac:dyDescent="0.2">
      <c r="A142" s="42">
        <v>141</v>
      </c>
      <c r="B142" s="42" t="s">
        <v>564</v>
      </c>
      <c r="C142" s="42" t="s">
        <v>507</v>
      </c>
      <c r="D142" s="42" t="s">
        <v>18</v>
      </c>
      <c r="E142" s="42">
        <v>1</v>
      </c>
      <c r="F142" s="42" t="s">
        <v>558</v>
      </c>
      <c r="G142" s="42" t="s">
        <v>269</v>
      </c>
      <c r="H142" s="42" t="s">
        <v>79</v>
      </c>
      <c r="I142" s="42" t="s">
        <v>270</v>
      </c>
      <c r="J142" s="42" t="s">
        <v>565</v>
      </c>
      <c r="K142" s="42" t="s">
        <v>287</v>
      </c>
      <c r="L142" s="43" t="s">
        <v>566</v>
      </c>
      <c r="M142" s="42">
        <f t="shared" si="8"/>
        <v>127</v>
      </c>
      <c r="N142" s="42" t="str">
        <f t="shared" si="9"/>
        <v>Uygun</v>
      </c>
      <c r="O142" s="42">
        <v>3</v>
      </c>
      <c r="P142" s="42" t="s">
        <v>543</v>
      </c>
    </row>
    <row r="143" spans="1:16" ht="45" customHeight="1" x14ac:dyDescent="0.2">
      <c r="A143" s="42">
        <v>142</v>
      </c>
      <c r="B143" s="42" t="s">
        <v>567</v>
      </c>
      <c r="C143" s="42" t="s">
        <v>507</v>
      </c>
      <c r="D143" s="42" t="s">
        <v>18</v>
      </c>
      <c r="E143" s="42">
        <v>1</v>
      </c>
      <c r="F143" s="42" t="s">
        <v>558</v>
      </c>
      <c r="G143" s="42" t="s">
        <v>269</v>
      </c>
      <c r="H143" s="42" t="s">
        <v>214</v>
      </c>
      <c r="I143" s="42" t="s">
        <v>568</v>
      </c>
      <c r="J143" s="42" t="s">
        <v>569</v>
      </c>
      <c r="K143" s="42" t="s">
        <v>272</v>
      </c>
      <c r="L143" s="43" t="s">
        <v>570</v>
      </c>
      <c r="M143" s="42">
        <f t="shared" si="8"/>
        <v>127</v>
      </c>
      <c r="N143" s="42" t="str">
        <f t="shared" si="9"/>
        <v>Uygun</v>
      </c>
      <c r="O143" s="42">
        <v>4</v>
      </c>
      <c r="P143" s="42" t="s">
        <v>571</v>
      </c>
    </row>
    <row r="144" spans="1:16" ht="30" customHeight="1" x14ac:dyDescent="0.2">
      <c r="A144" s="42">
        <v>143</v>
      </c>
      <c r="B144" s="42" t="s">
        <v>572</v>
      </c>
      <c r="C144" s="42" t="s">
        <v>507</v>
      </c>
      <c r="D144" s="42" t="s">
        <v>18</v>
      </c>
      <c r="E144" s="42">
        <v>1</v>
      </c>
      <c r="F144" s="42" t="s">
        <v>19</v>
      </c>
      <c r="G144" s="42" t="s">
        <v>269</v>
      </c>
      <c r="H144" s="42" t="s">
        <v>53</v>
      </c>
      <c r="I144" s="42" t="s">
        <v>508</v>
      </c>
      <c r="J144" s="42" t="s">
        <v>573</v>
      </c>
      <c r="K144" s="42" t="s">
        <v>278</v>
      </c>
      <c r="L144" s="43" t="s">
        <v>574</v>
      </c>
      <c r="M144" s="42">
        <v>119</v>
      </c>
      <c r="N144" s="42" t="s">
        <v>101</v>
      </c>
      <c r="O144" s="42">
        <v>3</v>
      </c>
      <c r="P144" s="42" t="s">
        <v>511</v>
      </c>
    </row>
    <row r="145" spans="1:16" ht="30" customHeight="1" x14ac:dyDescent="0.2">
      <c r="A145" s="42">
        <v>144</v>
      </c>
      <c r="B145" s="42" t="s">
        <v>575</v>
      </c>
      <c r="C145" s="42" t="s">
        <v>507</v>
      </c>
      <c r="D145" s="42" t="s">
        <v>18</v>
      </c>
      <c r="E145" s="42">
        <v>1</v>
      </c>
      <c r="F145" s="42" t="s">
        <v>299</v>
      </c>
      <c r="G145" s="42" t="s">
        <v>269</v>
      </c>
      <c r="H145" s="42" t="s">
        <v>60</v>
      </c>
      <c r="I145" s="42" t="s">
        <v>508</v>
      </c>
      <c r="J145" s="42" t="s">
        <v>576</v>
      </c>
      <c r="K145" s="42" t="s">
        <v>283</v>
      </c>
      <c r="L145" s="43" t="s">
        <v>577</v>
      </c>
      <c r="M145" s="42">
        <f t="shared" ref="M145:M176" si="10">LEN(L145)</f>
        <v>117</v>
      </c>
      <c r="N145" s="42" t="str">
        <f t="shared" ref="N145:N176" si="11">IF(L145="","Eksik",IF(M145&lt;=130,"Uygun","130 karakteri aşıyor"))</f>
        <v>Uygun</v>
      </c>
      <c r="O145" s="42">
        <v>4</v>
      </c>
      <c r="P145" s="42" t="s">
        <v>511</v>
      </c>
    </row>
    <row r="146" spans="1:16" ht="30" customHeight="1" x14ac:dyDescent="0.2">
      <c r="A146" s="42">
        <v>145</v>
      </c>
      <c r="B146" s="42" t="s">
        <v>578</v>
      </c>
      <c r="C146" s="42" t="s">
        <v>507</v>
      </c>
      <c r="D146" s="42" t="s">
        <v>18</v>
      </c>
      <c r="E146" s="42">
        <v>1</v>
      </c>
      <c r="F146" s="42" t="s">
        <v>299</v>
      </c>
      <c r="G146" s="42" t="s">
        <v>28</v>
      </c>
      <c r="H146" s="42" t="s">
        <v>60</v>
      </c>
      <c r="I146" s="42" t="s">
        <v>579</v>
      </c>
      <c r="J146" s="42" t="s">
        <v>580</v>
      </c>
      <c r="K146" s="42" t="s">
        <v>287</v>
      </c>
      <c r="L146" s="43" t="s">
        <v>581</v>
      </c>
      <c r="M146" s="42">
        <f t="shared" si="10"/>
        <v>120</v>
      </c>
      <c r="N146" s="42" t="str">
        <f t="shared" si="11"/>
        <v>Uygun</v>
      </c>
      <c r="O146" s="42">
        <v>3</v>
      </c>
      <c r="P146" s="42" t="s">
        <v>582</v>
      </c>
    </row>
    <row r="147" spans="1:16" ht="30" customHeight="1" x14ac:dyDescent="0.2">
      <c r="A147" s="42">
        <v>146</v>
      </c>
      <c r="B147" s="42" t="s">
        <v>583</v>
      </c>
      <c r="C147" s="42" t="s">
        <v>507</v>
      </c>
      <c r="D147" s="42" t="s">
        <v>18</v>
      </c>
      <c r="E147" s="42">
        <v>1</v>
      </c>
      <c r="F147" s="42" t="s">
        <v>299</v>
      </c>
      <c r="G147" s="42" t="s">
        <v>269</v>
      </c>
      <c r="H147" s="42" t="s">
        <v>178</v>
      </c>
      <c r="I147" s="42" t="s">
        <v>508</v>
      </c>
      <c r="J147" s="42" t="s">
        <v>584</v>
      </c>
      <c r="K147" s="42" t="s">
        <v>272</v>
      </c>
      <c r="L147" s="43" t="s">
        <v>585</v>
      </c>
      <c r="M147" s="42">
        <f t="shared" si="10"/>
        <v>115</v>
      </c>
      <c r="N147" s="42" t="str">
        <f t="shared" si="11"/>
        <v>Uygun</v>
      </c>
      <c r="O147" s="42">
        <v>4</v>
      </c>
      <c r="P147" s="42" t="s">
        <v>511</v>
      </c>
    </row>
    <row r="148" spans="1:16" ht="30" customHeight="1" x14ac:dyDescent="0.2">
      <c r="A148" s="42">
        <v>147</v>
      </c>
      <c r="B148" s="42" t="s">
        <v>586</v>
      </c>
      <c r="C148" s="42" t="s">
        <v>507</v>
      </c>
      <c r="D148" s="42" t="s">
        <v>18</v>
      </c>
      <c r="E148" s="42">
        <v>1</v>
      </c>
      <c r="F148" s="42" t="s">
        <v>299</v>
      </c>
      <c r="G148" s="42" t="s">
        <v>269</v>
      </c>
      <c r="H148" s="42" t="s">
        <v>47</v>
      </c>
      <c r="I148" s="42" t="s">
        <v>522</v>
      </c>
      <c r="J148" s="42" t="s">
        <v>587</v>
      </c>
      <c r="K148" s="42" t="s">
        <v>278</v>
      </c>
      <c r="L148" s="43" t="s">
        <v>588</v>
      </c>
      <c r="M148" s="42">
        <f t="shared" si="10"/>
        <v>122</v>
      </c>
      <c r="N148" s="42" t="str">
        <f t="shared" si="11"/>
        <v>Uygun</v>
      </c>
      <c r="O148" s="42">
        <v>3</v>
      </c>
      <c r="P148" s="42" t="s">
        <v>525</v>
      </c>
    </row>
    <row r="149" spans="1:16" ht="30" customHeight="1" x14ac:dyDescent="0.2">
      <c r="A149" s="42">
        <v>148</v>
      </c>
      <c r="B149" s="42" t="s">
        <v>589</v>
      </c>
      <c r="C149" s="42" t="s">
        <v>507</v>
      </c>
      <c r="D149" s="42" t="s">
        <v>18</v>
      </c>
      <c r="E149" s="42">
        <v>1</v>
      </c>
      <c r="F149" s="42" t="s">
        <v>299</v>
      </c>
      <c r="G149" s="42" t="s">
        <v>269</v>
      </c>
      <c r="H149" s="42" t="s">
        <v>21</v>
      </c>
      <c r="I149" s="42" t="s">
        <v>508</v>
      </c>
      <c r="J149" s="42" t="s">
        <v>590</v>
      </c>
      <c r="K149" s="42" t="s">
        <v>283</v>
      </c>
      <c r="L149" s="43" t="s">
        <v>591</v>
      </c>
      <c r="M149" s="42">
        <f t="shared" si="10"/>
        <v>128</v>
      </c>
      <c r="N149" s="42" t="str">
        <f t="shared" si="11"/>
        <v>Uygun</v>
      </c>
      <c r="O149" s="42">
        <v>4</v>
      </c>
      <c r="P149" s="42" t="s">
        <v>511</v>
      </c>
    </row>
    <row r="150" spans="1:16" ht="30" customHeight="1" x14ac:dyDescent="0.2">
      <c r="A150" s="42">
        <v>149</v>
      </c>
      <c r="B150" s="42" t="s">
        <v>592</v>
      </c>
      <c r="C150" s="42" t="s">
        <v>507</v>
      </c>
      <c r="D150" s="42" t="s">
        <v>18</v>
      </c>
      <c r="E150" s="42">
        <v>1</v>
      </c>
      <c r="F150" s="42" t="s">
        <v>64</v>
      </c>
      <c r="G150" s="42" t="s">
        <v>269</v>
      </c>
      <c r="H150" s="42" t="s">
        <v>34</v>
      </c>
      <c r="I150" s="42" t="s">
        <v>527</v>
      </c>
      <c r="J150" s="42" t="s">
        <v>593</v>
      </c>
      <c r="K150" s="42" t="s">
        <v>287</v>
      </c>
      <c r="L150" s="43" t="s">
        <v>594</v>
      </c>
      <c r="M150" s="42">
        <f t="shared" si="10"/>
        <v>123</v>
      </c>
      <c r="N150" s="42" t="str">
        <f t="shared" si="11"/>
        <v>Uygun</v>
      </c>
      <c r="O150" s="42">
        <v>3</v>
      </c>
      <c r="P150" s="42" t="s">
        <v>530</v>
      </c>
    </row>
    <row r="151" spans="1:16" ht="30" customHeight="1" x14ac:dyDescent="0.2">
      <c r="A151" s="42">
        <v>150</v>
      </c>
      <c r="B151" s="42" t="s">
        <v>595</v>
      </c>
      <c r="C151" s="42" t="s">
        <v>507</v>
      </c>
      <c r="D151" s="42" t="s">
        <v>18</v>
      </c>
      <c r="E151" s="42">
        <v>1</v>
      </c>
      <c r="F151" s="42" t="s">
        <v>299</v>
      </c>
      <c r="G151" s="42" t="s">
        <v>269</v>
      </c>
      <c r="H151" s="42" t="s">
        <v>53</v>
      </c>
      <c r="I151" s="42" t="s">
        <v>330</v>
      </c>
      <c r="J151" s="42" t="s">
        <v>596</v>
      </c>
      <c r="K151" s="42" t="s">
        <v>272</v>
      </c>
      <c r="L151" s="43" t="s">
        <v>597</v>
      </c>
      <c r="M151" s="42">
        <f t="shared" si="10"/>
        <v>121</v>
      </c>
      <c r="N151" s="42" t="str">
        <f t="shared" si="11"/>
        <v>Uygun</v>
      </c>
      <c r="O151" s="42">
        <v>4</v>
      </c>
      <c r="P151" s="42" t="s">
        <v>598</v>
      </c>
    </row>
    <row r="152" spans="1:16" ht="45" customHeight="1" x14ac:dyDescent="0.2">
      <c r="A152" s="42">
        <v>151</v>
      </c>
      <c r="B152" s="42" t="s">
        <v>599</v>
      </c>
      <c r="C152" s="42" t="s">
        <v>507</v>
      </c>
      <c r="D152" s="42" t="s">
        <v>18</v>
      </c>
      <c r="E152" s="42">
        <v>1</v>
      </c>
      <c r="F152" s="42" t="s">
        <v>299</v>
      </c>
      <c r="G152" s="42" t="s">
        <v>269</v>
      </c>
      <c r="H152" s="42" t="s">
        <v>174</v>
      </c>
      <c r="I152" s="42" t="s">
        <v>508</v>
      </c>
      <c r="J152" s="42" t="s">
        <v>600</v>
      </c>
      <c r="K152" s="42" t="s">
        <v>278</v>
      </c>
      <c r="L152" s="43" t="s">
        <v>601</v>
      </c>
      <c r="M152" s="42">
        <f t="shared" si="10"/>
        <v>121</v>
      </c>
      <c r="N152" s="42" t="str">
        <f t="shared" si="11"/>
        <v>Uygun</v>
      </c>
      <c r="O152" s="42">
        <v>3</v>
      </c>
      <c r="P152" s="42" t="s">
        <v>511</v>
      </c>
    </row>
    <row r="153" spans="1:16" ht="30" customHeight="1" x14ac:dyDescent="0.2">
      <c r="A153" s="42">
        <v>152</v>
      </c>
      <c r="B153" s="42" t="s">
        <v>602</v>
      </c>
      <c r="C153" s="42" t="s">
        <v>507</v>
      </c>
      <c r="D153" s="42" t="s">
        <v>18</v>
      </c>
      <c r="E153" s="42">
        <v>1</v>
      </c>
      <c r="F153" s="42" t="s">
        <v>299</v>
      </c>
      <c r="G153" s="42" t="s">
        <v>269</v>
      </c>
      <c r="H153" s="42" t="s">
        <v>53</v>
      </c>
      <c r="I153" s="42" t="s">
        <v>330</v>
      </c>
      <c r="J153" s="42" t="s">
        <v>603</v>
      </c>
      <c r="K153" s="42" t="s">
        <v>283</v>
      </c>
      <c r="L153" s="43" t="s">
        <v>604</v>
      </c>
      <c r="M153" s="42">
        <f t="shared" si="10"/>
        <v>125</v>
      </c>
      <c r="N153" s="42" t="str">
        <f t="shared" si="11"/>
        <v>Uygun</v>
      </c>
      <c r="O153" s="42">
        <v>4</v>
      </c>
      <c r="P153" s="42" t="s">
        <v>598</v>
      </c>
    </row>
    <row r="154" spans="1:16" ht="30" customHeight="1" x14ac:dyDescent="0.2">
      <c r="A154" s="42">
        <v>153</v>
      </c>
      <c r="B154" s="42" t="s">
        <v>605</v>
      </c>
      <c r="C154" s="42" t="s">
        <v>507</v>
      </c>
      <c r="D154" s="42" t="s">
        <v>18</v>
      </c>
      <c r="E154" s="42">
        <v>1</v>
      </c>
      <c r="F154" s="42" t="s">
        <v>41</v>
      </c>
      <c r="G154" s="42" t="s">
        <v>269</v>
      </c>
      <c r="H154" s="42" t="s">
        <v>60</v>
      </c>
      <c r="I154" s="42" t="s">
        <v>508</v>
      </c>
      <c r="J154" s="42" t="s">
        <v>606</v>
      </c>
      <c r="K154" s="42" t="s">
        <v>287</v>
      </c>
      <c r="L154" s="43" t="s">
        <v>607</v>
      </c>
      <c r="M154" s="42">
        <f t="shared" si="10"/>
        <v>121</v>
      </c>
      <c r="N154" s="42" t="str">
        <f t="shared" si="11"/>
        <v>Uygun</v>
      </c>
      <c r="O154" s="42">
        <v>3</v>
      </c>
      <c r="P154" s="42" t="s">
        <v>511</v>
      </c>
    </row>
    <row r="155" spans="1:16" ht="30" customHeight="1" x14ac:dyDescent="0.2">
      <c r="A155" s="42">
        <v>154</v>
      </c>
      <c r="B155" s="42" t="s">
        <v>608</v>
      </c>
      <c r="C155" s="42" t="s">
        <v>507</v>
      </c>
      <c r="D155" s="42" t="s">
        <v>18</v>
      </c>
      <c r="E155" s="42">
        <v>1</v>
      </c>
      <c r="F155" s="42" t="s">
        <v>558</v>
      </c>
      <c r="G155" s="42" t="s">
        <v>269</v>
      </c>
      <c r="H155" s="42" t="s">
        <v>116</v>
      </c>
      <c r="I155" s="42" t="s">
        <v>508</v>
      </c>
      <c r="J155" s="42" t="s">
        <v>609</v>
      </c>
      <c r="K155" s="42" t="s">
        <v>272</v>
      </c>
      <c r="L155" s="43" t="s">
        <v>610</v>
      </c>
      <c r="M155" s="42">
        <f t="shared" si="10"/>
        <v>130</v>
      </c>
      <c r="N155" s="42" t="str">
        <f t="shared" si="11"/>
        <v>Uygun</v>
      </c>
      <c r="O155" s="42">
        <v>4</v>
      </c>
      <c r="P155" s="42" t="s">
        <v>511</v>
      </c>
    </row>
    <row r="156" spans="1:16" ht="30" customHeight="1" x14ac:dyDescent="0.2">
      <c r="A156" s="42">
        <v>155</v>
      </c>
      <c r="B156" s="42" t="s">
        <v>611</v>
      </c>
      <c r="C156" s="42" t="s">
        <v>507</v>
      </c>
      <c r="D156" s="42" t="s">
        <v>18</v>
      </c>
      <c r="E156" s="42">
        <v>1</v>
      </c>
      <c r="F156" s="42" t="s">
        <v>19</v>
      </c>
      <c r="G156" s="42" t="s">
        <v>28</v>
      </c>
      <c r="H156" s="42" t="s">
        <v>21</v>
      </c>
      <c r="I156" s="42" t="s">
        <v>508</v>
      </c>
      <c r="J156" s="42" t="s">
        <v>612</v>
      </c>
      <c r="K156" s="42" t="s">
        <v>278</v>
      </c>
      <c r="L156" s="43" t="s">
        <v>613</v>
      </c>
      <c r="M156" s="42">
        <f t="shared" si="10"/>
        <v>128</v>
      </c>
      <c r="N156" s="42" t="str">
        <f t="shared" si="11"/>
        <v>Uygun</v>
      </c>
      <c r="O156" s="42">
        <v>3</v>
      </c>
      <c r="P156" s="42" t="s">
        <v>511</v>
      </c>
    </row>
    <row r="157" spans="1:16" ht="30" customHeight="1" x14ac:dyDescent="0.2">
      <c r="A157" s="42">
        <v>156</v>
      </c>
      <c r="B157" s="42" t="s">
        <v>614</v>
      </c>
      <c r="C157" s="42" t="s">
        <v>507</v>
      </c>
      <c r="D157" s="42" t="s">
        <v>18</v>
      </c>
      <c r="E157" s="42">
        <v>1</v>
      </c>
      <c r="F157" s="42" t="s">
        <v>299</v>
      </c>
      <c r="G157" s="42" t="s">
        <v>269</v>
      </c>
      <c r="H157" s="42" t="s">
        <v>132</v>
      </c>
      <c r="I157" s="42" t="s">
        <v>508</v>
      </c>
      <c r="J157" s="42" t="s">
        <v>615</v>
      </c>
      <c r="K157" s="42" t="s">
        <v>283</v>
      </c>
      <c r="L157" s="43" t="s">
        <v>616</v>
      </c>
      <c r="M157" s="42">
        <f t="shared" si="10"/>
        <v>129</v>
      </c>
      <c r="N157" s="42" t="str">
        <f t="shared" si="11"/>
        <v>Uygun</v>
      </c>
      <c r="O157" s="42">
        <v>4</v>
      </c>
      <c r="P157" s="42" t="s">
        <v>511</v>
      </c>
    </row>
    <row r="158" spans="1:16" ht="30" customHeight="1" x14ac:dyDescent="0.2">
      <c r="A158" s="42">
        <v>157</v>
      </c>
      <c r="B158" s="42" t="s">
        <v>617</v>
      </c>
      <c r="C158" s="42" t="s">
        <v>507</v>
      </c>
      <c r="D158" s="42" t="s">
        <v>18</v>
      </c>
      <c r="E158" s="42">
        <v>1</v>
      </c>
      <c r="F158" s="42" t="s">
        <v>64</v>
      </c>
      <c r="G158" s="42" t="s">
        <v>269</v>
      </c>
      <c r="H158" s="42" t="s">
        <v>79</v>
      </c>
      <c r="I158" s="42" t="s">
        <v>270</v>
      </c>
      <c r="J158" s="42" t="s">
        <v>618</v>
      </c>
      <c r="K158" s="42" t="s">
        <v>287</v>
      </c>
      <c r="L158" s="43" t="s">
        <v>619</v>
      </c>
      <c r="M158" s="42">
        <f t="shared" si="10"/>
        <v>111</v>
      </c>
      <c r="N158" s="42" t="str">
        <f t="shared" si="11"/>
        <v>Uygun</v>
      </c>
      <c r="O158" s="42">
        <v>3</v>
      </c>
      <c r="P158" s="42" t="s">
        <v>543</v>
      </c>
    </row>
    <row r="159" spans="1:16" ht="30" customHeight="1" x14ac:dyDescent="0.2">
      <c r="A159" s="42">
        <v>158</v>
      </c>
      <c r="B159" s="42" t="s">
        <v>620</v>
      </c>
      <c r="C159" s="42" t="s">
        <v>507</v>
      </c>
      <c r="D159" s="42" t="s">
        <v>163</v>
      </c>
      <c r="E159" s="42">
        <v>2</v>
      </c>
      <c r="F159" s="42" t="s">
        <v>40</v>
      </c>
      <c r="G159" s="42" t="s">
        <v>28</v>
      </c>
      <c r="H159" s="42" t="s">
        <v>164</v>
      </c>
      <c r="I159" s="42" t="s">
        <v>621</v>
      </c>
      <c r="J159" s="42" t="s">
        <v>622</v>
      </c>
      <c r="K159" s="42" t="s">
        <v>380</v>
      </c>
      <c r="L159" s="43" t="s">
        <v>623</v>
      </c>
      <c r="M159" s="42">
        <f t="shared" si="10"/>
        <v>123</v>
      </c>
      <c r="N159" s="42" t="str">
        <f t="shared" si="11"/>
        <v>Uygun</v>
      </c>
      <c r="O159" s="42">
        <v>5</v>
      </c>
      <c r="P159" s="42" t="s">
        <v>624</v>
      </c>
    </row>
    <row r="160" spans="1:16" ht="30" customHeight="1" x14ac:dyDescent="0.2">
      <c r="A160" s="42">
        <v>159</v>
      </c>
      <c r="B160" s="42" t="s">
        <v>625</v>
      </c>
      <c r="C160" s="42" t="s">
        <v>507</v>
      </c>
      <c r="D160" s="42" t="s">
        <v>163</v>
      </c>
      <c r="E160" s="42">
        <v>2</v>
      </c>
      <c r="F160" s="42" t="s">
        <v>412</v>
      </c>
      <c r="G160" s="42" t="s">
        <v>269</v>
      </c>
      <c r="H160" s="42" t="s">
        <v>123</v>
      </c>
      <c r="I160" s="42" t="s">
        <v>621</v>
      </c>
      <c r="J160" s="42" t="s">
        <v>626</v>
      </c>
      <c r="K160" s="42" t="s">
        <v>385</v>
      </c>
      <c r="L160" s="43" t="s">
        <v>627</v>
      </c>
      <c r="M160" s="42">
        <f t="shared" si="10"/>
        <v>118</v>
      </c>
      <c r="N160" s="42" t="str">
        <f t="shared" si="11"/>
        <v>Uygun</v>
      </c>
      <c r="O160" s="42">
        <v>5</v>
      </c>
      <c r="P160" s="42" t="s">
        <v>624</v>
      </c>
    </row>
    <row r="161" spans="1:16" ht="30" customHeight="1" x14ac:dyDescent="0.2">
      <c r="A161" s="42">
        <v>160</v>
      </c>
      <c r="B161" s="42" t="s">
        <v>628</v>
      </c>
      <c r="C161" s="42" t="s">
        <v>507</v>
      </c>
      <c r="D161" s="42" t="s">
        <v>163</v>
      </c>
      <c r="E161" s="42">
        <v>2</v>
      </c>
      <c r="F161" s="42" t="s">
        <v>41</v>
      </c>
      <c r="G161" s="42" t="s">
        <v>269</v>
      </c>
      <c r="H161" s="42" t="s">
        <v>110</v>
      </c>
      <c r="I161" s="42" t="s">
        <v>621</v>
      </c>
      <c r="J161" s="42" t="s">
        <v>629</v>
      </c>
      <c r="K161" s="42" t="s">
        <v>389</v>
      </c>
      <c r="L161" s="43" t="s">
        <v>630</v>
      </c>
      <c r="M161" s="42">
        <f t="shared" si="10"/>
        <v>126</v>
      </c>
      <c r="N161" s="42" t="str">
        <f t="shared" si="11"/>
        <v>Uygun</v>
      </c>
      <c r="O161" s="42">
        <v>5</v>
      </c>
      <c r="P161" s="42" t="s">
        <v>624</v>
      </c>
    </row>
    <row r="162" spans="1:16" ht="45" customHeight="1" x14ac:dyDescent="0.2">
      <c r="A162" s="42">
        <v>161</v>
      </c>
      <c r="B162" s="42" t="s">
        <v>631</v>
      </c>
      <c r="C162" s="42" t="s">
        <v>507</v>
      </c>
      <c r="D162" s="42" t="s">
        <v>163</v>
      </c>
      <c r="E162" s="42">
        <v>2</v>
      </c>
      <c r="F162" s="42" t="s">
        <v>554</v>
      </c>
      <c r="G162" s="42" t="s">
        <v>20</v>
      </c>
      <c r="H162" s="42" t="s">
        <v>21</v>
      </c>
      <c r="I162" s="42" t="s">
        <v>621</v>
      </c>
      <c r="J162" s="42" t="s">
        <v>632</v>
      </c>
      <c r="K162" s="42" t="s">
        <v>394</v>
      </c>
      <c r="L162" s="43" t="s">
        <v>633</v>
      </c>
      <c r="M162" s="42">
        <f t="shared" si="10"/>
        <v>127</v>
      </c>
      <c r="N162" s="42" t="str">
        <f t="shared" si="11"/>
        <v>Uygun</v>
      </c>
      <c r="O162" s="42">
        <v>5</v>
      </c>
      <c r="P162" s="42" t="s">
        <v>624</v>
      </c>
    </row>
    <row r="163" spans="1:16" ht="30" customHeight="1" x14ac:dyDescent="0.2">
      <c r="A163" s="42">
        <v>162</v>
      </c>
      <c r="B163" s="42" t="s">
        <v>634</v>
      </c>
      <c r="C163" s="42" t="s">
        <v>507</v>
      </c>
      <c r="D163" s="42" t="s">
        <v>163</v>
      </c>
      <c r="E163" s="42">
        <v>2</v>
      </c>
      <c r="F163" s="42" t="s">
        <v>558</v>
      </c>
      <c r="G163" s="42" t="s">
        <v>28</v>
      </c>
      <c r="H163" s="42" t="s">
        <v>110</v>
      </c>
      <c r="I163" s="42" t="s">
        <v>635</v>
      </c>
      <c r="J163" s="42" t="s">
        <v>636</v>
      </c>
      <c r="K163" s="42" t="s">
        <v>380</v>
      </c>
      <c r="L163" s="43" t="s">
        <v>637</v>
      </c>
      <c r="M163" s="42">
        <f t="shared" si="10"/>
        <v>122</v>
      </c>
      <c r="N163" s="42" t="str">
        <f t="shared" si="11"/>
        <v>Uygun</v>
      </c>
      <c r="O163" s="42">
        <v>5</v>
      </c>
      <c r="P163" s="42" t="s">
        <v>638</v>
      </c>
    </row>
    <row r="164" spans="1:16" ht="30" customHeight="1" x14ac:dyDescent="0.2">
      <c r="A164" s="42">
        <v>163</v>
      </c>
      <c r="B164" s="42" t="s">
        <v>639</v>
      </c>
      <c r="C164" s="42" t="s">
        <v>507</v>
      </c>
      <c r="D164" s="42" t="s">
        <v>163</v>
      </c>
      <c r="E164" s="42">
        <v>2</v>
      </c>
      <c r="F164" s="42" t="s">
        <v>19</v>
      </c>
      <c r="G164" s="42" t="s">
        <v>269</v>
      </c>
      <c r="H164" s="42" t="s">
        <v>110</v>
      </c>
      <c r="I164" s="42" t="s">
        <v>398</v>
      </c>
      <c r="J164" s="42" t="s">
        <v>640</v>
      </c>
      <c r="K164" s="42" t="s">
        <v>385</v>
      </c>
      <c r="L164" s="43" t="s">
        <v>641</v>
      </c>
      <c r="M164" s="42">
        <f t="shared" si="10"/>
        <v>123</v>
      </c>
      <c r="N164" s="42" t="str">
        <f t="shared" si="11"/>
        <v>Uygun</v>
      </c>
      <c r="O164" s="42">
        <v>5</v>
      </c>
      <c r="P164" s="42" t="s">
        <v>642</v>
      </c>
    </row>
    <row r="165" spans="1:16" ht="30" customHeight="1" x14ac:dyDescent="0.2">
      <c r="A165" s="42">
        <v>164</v>
      </c>
      <c r="B165" s="42" t="s">
        <v>643</v>
      </c>
      <c r="C165" s="42" t="s">
        <v>507</v>
      </c>
      <c r="D165" s="42" t="s">
        <v>163</v>
      </c>
      <c r="E165" s="42">
        <v>2</v>
      </c>
      <c r="F165" s="42" t="s">
        <v>19</v>
      </c>
      <c r="G165" s="42" t="s">
        <v>20</v>
      </c>
      <c r="H165" s="42" t="s">
        <v>60</v>
      </c>
      <c r="I165" s="42" t="s">
        <v>635</v>
      </c>
      <c r="J165" s="42" t="s">
        <v>644</v>
      </c>
      <c r="K165" s="42" t="s">
        <v>389</v>
      </c>
      <c r="L165" s="43" t="s">
        <v>645</v>
      </c>
      <c r="M165" s="42">
        <f t="shared" si="10"/>
        <v>130</v>
      </c>
      <c r="N165" s="42" t="str">
        <f t="shared" si="11"/>
        <v>Uygun</v>
      </c>
      <c r="O165" s="42">
        <v>5</v>
      </c>
      <c r="P165" s="42" t="s">
        <v>638</v>
      </c>
    </row>
    <row r="166" spans="1:16" ht="30" customHeight="1" x14ac:dyDescent="0.2">
      <c r="A166" s="42">
        <v>165</v>
      </c>
      <c r="B166" s="42" t="s">
        <v>646</v>
      </c>
      <c r="C166" s="42" t="s">
        <v>507</v>
      </c>
      <c r="D166" s="42" t="s">
        <v>163</v>
      </c>
      <c r="E166" s="42">
        <v>2</v>
      </c>
      <c r="F166" s="42" t="s">
        <v>19</v>
      </c>
      <c r="G166" s="42" t="s">
        <v>269</v>
      </c>
      <c r="H166" s="42" t="s">
        <v>21</v>
      </c>
      <c r="I166" s="42" t="s">
        <v>621</v>
      </c>
      <c r="J166" s="42" t="s">
        <v>647</v>
      </c>
      <c r="K166" s="42" t="s">
        <v>394</v>
      </c>
      <c r="L166" s="43" t="s">
        <v>648</v>
      </c>
      <c r="M166" s="42">
        <f t="shared" si="10"/>
        <v>126</v>
      </c>
      <c r="N166" s="42" t="str">
        <f t="shared" si="11"/>
        <v>Uygun</v>
      </c>
      <c r="O166" s="42">
        <v>5</v>
      </c>
      <c r="P166" s="42" t="s">
        <v>624</v>
      </c>
    </row>
    <row r="167" spans="1:16" ht="30" customHeight="1" x14ac:dyDescent="0.2">
      <c r="A167" s="42">
        <v>166</v>
      </c>
      <c r="B167" s="42" t="s">
        <v>649</v>
      </c>
      <c r="C167" s="42" t="s">
        <v>507</v>
      </c>
      <c r="D167" s="42" t="s">
        <v>163</v>
      </c>
      <c r="E167" s="42">
        <v>2</v>
      </c>
      <c r="F167" s="42" t="s">
        <v>19</v>
      </c>
      <c r="G167" s="42" t="s">
        <v>28</v>
      </c>
      <c r="H167" s="42" t="s">
        <v>47</v>
      </c>
      <c r="I167" s="42" t="s">
        <v>650</v>
      </c>
      <c r="J167" s="42" t="s">
        <v>651</v>
      </c>
      <c r="K167" s="42" t="s">
        <v>380</v>
      </c>
      <c r="L167" s="43" t="s">
        <v>652</v>
      </c>
      <c r="M167" s="42">
        <f t="shared" si="10"/>
        <v>125</v>
      </c>
      <c r="N167" s="42" t="str">
        <f t="shared" si="11"/>
        <v>Uygun</v>
      </c>
      <c r="O167" s="42">
        <v>5</v>
      </c>
      <c r="P167" s="42" t="s">
        <v>653</v>
      </c>
    </row>
    <row r="168" spans="1:16" ht="45" customHeight="1" x14ac:dyDescent="0.2">
      <c r="A168" s="42">
        <v>167</v>
      </c>
      <c r="B168" s="42" t="s">
        <v>654</v>
      </c>
      <c r="C168" s="42" t="s">
        <v>507</v>
      </c>
      <c r="D168" s="42" t="s">
        <v>163</v>
      </c>
      <c r="E168" s="42">
        <v>2</v>
      </c>
      <c r="F168" s="42" t="s">
        <v>558</v>
      </c>
      <c r="G168" s="42" t="s">
        <v>20</v>
      </c>
      <c r="H168" s="42" t="s">
        <v>110</v>
      </c>
      <c r="I168" s="42" t="s">
        <v>378</v>
      </c>
      <c r="J168" s="42" t="s">
        <v>655</v>
      </c>
      <c r="K168" s="42" t="s">
        <v>385</v>
      </c>
      <c r="L168" s="43" t="s">
        <v>656</v>
      </c>
      <c r="M168" s="42">
        <f t="shared" si="10"/>
        <v>128</v>
      </c>
      <c r="N168" s="42" t="str">
        <f t="shared" si="11"/>
        <v>Uygun</v>
      </c>
      <c r="O168" s="42">
        <v>5</v>
      </c>
      <c r="P168" s="42" t="s">
        <v>657</v>
      </c>
    </row>
    <row r="169" spans="1:16" ht="30" customHeight="1" x14ac:dyDescent="0.2">
      <c r="A169" s="42">
        <v>168</v>
      </c>
      <c r="B169" s="42" t="s">
        <v>658</v>
      </c>
      <c r="C169" s="42" t="s">
        <v>507</v>
      </c>
      <c r="D169" s="42" t="s">
        <v>163</v>
      </c>
      <c r="E169" s="42">
        <v>2</v>
      </c>
      <c r="F169" s="42" t="s">
        <v>558</v>
      </c>
      <c r="G169" s="42" t="s">
        <v>28</v>
      </c>
      <c r="H169" s="42" t="s">
        <v>132</v>
      </c>
      <c r="I169" s="42" t="s">
        <v>621</v>
      </c>
      <c r="J169" s="42" t="s">
        <v>659</v>
      </c>
      <c r="K169" s="42" t="s">
        <v>389</v>
      </c>
      <c r="L169" s="43" t="s">
        <v>660</v>
      </c>
      <c r="M169" s="42">
        <f t="shared" si="10"/>
        <v>117</v>
      </c>
      <c r="N169" s="42" t="str">
        <f t="shared" si="11"/>
        <v>Uygun</v>
      </c>
      <c r="O169" s="42">
        <v>5</v>
      </c>
      <c r="P169" s="42" t="s">
        <v>624</v>
      </c>
    </row>
    <row r="170" spans="1:16" ht="30" customHeight="1" x14ac:dyDescent="0.2">
      <c r="A170" s="42">
        <v>169</v>
      </c>
      <c r="B170" s="42" t="s">
        <v>661</v>
      </c>
      <c r="C170" s="42" t="s">
        <v>507</v>
      </c>
      <c r="D170" s="42" t="s">
        <v>163</v>
      </c>
      <c r="E170" s="42">
        <v>2</v>
      </c>
      <c r="F170" s="42" t="s">
        <v>19</v>
      </c>
      <c r="G170" s="42" t="s">
        <v>28</v>
      </c>
      <c r="H170" s="42" t="s">
        <v>79</v>
      </c>
      <c r="I170" s="42" t="s">
        <v>378</v>
      </c>
      <c r="J170" s="42" t="s">
        <v>662</v>
      </c>
      <c r="K170" s="42" t="s">
        <v>394</v>
      </c>
      <c r="L170" s="43" t="s">
        <v>663</v>
      </c>
      <c r="M170" s="42">
        <f t="shared" si="10"/>
        <v>123</v>
      </c>
      <c r="N170" s="42" t="str">
        <f t="shared" si="11"/>
        <v>Uygun</v>
      </c>
      <c r="O170" s="42">
        <v>5</v>
      </c>
      <c r="P170" s="42" t="s">
        <v>657</v>
      </c>
    </row>
    <row r="171" spans="1:16" ht="45" customHeight="1" x14ac:dyDescent="0.2">
      <c r="A171" s="42">
        <v>170</v>
      </c>
      <c r="B171" s="42" t="s">
        <v>664</v>
      </c>
      <c r="C171" s="42" t="s">
        <v>507</v>
      </c>
      <c r="D171" s="42" t="s">
        <v>163</v>
      </c>
      <c r="E171" s="42">
        <v>2</v>
      </c>
      <c r="F171" s="42" t="s">
        <v>40</v>
      </c>
      <c r="G171" s="42" t="s">
        <v>20</v>
      </c>
      <c r="H171" s="42" t="s">
        <v>60</v>
      </c>
      <c r="I171" s="42" t="s">
        <v>665</v>
      </c>
      <c r="J171" s="42" t="s">
        <v>666</v>
      </c>
      <c r="K171" s="42" t="s">
        <v>380</v>
      </c>
      <c r="L171" s="43" t="s">
        <v>667</v>
      </c>
      <c r="M171" s="42">
        <f t="shared" si="10"/>
        <v>128</v>
      </c>
      <c r="N171" s="42" t="str">
        <f t="shared" si="11"/>
        <v>Uygun</v>
      </c>
      <c r="O171" s="42">
        <v>5</v>
      </c>
      <c r="P171" s="42" t="s">
        <v>668</v>
      </c>
    </row>
    <row r="172" spans="1:16" ht="30" customHeight="1" x14ac:dyDescent="0.2">
      <c r="A172" s="42">
        <v>171</v>
      </c>
      <c r="B172" s="42" t="s">
        <v>669</v>
      </c>
      <c r="C172" s="42" t="s">
        <v>507</v>
      </c>
      <c r="D172" s="42" t="s">
        <v>163</v>
      </c>
      <c r="E172" s="42">
        <v>2</v>
      </c>
      <c r="F172" s="42" t="s">
        <v>64</v>
      </c>
      <c r="G172" s="42" t="s">
        <v>269</v>
      </c>
      <c r="H172" s="42" t="s">
        <v>231</v>
      </c>
      <c r="I172" s="42" t="s">
        <v>670</v>
      </c>
      <c r="J172" s="42" t="s">
        <v>671</v>
      </c>
      <c r="K172" s="42" t="s">
        <v>385</v>
      </c>
      <c r="L172" s="43" t="s">
        <v>672</v>
      </c>
      <c r="M172" s="42">
        <f t="shared" si="10"/>
        <v>124</v>
      </c>
      <c r="N172" s="42" t="str">
        <f t="shared" si="11"/>
        <v>Uygun</v>
      </c>
      <c r="O172" s="42">
        <v>5</v>
      </c>
      <c r="P172" s="42" t="s">
        <v>673</v>
      </c>
    </row>
    <row r="173" spans="1:16" ht="30" customHeight="1" x14ac:dyDescent="0.2">
      <c r="A173" s="42">
        <v>172</v>
      </c>
      <c r="B173" s="42" t="s">
        <v>674</v>
      </c>
      <c r="C173" s="42" t="s">
        <v>507</v>
      </c>
      <c r="D173" s="42" t="s">
        <v>163</v>
      </c>
      <c r="E173" s="42">
        <v>2</v>
      </c>
      <c r="F173" s="42" t="s">
        <v>59</v>
      </c>
      <c r="G173" s="42" t="s">
        <v>28</v>
      </c>
      <c r="H173" s="42" t="s">
        <v>53</v>
      </c>
      <c r="I173" s="42" t="s">
        <v>419</v>
      </c>
      <c r="J173" s="42" t="s">
        <v>675</v>
      </c>
      <c r="K173" s="42" t="s">
        <v>389</v>
      </c>
      <c r="L173" s="43" t="s">
        <v>676</v>
      </c>
      <c r="M173" s="42">
        <f t="shared" si="10"/>
        <v>125</v>
      </c>
      <c r="N173" s="42" t="str">
        <f t="shared" si="11"/>
        <v>Uygun</v>
      </c>
      <c r="O173" s="42">
        <v>5</v>
      </c>
      <c r="P173" s="42" t="s">
        <v>677</v>
      </c>
    </row>
    <row r="174" spans="1:16" ht="30" customHeight="1" x14ac:dyDescent="0.2">
      <c r="A174" s="42">
        <v>173</v>
      </c>
      <c r="B174" s="42" t="s">
        <v>678</v>
      </c>
      <c r="C174" s="42" t="s">
        <v>507</v>
      </c>
      <c r="D174" s="42" t="s">
        <v>163</v>
      </c>
      <c r="E174" s="42">
        <v>2</v>
      </c>
      <c r="F174" s="42" t="s">
        <v>40</v>
      </c>
      <c r="G174" s="42" t="s">
        <v>269</v>
      </c>
      <c r="H174" s="42" t="s">
        <v>110</v>
      </c>
      <c r="I174" s="42" t="s">
        <v>621</v>
      </c>
      <c r="J174" s="42" t="s">
        <v>679</v>
      </c>
      <c r="K174" s="42" t="s">
        <v>394</v>
      </c>
      <c r="L174" s="43" t="s">
        <v>680</v>
      </c>
      <c r="M174" s="42">
        <f t="shared" si="10"/>
        <v>119</v>
      </c>
      <c r="N174" s="42" t="str">
        <f t="shared" si="11"/>
        <v>Uygun</v>
      </c>
      <c r="O174" s="42">
        <v>5</v>
      </c>
      <c r="P174" s="42" t="s">
        <v>624</v>
      </c>
    </row>
    <row r="175" spans="1:16" ht="45" customHeight="1" x14ac:dyDescent="0.2">
      <c r="A175" s="42">
        <v>174</v>
      </c>
      <c r="B175" s="42" t="s">
        <v>681</v>
      </c>
      <c r="C175" s="42" t="s">
        <v>507</v>
      </c>
      <c r="D175" s="42" t="s">
        <v>218</v>
      </c>
      <c r="E175" s="42">
        <v>3</v>
      </c>
      <c r="F175" s="42" t="s">
        <v>554</v>
      </c>
      <c r="G175" s="42" t="s">
        <v>28</v>
      </c>
      <c r="H175" s="42" t="s">
        <v>21</v>
      </c>
      <c r="I175" s="42" t="s">
        <v>682</v>
      </c>
      <c r="J175" s="42" t="s">
        <v>683</v>
      </c>
      <c r="K175" s="42" t="s">
        <v>441</v>
      </c>
      <c r="L175" s="43" t="s">
        <v>684</v>
      </c>
      <c r="M175" s="42">
        <f t="shared" si="10"/>
        <v>117</v>
      </c>
      <c r="N175" s="42" t="str">
        <f t="shared" si="11"/>
        <v>Uygun</v>
      </c>
      <c r="O175" s="42">
        <v>7</v>
      </c>
      <c r="P175" s="42" t="s">
        <v>685</v>
      </c>
    </row>
    <row r="176" spans="1:16" ht="30" customHeight="1" x14ac:dyDescent="0.2">
      <c r="A176" s="42">
        <v>175</v>
      </c>
      <c r="B176" s="42" t="s">
        <v>686</v>
      </c>
      <c r="C176" s="42" t="s">
        <v>507</v>
      </c>
      <c r="D176" s="42" t="s">
        <v>218</v>
      </c>
      <c r="E176" s="42">
        <v>3</v>
      </c>
      <c r="F176" s="42" t="s">
        <v>356</v>
      </c>
      <c r="G176" s="42" t="s">
        <v>269</v>
      </c>
      <c r="H176" s="42" t="s">
        <v>47</v>
      </c>
      <c r="I176" s="42" t="s">
        <v>687</v>
      </c>
      <c r="J176" s="42" t="s">
        <v>688</v>
      </c>
      <c r="K176" s="42" t="s">
        <v>447</v>
      </c>
      <c r="L176" s="43" t="s">
        <v>689</v>
      </c>
      <c r="M176" s="42">
        <f t="shared" si="10"/>
        <v>117</v>
      </c>
      <c r="N176" s="42" t="str">
        <f t="shared" si="11"/>
        <v>Uygun</v>
      </c>
      <c r="O176" s="42">
        <v>6</v>
      </c>
      <c r="P176" s="42" t="s">
        <v>690</v>
      </c>
    </row>
    <row r="177" spans="1:16" ht="60" customHeight="1" x14ac:dyDescent="0.2">
      <c r="A177" s="42">
        <v>176</v>
      </c>
      <c r="B177" s="42" t="s">
        <v>691</v>
      </c>
      <c r="C177" s="42" t="s">
        <v>507</v>
      </c>
      <c r="D177" s="42" t="s">
        <v>218</v>
      </c>
      <c r="E177" s="42">
        <v>3</v>
      </c>
      <c r="F177" s="42" t="s">
        <v>299</v>
      </c>
      <c r="G177" s="42" t="s">
        <v>20</v>
      </c>
      <c r="H177" s="42" t="s">
        <v>60</v>
      </c>
      <c r="I177" s="42" t="s">
        <v>692</v>
      </c>
      <c r="J177" s="42" t="s">
        <v>693</v>
      </c>
      <c r="K177" s="42" t="s">
        <v>453</v>
      </c>
      <c r="L177" s="43" t="s">
        <v>694</v>
      </c>
      <c r="M177" s="42">
        <f t="shared" ref="M177:M208" si="12">LEN(L177)</f>
        <v>124</v>
      </c>
      <c r="N177" s="42" t="str">
        <f t="shared" ref="N177:N208" si="13">IF(L177="","Eksik",IF(M177&lt;=130,"Uygun","130 karakteri aşıyor"))</f>
        <v>Uygun</v>
      </c>
      <c r="O177" s="42">
        <v>7</v>
      </c>
      <c r="P177" s="42" t="s">
        <v>695</v>
      </c>
    </row>
    <row r="178" spans="1:16" ht="45" customHeight="1" x14ac:dyDescent="0.2">
      <c r="A178" s="42">
        <v>177</v>
      </c>
      <c r="B178" s="42" t="s">
        <v>696</v>
      </c>
      <c r="C178" s="42" t="s">
        <v>507</v>
      </c>
      <c r="D178" s="42" t="s">
        <v>218</v>
      </c>
      <c r="E178" s="42">
        <v>3</v>
      </c>
      <c r="F178" s="42" t="s">
        <v>79</v>
      </c>
      <c r="G178" s="42" t="s">
        <v>269</v>
      </c>
      <c r="H178" s="42" t="s">
        <v>79</v>
      </c>
      <c r="I178" s="42" t="s">
        <v>445</v>
      </c>
      <c r="J178" s="42" t="s">
        <v>697</v>
      </c>
      <c r="K178" s="42" t="s">
        <v>458</v>
      </c>
      <c r="L178" s="43" t="s">
        <v>698</v>
      </c>
      <c r="M178" s="42">
        <f t="shared" si="12"/>
        <v>129</v>
      </c>
      <c r="N178" s="42" t="str">
        <f t="shared" si="13"/>
        <v>Uygun</v>
      </c>
      <c r="O178" s="42">
        <v>6</v>
      </c>
      <c r="P178" s="42" t="s">
        <v>699</v>
      </c>
    </row>
    <row r="179" spans="1:16" ht="45" customHeight="1" x14ac:dyDescent="0.2">
      <c r="A179" s="42">
        <v>178</v>
      </c>
      <c r="B179" s="42" t="s">
        <v>700</v>
      </c>
      <c r="C179" s="42" t="s">
        <v>507</v>
      </c>
      <c r="D179" s="42" t="s">
        <v>218</v>
      </c>
      <c r="E179" s="42">
        <v>3</v>
      </c>
      <c r="F179" s="42" t="s">
        <v>299</v>
      </c>
      <c r="G179" s="42" t="s">
        <v>20</v>
      </c>
      <c r="H179" s="42" t="s">
        <v>53</v>
      </c>
      <c r="I179" s="42" t="s">
        <v>701</v>
      </c>
      <c r="J179" s="42" t="s">
        <v>702</v>
      </c>
      <c r="K179" s="42" t="s">
        <v>441</v>
      </c>
      <c r="L179" s="43" t="s">
        <v>703</v>
      </c>
      <c r="M179" s="42">
        <f t="shared" si="12"/>
        <v>128</v>
      </c>
      <c r="N179" s="42" t="str">
        <f t="shared" si="13"/>
        <v>Uygun</v>
      </c>
      <c r="O179" s="42">
        <v>7</v>
      </c>
      <c r="P179" s="42" t="s">
        <v>704</v>
      </c>
    </row>
    <row r="180" spans="1:16" ht="30" customHeight="1" x14ac:dyDescent="0.2">
      <c r="A180" s="42">
        <v>179</v>
      </c>
      <c r="B180" s="42" t="s">
        <v>705</v>
      </c>
      <c r="C180" s="42" t="s">
        <v>507</v>
      </c>
      <c r="D180" s="42" t="s">
        <v>218</v>
      </c>
      <c r="E180" s="42">
        <v>3</v>
      </c>
      <c r="F180" s="42" t="s">
        <v>19</v>
      </c>
      <c r="G180" s="42" t="s">
        <v>28</v>
      </c>
      <c r="H180" s="42" t="s">
        <v>73</v>
      </c>
      <c r="I180" s="42" t="s">
        <v>701</v>
      </c>
      <c r="J180" s="42" t="s">
        <v>706</v>
      </c>
      <c r="K180" s="42" t="s">
        <v>447</v>
      </c>
      <c r="L180" s="43" t="s">
        <v>707</v>
      </c>
      <c r="M180" s="42">
        <f t="shared" si="12"/>
        <v>124</v>
      </c>
      <c r="N180" s="42" t="str">
        <f t="shared" si="13"/>
        <v>Uygun</v>
      </c>
      <c r="O180" s="42">
        <v>6</v>
      </c>
      <c r="P180" s="42" t="s">
        <v>704</v>
      </c>
    </row>
    <row r="181" spans="1:16" ht="45" customHeight="1" x14ac:dyDescent="0.2">
      <c r="A181" s="42">
        <v>180</v>
      </c>
      <c r="B181" s="42" t="s">
        <v>708</v>
      </c>
      <c r="C181" s="42" t="s">
        <v>507</v>
      </c>
      <c r="D181" s="42" t="s">
        <v>218</v>
      </c>
      <c r="E181" s="42">
        <v>3</v>
      </c>
      <c r="F181" s="42" t="s">
        <v>19</v>
      </c>
      <c r="G181" s="42" t="s">
        <v>28</v>
      </c>
      <c r="H181" s="42" t="s">
        <v>214</v>
      </c>
      <c r="I181" s="42" t="s">
        <v>709</v>
      </c>
      <c r="J181" s="42" t="s">
        <v>710</v>
      </c>
      <c r="K181" s="42" t="s">
        <v>453</v>
      </c>
      <c r="L181" s="43" t="s">
        <v>711</v>
      </c>
      <c r="M181" s="42">
        <f t="shared" si="12"/>
        <v>123</v>
      </c>
      <c r="N181" s="42" t="str">
        <f t="shared" si="13"/>
        <v>Uygun</v>
      </c>
      <c r="O181" s="42">
        <v>7</v>
      </c>
      <c r="P181" s="42" t="s">
        <v>712</v>
      </c>
    </row>
    <row r="182" spans="1:16" ht="30" customHeight="1" x14ac:dyDescent="0.2">
      <c r="A182" s="42">
        <v>181</v>
      </c>
      <c r="B182" s="42" t="s">
        <v>713</v>
      </c>
      <c r="C182" s="42" t="s">
        <v>507</v>
      </c>
      <c r="D182" s="42" t="s">
        <v>218</v>
      </c>
      <c r="E182" s="42">
        <v>3</v>
      </c>
      <c r="F182" s="42" t="s">
        <v>19</v>
      </c>
      <c r="G182" s="42" t="s">
        <v>28</v>
      </c>
      <c r="H182" s="42" t="s">
        <v>132</v>
      </c>
      <c r="I182" s="42" t="s">
        <v>714</v>
      </c>
      <c r="J182" s="42" t="s">
        <v>715</v>
      </c>
      <c r="K182" s="42" t="s">
        <v>458</v>
      </c>
      <c r="L182" s="43" t="s">
        <v>716</v>
      </c>
      <c r="M182" s="42">
        <f t="shared" si="12"/>
        <v>118</v>
      </c>
      <c r="N182" s="42" t="str">
        <f t="shared" si="13"/>
        <v>Uygun</v>
      </c>
      <c r="O182" s="42">
        <v>6</v>
      </c>
      <c r="P182" s="42" t="s">
        <v>717</v>
      </c>
    </row>
    <row r="183" spans="1:16" ht="45" customHeight="1" x14ac:dyDescent="0.2">
      <c r="A183" s="42">
        <v>182</v>
      </c>
      <c r="B183" s="42" t="s">
        <v>718</v>
      </c>
      <c r="C183" s="42" t="s">
        <v>507</v>
      </c>
      <c r="D183" s="42" t="s">
        <v>244</v>
      </c>
      <c r="E183" s="42">
        <v>4</v>
      </c>
      <c r="F183" s="42" t="s">
        <v>19</v>
      </c>
      <c r="G183" s="42" t="s">
        <v>28</v>
      </c>
      <c r="H183" s="42" t="s">
        <v>93</v>
      </c>
      <c r="I183" s="42" t="s">
        <v>719</v>
      </c>
      <c r="J183" s="42" t="s">
        <v>720</v>
      </c>
      <c r="K183" s="42" t="s">
        <v>475</v>
      </c>
      <c r="L183" s="43" t="s">
        <v>721</v>
      </c>
      <c r="M183" s="42">
        <f t="shared" si="12"/>
        <v>129</v>
      </c>
      <c r="N183" s="42" t="str">
        <f t="shared" si="13"/>
        <v>Uygun</v>
      </c>
      <c r="O183" s="42">
        <v>8</v>
      </c>
      <c r="P183" s="42" t="s">
        <v>722</v>
      </c>
    </row>
    <row r="184" spans="1:16" ht="45" customHeight="1" x14ac:dyDescent="0.2">
      <c r="A184" s="42">
        <v>183</v>
      </c>
      <c r="B184" s="42" t="s">
        <v>723</v>
      </c>
      <c r="C184" s="42" t="s">
        <v>507</v>
      </c>
      <c r="D184" s="42" t="s">
        <v>244</v>
      </c>
      <c r="E184" s="42">
        <v>4</v>
      </c>
      <c r="F184" s="42" t="s">
        <v>64</v>
      </c>
      <c r="G184" s="42" t="s">
        <v>269</v>
      </c>
      <c r="H184" s="42" t="s">
        <v>34</v>
      </c>
      <c r="I184" s="42" t="s">
        <v>479</v>
      </c>
      <c r="J184" s="42" t="s">
        <v>724</v>
      </c>
      <c r="K184" s="42" t="s">
        <v>481</v>
      </c>
      <c r="L184" s="43" t="s">
        <v>725</v>
      </c>
      <c r="M184" s="42">
        <f t="shared" si="12"/>
        <v>126</v>
      </c>
      <c r="N184" s="42" t="str">
        <f t="shared" si="13"/>
        <v>Uygun</v>
      </c>
      <c r="O184" s="42">
        <v>8</v>
      </c>
      <c r="P184" s="42" t="s">
        <v>726</v>
      </c>
    </row>
    <row r="185" spans="1:16" ht="45" customHeight="1" x14ac:dyDescent="0.2">
      <c r="A185" s="42">
        <v>184</v>
      </c>
      <c r="B185" s="42" t="s">
        <v>727</v>
      </c>
      <c r="C185" s="42" t="s">
        <v>507</v>
      </c>
      <c r="D185" s="42" t="s">
        <v>244</v>
      </c>
      <c r="E185" s="42">
        <v>4</v>
      </c>
      <c r="F185" s="42" t="s">
        <v>558</v>
      </c>
      <c r="G185" s="42" t="s">
        <v>269</v>
      </c>
      <c r="H185" s="42" t="s">
        <v>79</v>
      </c>
      <c r="I185" s="42" t="s">
        <v>473</v>
      </c>
      <c r="J185" s="42" t="s">
        <v>728</v>
      </c>
      <c r="K185" s="42" t="s">
        <v>487</v>
      </c>
      <c r="L185" s="43" t="s">
        <v>729</v>
      </c>
      <c r="M185" s="42">
        <f t="shared" si="12"/>
        <v>119</v>
      </c>
      <c r="N185" s="42" t="str">
        <f t="shared" si="13"/>
        <v>Uygun</v>
      </c>
      <c r="O185" s="42">
        <v>8</v>
      </c>
      <c r="P185" s="42" t="s">
        <v>730</v>
      </c>
    </row>
    <row r="186" spans="1:16" ht="45" customHeight="1" x14ac:dyDescent="0.2">
      <c r="A186" s="42">
        <v>185</v>
      </c>
      <c r="B186" s="42" t="s">
        <v>731</v>
      </c>
      <c r="C186" s="42" t="s">
        <v>507</v>
      </c>
      <c r="D186" s="42" t="s">
        <v>244</v>
      </c>
      <c r="E186" s="42">
        <v>4</v>
      </c>
      <c r="F186" s="42" t="s">
        <v>554</v>
      </c>
      <c r="G186" s="42" t="s">
        <v>269</v>
      </c>
      <c r="H186" s="42" t="s">
        <v>123</v>
      </c>
      <c r="I186" s="42" t="s">
        <v>479</v>
      </c>
      <c r="J186" s="42" t="s">
        <v>732</v>
      </c>
      <c r="K186" s="42" t="s">
        <v>492</v>
      </c>
      <c r="L186" s="43" t="s">
        <v>733</v>
      </c>
      <c r="M186" s="42">
        <f t="shared" si="12"/>
        <v>121</v>
      </c>
      <c r="N186" s="42" t="str">
        <f t="shared" si="13"/>
        <v>Uygun</v>
      </c>
      <c r="O186" s="42">
        <v>8</v>
      </c>
      <c r="P186" s="42" t="s">
        <v>726</v>
      </c>
    </row>
    <row r="187" spans="1:16" ht="60" customHeight="1" x14ac:dyDescent="0.2">
      <c r="A187" s="42">
        <v>186</v>
      </c>
      <c r="B187" s="42" t="s">
        <v>734</v>
      </c>
      <c r="C187" s="42" t="s">
        <v>507</v>
      </c>
      <c r="D187" s="42" t="s">
        <v>258</v>
      </c>
      <c r="E187" s="42">
        <v>5</v>
      </c>
      <c r="F187" s="42" t="s">
        <v>356</v>
      </c>
      <c r="G187" s="42" t="s">
        <v>269</v>
      </c>
      <c r="H187" s="42" t="s">
        <v>21</v>
      </c>
      <c r="I187" s="42" t="s">
        <v>735</v>
      </c>
      <c r="J187" s="42" t="s">
        <v>736</v>
      </c>
      <c r="K187" s="42" t="s">
        <v>497</v>
      </c>
      <c r="L187" s="43" t="s">
        <v>737</v>
      </c>
      <c r="M187" s="42">
        <f t="shared" si="12"/>
        <v>121</v>
      </c>
      <c r="N187" s="42" t="str">
        <f t="shared" si="13"/>
        <v>Uygun</v>
      </c>
      <c r="O187" s="42">
        <v>10</v>
      </c>
      <c r="P187" s="42" t="s">
        <v>738</v>
      </c>
    </row>
    <row r="188" spans="1:16" ht="60" customHeight="1" x14ac:dyDescent="0.2">
      <c r="A188" s="42">
        <v>187</v>
      </c>
      <c r="B188" s="42" t="s">
        <v>739</v>
      </c>
      <c r="C188" s="42" t="s">
        <v>507</v>
      </c>
      <c r="D188" s="42" t="s">
        <v>258</v>
      </c>
      <c r="E188" s="42">
        <v>5</v>
      </c>
      <c r="F188" s="42" t="s">
        <v>19</v>
      </c>
      <c r="G188" s="42" t="s">
        <v>269</v>
      </c>
      <c r="H188" s="42" t="s">
        <v>41</v>
      </c>
      <c r="I188" s="42" t="s">
        <v>740</v>
      </c>
      <c r="J188" s="42" t="s">
        <v>741</v>
      </c>
      <c r="K188" s="42" t="s">
        <v>503</v>
      </c>
      <c r="L188" s="43" t="s">
        <v>742</v>
      </c>
      <c r="M188" s="42">
        <f t="shared" si="12"/>
        <v>126</v>
      </c>
      <c r="N188" s="42" t="str">
        <f t="shared" si="13"/>
        <v>Uygun</v>
      </c>
      <c r="O188" s="42">
        <v>10</v>
      </c>
      <c r="P188" s="42" t="s">
        <v>743</v>
      </c>
    </row>
    <row r="189" spans="1:16" s="46" customFormat="1" ht="30" customHeight="1" x14ac:dyDescent="0.2">
      <c r="A189" s="44">
        <v>188</v>
      </c>
      <c r="B189" s="44" t="s">
        <v>744</v>
      </c>
      <c r="C189" s="44" t="s">
        <v>745</v>
      </c>
      <c r="D189" s="44" t="s">
        <v>18</v>
      </c>
      <c r="E189" s="44">
        <v>1</v>
      </c>
      <c r="F189" s="44" t="s">
        <v>19</v>
      </c>
      <c r="G189" s="44" t="s">
        <v>28</v>
      </c>
      <c r="H189" s="44" t="s">
        <v>47</v>
      </c>
      <c r="I189" s="44" t="s">
        <v>522</v>
      </c>
      <c r="J189" s="44" t="s">
        <v>746</v>
      </c>
      <c r="K189" s="44" t="s">
        <v>272</v>
      </c>
      <c r="L189" s="45" t="s">
        <v>747</v>
      </c>
      <c r="M189" s="44">
        <f t="shared" si="12"/>
        <v>124</v>
      </c>
      <c r="N189" s="44" t="str">
        <f t="shared" si="13"/>
        <v>Uygun</v>
      </c>
      <c r="O189" s="44">
        <v>4</v>
      </c>
      <c r="P189" s="44" t="s">
        <v>748</v>
      </c>
    </row>
    <row r="190" spans="1:16" s="49" customFormat="1" ht="30" customHeight="1" x14ac:dyDescent="0.2">
      <c r="A190" s="47">
        <v>189</v>
      </c>
      <c r="B190" s="47" t="s">
        <v>749</v>
      </c>
      <c r="C190" s="47" t="s">
        <v>745</v>
      </c>
      <c r="D190" s="47" t="s">
        <v>18</v>
      </c>
      <c r="E190" s="47">
        <v>1</v>
      </c>
      <c r="F190" s="47" t="s">
        <v>19</v>
      </c>
      <c r="G190" s="47" t="s">
        <v>28</v>
      </c>
      <c r="H190" s="47" t="s">
        <v>214</v>
      </c>
      <c r="I190" s="47" t="s">
        <v>568</v>
      </c>
      <c r="J190" s="47" t="s">
        <v>750</v>
      </c>
      <c r="K190" s="47" t="s">
        <v>278</v>
      </c>
      <c r="L190" s="48" t="s">
        <v>751</v>
      </c>
      <c r="M190" s="47">
        <f t="shared" si="12"/>
        <v>119</v>
      </c>
      <c r="N190" s="47" t="str">
        <f t="shared" si="13"/>
        <v>Uygun</v>
      </c>
      <c r="O190" s="47">
        <v>3</v>
      </c>
      <c r="P190" s="47" t="s">
        <v>752</v>
      </c>
    </row>
    <row r="191" spans="1:16" s="52" customFormat="1" ht="45" customHeight="1" x14ac:dyDescent="0.2">
      <c r="A191" s="50">
        <v>190</v>
      </c>
      <c r="B191" s="50" t="s">
        <v>753</v>
      </c>
      <c r="C191" s="50" t="s">
        <v>745</v>
      </c>
      <c r="D191" s="50" t="s">
        <v>18</v>
      </c>
      <c r="E191" s="50">
        <v>1</v>
      </c>
      <c r="F191" s="50" t="s">
        <v>19</v>
      </c>
      <c r="G191" s="50" t="s">
        <v>20</v>
      </c>
      <c r="H191" s="50" t="s">
        <v>53</v>
      </c>
      <c r="I191" s="50" t="s">
        <v>330</v>
      </c>
      <c r="J191" s="50" t="s">
        <v>754</v>
      </c>
      <c r="K191" s="50" t="s">
        <v>283</v>
      </c>
      <c r="L191" s="51" t="s">
        <v>755</v>
      </c>
      <c r="M191" s="50">
        <f t="shared" si="12"/>
        <v>124</v>
      </c>
      <c r="N191" s="50" t="str">
        <f t="shared" si="13"/>
        <v>Uygun</v>
      </c>
      <c r="O191" s="50">
        <v>4</v>
      </c>
      <c r="P191" s="50" t="s">
        <v>756</v>
      </c>
    </row>
    <row r="192" spans="1:16" s="55" customFormat="1" ht="30" customHeight="1" x14ac:dyDescent="0.2">
      <c r="A192" s="53">
        <v>191</v>
      </c>
      <c r="B192" s="53" t="s">
        <v>757</v>
      </c>
      <c r="C192" s="53" t="s">
        <v>745</v>
      </c>
      <c r="D192" s="53" t="s">
        <v>18</v>
      </c>
      <c r="E192" s="53">
        <v>1</v>
      </c>
      <c r="F192" s="53" t="s">
        <v>79</v>
      </c>
      <c r="G192" s="53" t="s">
        <v>269</v>
      </c>
      <c r="H192" s="53" t="s">
        <v>79</v>
      </c>
      <c r="I192" s="53" t="s">
        <v>270</v>
      </c>
      <c r="J192" s="53" t="s">
        <v>758</v>
      </c>
      <c r="K192" s="53" t="s">
        <v>287</v>
      </c>
      <c r="L192" s="54" t="s">
        <v>759</v>
      </c>
      <c r="M192" s="53">
        <f t="shared" si="12"/>
        <v>121</v>
      </c>
      <c r="N192" s="53" t="str">
        <f t="shared" si="13"/>
        <v>Uygun</v>
      </c>
      <c r="O192" s="53">
        <v>3</v>
      </c>
      <c r="P192" s="53" t="s">
        <v>760</v>
      </c>
    </row>
    <row r="193" spans="1:16" s="58" customFormat="1" ht="30" customHeight="1" x14ac:dyDescent="0.2">
      <c r="A193" s="56">
        <v>192</v>
      </c>
      <c r="B193" s="56" t="s">
        <v>761</v>
      </c>
      <c r="C193" s="56" t="s">
        <v>745</v>
      </c>
      <c r="D193" s="56" t="s">
        <v>18</v>
      </c>
      <c r="E193" s="56">
        <v>1</v>
      </c>
      <c r="F193" s="56" t="s">
        <v>19</v>
      </c>
      <c r="G193" s="56" t="s">
        <v>28</v>
      </c>
      <c r="H193" s="56" t="s">
        <v>178</v>
      </c>
      <c r="I193" s="56" t="s">
        <v>762</v>
      </c>
      <c r="J193" s="56" t="s">
        <v>763</v>
      </c>
      <c r="K193" s="56" t="s">
        <v>272</v>
      </c>
      <c r="L193" s="57" t="s">
        <v>764</v>
      </c>
      <c r="M193" s="56">
        <f t="shared" si="12"/>
        <v>130</v>
      </c>
      <c r="N193" s="56" t="str">
        <f t="shared" si="13"/>
        <v>Uygun</v>
      </c>
      <c r="O193" s="56">
        <v>4</v>
      </c>
      <c r="P193" s="56" t="s">
        <v>765</v>
      </c>
    </row>
    <row r="194" spans="1:16" s="61" customFormat="1" ht="30" customHeight="1" x14ac:dyDescent="0.2">
      <c r="A194" s="59">
        <v>193</v>
      </c>
      <c r="B194" s="59" t="s">
        <v>766</v>
      </c>
      <c r="C194" s="59" t="s">
        <v>745</v>
      </c>
      <c r="D194" s="59" t="s">
        <v>18</v>
      </c>
      <c r="E194" s="59">
        <v>1</v>
      </c>
      <c r="F194" s="59" t="s">
        <v>19</v>
      </c>
      <c r="G194" s="59" t="s">
        <v>28</v>
      </c>
      <c r="H194" s="59" t="s">
        <v>53</v>
      </c>
      <c r="I194" s="59" t="s">
        <v>330</v>
      </c>
      <c r="J194" s="59" t="s">
        <v>767</v>
      </c>
      <c r="K194" s="59" t="s">
        <v>278</v>
      </c>
      <c r="L194" s="60" t="s">
        <v>768</v>
      </c>
      <c r="M194" s="59">
        <f t="shared" si="12"/>
        <v>124</v>
      </c>
      <c r="N194" s="59" t="str">
        <f t="shared" si="13"/>
        <v>Uygun</v>
      </c>
      <c r="O194" s="59">
        <v>3</v>
      </c>
      <c r="P194" s="59" t="s">
        <v>756</v>
      </c>
    </row>
    <row r="195" spans="1:16" s="64" customFormat="1" ht="30" customHeight="1" x14ac:dyDescent="0.2">
      <c r="A195" s="62">
        <v>194</v>
      </c>
      <c r="B195" s="62" t="s">
        <v>769</v>
      </c>
      <c r="C195" s="62" t="s">
        <v>745</v>
      </c>
      <c r="D195" s="62" t="s">
        <v>18</v>
      </c>
      <c r="E195" s="62">
        <v>1</v>
      </c>
      <c r="F195" s="62" t="s">
        <v>19</v>
      </c>
      <c r="G195" s="62" t="s">
        <v>20</v>
      </c>
      <c r="H195" s="62" t="s">
        <v>132</v>
      </c>
      <c r="I195" s="62" t="s">
        <v>770</v>
      </c>
      <c r="J195" s="62" t="s">
        <v>771</v>
      </c>
      <c r="K195" s="62" t="s">
        <v>283</v>
      </c>
      <c r="L195" s="63" t="s">
        <v>772</v>
      </c>
      <c r="M195" s="62">
        <f t="shared" si="12"/>
        <v>127</v>
      </c>
      <c r="N195" s="62" t="str">
        <f t="shared" si="13"/>
        <v>Uygun</v>
      </c>
      <c r="O195" s="62">
        <v>4</v>
      </c>
      <c r="P195" s="62" t="s">
        <v>773</v>
      </c>
    </row>
    <row r="196" spans="1:16" s="67" customFormat="1" ht="45" customHeight="1" x14ac:dyDescent="0.2">
      <c r="A196" s="65">
        <v>195</v>
      </c>
      <c r="B196" s="65" t="s">
        <v>774</v>
      </c>
      <c r="C196" s="65" t="s">
        <v>745</v>
      </c>
      <c r="D196" s="65" t="s">
        <v>18</v>
      </c>
      <c r="E196" s="65">
        <v>1</v>
      </c>
      <c r="F196" s="65" t="s">
        <v>19</v>
      </c>
      <c r="G196" s="65" t="s">
        <v>20</v>
      </c>
      <c r="H196" s="65" t="s">
        <v>110</v>
      </c>
      <c r="I196" s="65" t="s">
        <v>762</v>
      </c>
      <c r="J196" s="65" t="s">
        <v>775</v>
      </c>
      <c r="K196" s="65" t="s">
        <v>287</v>
      </c>
      <c r="L196" s="66" t="s">
        <v>776</v>
      </c>
      <c r="M196" s="65">
        <f t="shared" si="12"/>
        <v>123</v>
      </c>
      <c r="N196" s="65" t="str">
        <f t="shared" si="13"/>
        <v>Uygun</v>
      </c>
      <c r="O196" s="65">
        <v>3</v>
      </c>
      <c r="P196" s="65" t="s">
        <v>765</v>
      </c>
    </row>
    <row r="197" spans="1:16" s="70" customFormat="1" ht="30" customHeight="1" x14ac:dyDescent="0.2">
      <c r="A197" s="68">
        <v>196</v>
      </c>
      <c r="B197" s="68" t="s">
        <v>777</v>
      </c>
      <c r="C197" s="68" t="s">
        <v>745</v>
      </c>
      <c r="D197" s="68" t="s">
        <v>18</v>
      </c>
      <c r="E197" s="68">
        <v>1</v>
      </c>
      <c r="F197" s="68" t="s">
        <v>245</v>
      </c>
      <c r="G197" s="68" t="s">
        <v>28</v>
      </c>
      <c r="H197" s="68" t="s">
        <v>154</v>
      </c>
      <c r="I197" s="68" t="s">
        <v>762</v>
      </c>
      <c r="J197" s="68" t="s">
        <v>778</v>
      </c>
      <c r="K197" s="68" t="s">
        <v>272</v>
      </c>
      <c r="L197" s="69" t="s">
        <v>779</v>
      </c>
      <c r="M197" s="68">
        <f t="shared" si="12"/>
        <v>119</v>
      </c>
      <c r="N197" s="68" t="str">
        <f t="shared" si="13"/>
        <v>Uygun</v>
      </c>
      <c r="O197" s="68">
        <v>4</v>
      </c>
      <c r="P197" s="68" t="s">
        <v>765</v>
      </c>
    </row>
    <row r="198" spans="1:16" s="73" customFormat="1" ht="30" customHeight="1" x14ac:dyDescent="0.2">
      <c r="A198" s="71">
        <v>197</v>
      </c>
      <c r="B198" s="71" t="s">
        <v>780</v>
      </c>
      <c r="C198" s="71" t="s">
        <v>745</v>
      </c>
      <c r="D198" s="71" t="s">
        <v>18</v>
      </c>
      <c r="E198" s="71">
        <v>1</v>
      </c>
      <c r="F198" s="71" t="s">
        <v>19</v>
      </c>
      <c r="G198" s="71" t="s">
        <v>28</v>
      </c>
      <c r="H198" s="71" t="s">
        <v>164</v>
      </c>
      <c r="I198" s="71" t="s">
        <v>762</v>
      </c>
      <c r="J198" s="71" t="s">
        <v>781</v>
      </c>
      <c r="K198" s="71" t="s">
        <v>278</v>
      </c>
      <c r="L198" s="72" t="s">
        <v>782</v>
      </c>
      <c r="M198" s="71">
        <f t="shared" si="12"/>
        <v>123</v>
      </c>
      <c r="N198" s="71" t="str">
        <f t="shared" si="13"/>
        <v>Uygun</v>
      </c>
      <c r="O198" s="71">
        <v>3</v>
      </c>
      <c r="P198" s="71" t="s">
        <v>765</v>
      </c>
    </row>
    <row r="199" spans="1:16" s="61" customFormat="1" ht="30" customHeight="1" x14ac:dyDescent="0.2">
      <c r="A199" s="59">
        <v>198</v>
      </c>
      <c r="B199" s="59" t="s">
        <v>783</v>
      </c>
      <c r="C199" s="59" t="s">
        <v>745</v>
      </c>
      <c r="D199" s="59" t="s">
        <v>18</v>
      </c>
      <c r="E199" s="59">
        <v>1</v>
      </c>
      <c r="F199" s="59" t="s">
        <v>41</v>
      </c>
      <c r="G199" s="59" t="s">
        <v>28</v>
      </c>
      <c r="H199" s="59" t="s">
        <v>41</v>
      </c>
      <c r="I199" s="59" t="s">
        <v>784</v>
      </c>
      <c r="J199" s="59" t="s">
        <v>785</v>
      </c>
      <c r="K199" s="59" t="s">
        <v>283</v>
      </c>
      <c r="L199" s="60" t="s">
        <v>786</v>
      </c>
      <c r="M199" s="59">
        <f t="shared" si="12"/>
        <v>126</v>
      </c>
      <c r="N199" s="59" t="str">
        <f t="shared" si="13"/>
        <v>Uygun</v>
      </c>
      <c r="O199" s="59">
        <v>4</v>
      </c>
      <c r="P199" s="59" t="s">
        <v>787</v>
      </c>
    </row>
    <row r="200" spans="1:16" s="67" customFormat="1" ht="30" customHeight="1" x14ac:dyDescent="0.2">
      <c r="A200" s="65">
        <v>199</v>
      </c>
      <c r="B200" s="65" t="s">
        <v>788</v>
      </c>
      <c r="C200" s="65" t="s">
        <v>745</v>
      </c>
      <c r="D200" s="65" t="s">
        <v>18</v>
      </c>
      <c r="E200" s="65">
        <v>1</v>
      </c>
      <c r="F200" s="65" t="s">
        <v>79</v>
      </c>
      <c r="G200" s="65" t="s">
        <v>20</v>
      </c>
      <c r="H200" s="65" t="s">
        <v>79</v>
      </c>
      <c r="I200" s="65" t="s">
        <v>270</v>
      </c>
      <c r="J200" s="65" t="s">
        <v>789</v>
      </c>
      <c r="K200" s="65" t="s">
        <v>287</v>
      </c>
      <c r="L200" s="74" t="s">
        <v>790</v>
      </c>
      <c r="M200" s="65">
        <f t="shared" si="12"/>
        <v>124</v>
      </c>
      <c r="N200" s="65" t="str">
        <f t="shared" si="13"/>
        <v>Uygun</v>
      </c>
      <c r="O200" s="65">
        <v>3</v>
      </c>
      <c r="P200" s="65" t="s">
        <v>760</v>
      </c>
    </row>
    <row r="201" spans="1:16" s="61" customFormat="1" ht="45" customHeight="1" x14ac:dyDescent="0.2">
      <c r="A201" s="59">
        <v>200</v>
      </c>
      <c r="B201" s="59" t="s">
        <v>791</v>
      </c>
      <c r="C201" s="59" t="s">
        <v>745</v>
      </c>
      <c r="D201" s="59" t="s">
        <v>18</v>
      </c>
      <c r="E201" s="59">
        <v>1</v>
      </c>
      <c r="F201" s="59" t="s">
        <v>79</v>
      </c>
      <c r="G201" s="59" t="s">
        <v>20</v>
      </c>
      <c r="H201" s="59" t="s">
        <v>123</v>
      </c>
      <c r="I201" s="59" t="s">
        <v>527</v>
      </c>
      <c r="J201" s="59" t="s">
        <v>792</v>
      </c>
      <c r="K201" s="59" t="s">
        <v>272</v>
      </c>
      <c r="L201" s="60" t="s">
        <v>793</v>
      </c>
      <c r="M201" s="59">
        <f t="shared" si="12"/>
        <v>130</v>
      </c>
      <c r="N201" s="59" t="str">
        <f t="shared" si="13"/>
        <v>Uygun</v>
      </c>
      <c r="O201" s="59">
        <v>4</v>
      </c>
      <c r="P201" s="59" t="s">
        <v>794</v>
      </c>
    </row>
    <row r="202" spans="1:16" s="58" customFormat="1" ht="60" customHeight="1" x14ac:dyDescent="0.2">
      <c r="A202" s="56">
        <v>201</v>
      </c>
      <c r="B202" s="56" t="s">
        <v>795</v>
      </c>
      <c r="C202" s="56" t="s">
        <v>745</v>
      </c>
      <c r="D202" s="56" t="s">
        <v>18</v>
      </c>
      <c r="E202" s="56">
        <v>1</v>
      </c>
      <c r="F202" s="56" t="s">
        <v>41</v>
      </c>
      <c r="G202" s="56" t="s">
        <v>28</v>
      </c>
      <c r="H202" s="56" t="s">
        <v>41</v>
      </c>
      <c r="I202" s="56" t="s">
        <v>784</v>
      </c>
      <c r="J202" s="56" t="s">
        <v>796</v>
      </c>
      <c r="K202" s="56" t="s">
        <v>278</v>
      </c>
      <c r="L202" s="57" t="s">
        <v>797</v>
      </c>
      <c r="M202" s="56">
        <f t="shared" si="12"/>
        <v>128</v>
      </c>
      <c r="N202" s="56" t="str">
        <f t="shared" si="13"/>
        <v>Uygun</v>
      </c>
      <c r="O202" s="56">
        <v>3</v>
      </c>
      <c r="P202" s="56" t="s">
        <v>787</v>
      </c>
    </row>
    <row r="203" spans="1:16" s="67" customFormat="1" ht="45" customHeight="1" x14ac:dyDescent="0.2">
      <c r="A203" s="65">
        <v>202</v>
      </c>
      <c r="B203" s="65" t="s">
        <v>798</v>
      </c>
      <c r="C203" s="65" t="s">
        <v>745</v>
      </c>
      <c r="D203" s="65" t="s">
        <v>18</v>
      </c>
      <c r="E203" s="65">
        <v>1</v>
      </c>
      <c r="F203" s="65" t="s">
        <v>79</v>
      </c>
      <c r="G203" s="65" t="s">
        <v>20</v>
      </c>
      <c r="H203" s="65" t="s">
        <v>93</v>
      </c>
      <c r="I203" s="65" t="s">
        <v>270</v>
      </c>
      <c r="J203" s="65" t="s">
        <v>799</v>
      </c>
      <c r="K203" s="65" t="s">
        <v>283</v>
      </c>
      <c r="L203" s="74" t="s">
        <v>800</v>
      </c>
      <c r="M203" s="65">
        <f t="shared" si="12"/>
        <v>130</v>
      </c>
      <c r="N203" s="65" t="str">
        <f t="shared" si="13"/>
        <v>Uygun</v>
      </c>
      <c r="O203" s="65">
        <v>4</v>
      </c>
      <c r="P203" s="65" t="s">
        <v>760</v>
      </c>
    </row>
    <row r="204" spans="1:16" s="73" customFormat="1" ht="30" customHeight="1" x14ac:dyDescent="0.2">
      <c r="A204" s="71">
        <v>203</v>
      </c>
      <c r="B204" s="71" t="s">
        <v>801</v>
      </c>
      <c r="C204" s="71" t="s">
        <v>745</v>
      </c>
      <c r="D204" s="71" t="s">
        <v>18</v>
      </c>
      <c r="E204" s="71">
        <v>1</v>
      </c>
      <c r="F204" s="71" t="s">
        <v>19</v>
      </c>
      <c r="G204" s="71" t="s">
        <v>28</v>
      </c>
      <c r="H204" s="71" t="s">
        <v>60</v>
      </c>
      <c r="I204" s="71" t="s">
        <v>579</v>
      </c>
      <c r="J204" s="71" t="s">
        <v>802</v>
      </c>
      <c r="K204" s="71" t="s">
        <v>287</v>
      </c>
      <c r="L204" s="72" t="s">
        <v>803</v>
      </c>
      <c r="M204" s="71">
        <f t="shared" si="12"/>
        <v>128</v>
      </c>
      <c r="N204" s="71" t="str">
        <f t="shared" si="13"/>
        <v>Uygun</v>
      </c>
      <c r="O204" s="71">
        <v>3</v>
      </c>
      <c r="P204" s="71" t="s">
        <v>804</v>
      </c>
    </row>
    <row r="205" spans="1:16" s="61" customFormat="1" ht="30" customHeight="1" x14ac:dyDescent="0.2">
      <c r="A205" s="59">
        <v>204</v>
      </c>
      <c r="B205" s="59" t="s">
        <v>805</v>
      </c>
      <c r="C205" s="59" t="s">
        <v>745</v>
      </c>
      <c r="D205" s="59" t="s">
        <v>18</v>
      </c>
      <c r="E205" s="59">
        <v>1</v>
      </c>
      <c r="F205" s="59" t="s">
        <v>19</v>
      </c>
      <c r="G205" s="59" t="s">
        <v>28</v>
      </c>
      <c r="H205" s="59" t="s">
        <v>21</v>
      </c>
      <c r="I205" s="59" t="s">
        <v>762</v>
      </c>
      <c r="J205" s="59" t="s">
        <v>806</v>
      </c>
      <c r="K205" s="59" t="s">
        <v>272</v>
      </c>
      <c r="L205" s="60" t="s">
        <v>807</v>
      </c>
      <c r="M205" s="59">
        <f t="shared" si="12"/>
        <v>123</v>
      </c>
      <c r="N205" s="59" t="str">
        <f t="shared" si="13"/>
        <v>Uygun</v>
      </c>
      <c r="O205" s="59">
        <v>4</v>
      </c>
      <c r="P205" s="59" t="s">
        <v>765</v>
      </c>
    </row>
    <row r="206" spans="1:16" s="64" customFormat="1" ht="30" customHeight="1" x14ac:dyDescent="0.2">
      <c r="A206" s="62">
        <v>205</v>
      </c>
      <c r="B206" s="62" t="s">
        <v>808</v>
      </c>
      <c r="C206" s="62" t="s">
        <v>745</v>
      </c>
      <c r="D206" s="62" t="s">
        <v>18</v>
      </c>
      <c r="E206" s="62">
        <v>1</v>
      </c>
      <c r="F206" s="62" t="s">
        <v>19</v>
      </c>
      <c r="G206" s="62" t="s">
        <v>28</v>
      </c>
      <c r="H206" s="62" t="s">
        <v>132</v>
      </c>
      <c r="I206" s="62" t="s">
        <v>770</v>
      </c>
      <c r="J206" s="62" t="s">
        <v>809</v>
      </c>
      <c r="K206" s="62" t="s">
        <v>278</v>
      </c>
      <c r="L206" s="63" t="s">
        <v>810</v>
      </c>
      <c r="M206" s="62">
        <f t="shared" si="12"/>
        <v>124</v>
      </c>
      <c r="N206" s="62" t="str">
        <f t="shared" si="13"/>
        <v>Uygun</v>
      </c>
      <c r="O206" s="62">
        <v>3</v>
      </c>
      <c r="P206" s="62" t="s">
        <v>773</v>
      </c>
    </row>
    <row r="207" spans="1:16" s="67" customFormat="1" ht="30" customHeight="1" x14ac:dyDescent="0.2">
      <c r="A207" s="65">
        <v>206</v>
      </c>
      <c r="B207" s="65" t="s">
        <v>811</v>
      </c>
      <c r="C207" s="65" t="s">
        <v>745</v>
      </c>
      <c r="D207" s="65" t="s">
        <v>18</v>
      </c>
      <c r="E207" s="65">
        <v>1</v>
      </c>
      <c r="F207" s="65" t="s">
        <v>212</v>
      </c>
      <c r="G207" s="65" t="s">
        <v>20</v>
      </c>
      <c r="H207" s="65" t="s">
        <v>231</v>
      </c>
      <c r="I207" s="65" t="s">
        <v>784</v>
      </c>
      <c r="J207" s="65" t="s">
        <v>812</v>
      </c>
      <c r="K207" s="65" t="s">
        <v>283</v>
      </c>
      <c r="L207" s="74" t="s">
        <v>813</v>
      </c>
      <c r="M207" s="65">
        <f t="shared" si="12"/>
        <v>117</v>
      </c>
      <c r="N207" s="65" t="str">
        <f t="shared" si="13"/>
        <v>Uygun</v>
      </c>
      <c r="O207" s="65">
        <v>4</v>
      </c>
      <c r="P207" s="65" t="s">
        <v>787</v>
      </c>
    </row>
    <row r="208" spans="1:16" s="73" customFormat="1" ht="30" customHeight="1" x14ac:dyDescent="0.2">
      <c r="A208" s="71">
        <v>207</v>
      </c>
      <c r="B208" s="71" t="s">
        <v>814</v>
      </c>
      <c r="C208" s="71" t="s">
        <v>745</v>
      </c>
      <c r="D208" s="71" t="s">
        <v>18</v>
      </c>
      <c r="E208" s="71">
        <v>1</v>
      </c>
      <c r="F208" s="71" t="s">
        <v>79</v>
      </c>
      <c r="G208" s="71" t="s">
        <v>20</v>
      </c>
      <c r="H208" s="71" t="s">
        <v>79</v>
      </c>
      <c r="I208" s="71" t="s">
        <v>270</v>
      </c>
      <c r="J208" s="71" t="s">
        <v>815</v>
      </c>
      <c r="K208" s="71" t="s">
        <v>287</v>
      </c>
      <c r="L208" s="72" t="s">
        <v>816</v>
      </c>
      <c r="M208" s="71">
        <f t="shared" si="12"/>
        <v>120</v>
      </c>
      <c r="N208" s="71" t="str">
        <f t="shared" si="13"/>
        <v>Uygun</v>
      </c>
      <c r="O208" s="71">
        <v>3</v>
      </c>
      <c r="P208" s="71" t="s">
        <v>760</v>
      </c>
    </row>
    <row r="209" spans="1:16" s="55" customFormat="1" ht="30" customHeight="1" x14ac:dyDescent="0.2">
      <c r="A209" s="53">
        <v>208</v>
      </c>
      <c r="B209" s="53" t="s">
        <v>817</v>
      </c>
      <c r="C209" s="53" t="s">
        <v>745</v>
      </c>
      <c r="D209" s="53" t="s">
        <v>18</v>
      </c>
      <c r="E209" s="53">
        <v>1</v>
      </c>
      <c r="F209" s="53" t="s">
        <v>19</v>
      </c>
      <c r="G209" s="53" t="s">
        <v>28</v>
      </c>
      <c r="H209" s="53" t="s">
        <v>60</v>
      </c>
      <c r="I209" s="53" t="s">
        <v>762</v>
      </c>
      <c r="J209" s="53" t="s">
        <v>818</v>
      </c>
      <c r="K209" s="53" t="s">
        <v>272</v>
      </c>
      <c r="L209" s="54" t="s">
        <v>819</v>
      </c>
      <c r="M209" s="53">
        <f t="shared" ref="M209:M240" si="14">LEN(L209)</f>
        <v>127</v>
      </c>
      <c r="N209" s="53" t="str">
        <f t="shared" ref="N209:N240" si="15">IF(L209="","Eksik",IF(M209&lt;=130,"Uygun","130 karakteri aşıyor"))</f>
        <v>Uygun</v>
      </c>
      <c r="O209" s="53">
        <v>4</v>
      </c>
      <c r="P209" s="53" t="s">
        <v>765</v>
      </c>
    </row>
    <row r="210" spans="1:16" s="73" customFormat="1" ht="30" customHeight="1" x14ac:dyDescent="0.2">
      <c r="A210" s="71">
        <v>209</v>
      </c>
      <c r="B210" s="71" t="s">
        <v>820</v>
      </c>
      <c r="C210" s="71" t="s">
        <v>745</v>
      </c>
      <c r="D210" s="71" t="s">
        <v>18</v>
      </c>
      <c r="E210" s="71">
        <v>1</v>
      </c>
      <c r="F210" s="71" t="s">
        <v>19</v>
      </c>
      <c r="G210" s="71" t="s">
        <v>28</v>
      </c>
      <c r="H210" s="71" t="s">
        <v>154</v>
      </c>
      <c r="I210" s="71" t="s">
        <v>762</v>
      </c>
      <c r="J210" s="71" t="s">
        <v>821</v>
      </c>
      <c r="K210" s="71" t="s">
        <v>278</v>
      </c>
      <c r="L210" s="72" t="s">
        <v>822</v>
      </c>
      <c r="M210" s="71">
        <f t="shared" si="14"/>
        <v>122</v>
      </c>
      <c r="N210" s="71" t="str">
        <f t="shared" si="15"/>
        <v>Uygun</v>
      </c>
      <c r="O210" s="71">
        <v>3</v>
      </c>
      <c r="P210" s="71" t="s">
        <v>765</v>
      </c>
    </row>
    <row r="211" spans="1:16" s="67" customFormat="1" ht="30" customHeight="1" x14ac:dyDescent="0.2">
      <c r="A211" s="65">
        <v>210</v>
      </c>
      <c r="B211" s="65" t="s">
        <v>823</v>
      </c>
      <c r="C211" s="65" t="s">
        <v>745</v>
      </c>
      <c r="D211" s="65" t="s">
        <v>18</v>
      </c>
      <c r="E211" s="65">
        <v>1</v>
      </c>
      <c r="F211" s="65" t="s">
        <v>19</v>
      </c>
      <c r="G211" s="65" t="s">
        <v>28</v>
      </c>
      <c r="H211" s="65" t="s">
        <v>110</v>
      </c>
      <c r="I211" s="65" t="s">
        <v>762</v>
      </c>
      <c r="J211" s="65" t="s">
        <v>824</v>
      </c>
      <c r="K211" s="65" t="s">
        <v>283</v>
      </c>
      <c r="L211" s="74" t="s">
        <v>825</v>
      </c>
      <c r="M211" s="65">
        <f t="shared" si="14"/>
        <v>124</v>
      </c>
      <c r="N211" s="65" t="str">
        <f t="shared" si="15"/>
        <v>Uygun</v>
      </c>
      <c r="O211" s="65">
        <v>4</v>
      </c>
      <c r="P211" s="65" t="s">
        <v>765</v>
      </c>
    </row>
    <row r="212" spans="1:16" s="55" customFormat="1" ht="30" customHeight="1" x14ac:dyDescent="0.2">
      <c r="A212" s="53">
        <v>211</v>
      </c>
      <c r="B212" s="53" t="s">
        <v>826</v>
      </c>
      <c r="C212" s="53" t="s">
        <v>745</v>
      </c>
      <c r="D212" s="53" t="s">
        <v>18</v>
      </c>
      <c r="E212" s="53">
        <v>1</v>
      </c>
      <c r="F212" s="53" t="s">
        <v>41</v>
      </c>
      <c r="G212" s="53" t="s">
        <v>28</v>
      </c>
      <c r="H212" s="53" t="s">
        <v>53</v>
      </c>
      <c r="I212" s="53" t="s">
        <v>784</v>
      </c>
      <c r="J212" s="53" t="s">
        <v>827</v>
      </c>
      <c r="K212" s="53" t="s">
        <v>287</v>
      </c>
      <c r="L212" s="54" t="s">
        <v>828</v>
      </c>
      <c r="M212" s="53">
        <f t="shared" si="14"/>
        <v>119</v>
      </c>
      <c r="N212" s="53" t="str">
        <f t="shared" si="15"/>
        <v>Uygun</v>
      </c>
      <c r="O212" s="53">
        <v>3</v>
      </c>
      <c r="P212" s="53" t="s">
        <v>787</v>
      </c>
    </row>
    <row r="213" spans="1:16" s="61" customFormat="1" ht="30" customHeight="1" x14ac:dyDescent="0.2">
      <c r="A213" s="59">
        <v>212</v>
      </c>
      <c r="B213" s="59" t="s">
        <v>829</v>
      </c>
      <c r="C213" s="59" t="s">
        <v>745</v>
      </c>
      <c r="D213" s="59" t="s">
        <v>18</v>
      </c>
      <c r="E213" s="59">
        <v>1</v>
      </c>
      <c r="F213" s="59" t="s">
        <v>19</v>
      </c>
      <c r="G213" s="59" t="s">
        <v>28</v>
      </c>
      <c r="H213" s="59" t="s">
        <v>174</v>
      </c>
      <c r="I213" s="59" t="s">
        <v>762</v>
      </c>
      <c r="J213" s="59" t="s">
        <v>830</v>
      </c>
      <c r="K213" s="59" t="s">
        <v>272</v>
      </c>
      <c r="L213" s="60" t="s">
        <v>831</v>
      </c>
      <c r="M213" s="59">
        <f t="shared" si="14"/>
        <v>117</v>
      </c>
      <c r="N213" s="59" t="str">
        <f t="shared" si="15"/>
        <v>Uygun</v>
      </c>
      <c r="O213" s="59">
        <v>4</v>
      </c>
      <c r="P213" s="59" t="s">
        <v>765</v>
      </c>
    </row>
    <row r="214" spans="1:16" s="58" customFormat="1" ht="30" customHeight="1" x14ac:dyDescent="0.2">
      <c r="A214" s="56">
        <v>213</v>
      </c>
      <c r="B214" s="56" t="s">
        <v>832</v>
      </c>
      <c r="C214" s="56" t="s">
        <v>745</v>
      </c>
      <c r="D214" s="56" t="s">
        <v>18</v>
      </c>
      <c r="E214" s="56">
        <v>1</v>
      </c>
      <c r="F214" s="56" t="s">
        <v>19</v>
      </c>
      <c r="G214" s="56" t="s">
        <v>28</v>
      </c>
      <c r="H214" s="56" t="s">
        <v>73</v>
      </c>
      <c r="I214" s="56" t="s">
        <v>762</v>
      </c>
      <c r="J214" s="56" t="s">
        <v>833</v>
      </c>
      <c r="K214" s="56" t="s">
        <v>278</v>
      </c>
      <c r="L214" s="75" t="s">
        <v>834</v>
      </c>
      <c r="M214" s="56">
        <f t="shared" si="14"/>
        <v>124</v>
      </c>
      <c r="N214" s="56" t="str">
        <f t="shared" si="15"/>
        <v>Uygun</v>
      </c>
      <c r="O214" s="56">
        <v>3</v>
      </c>
      <c r="P214" s="56" t="s">
        <v>765</v>
      </c>
    </row>
    <row r="215" spans="1:16" s="67" customFormat="1" ht="30" customHeight="1" x14ac:dyDescent="0.2">
      <c r="A215" s="65">
        <v>214</v>
      </c>
      <c r="B215" s="65" t="s">
        <v>835</v>
      </c>
      <c r="C215" s="65" t="s">
        <v>745</v>
      </c>
      <c r="D215" s="65" t="s">
        <v>18</v>
      </c>
      <c r="E215" s="65">
        <v>1</v>
      </c>
      <c r="F215" s="65" t="s">
        <v>19</v>
      </c>
      <c r="G215" s="65" t="s">
        <v>28</v>
      </c>
      <c r="H215" s="65" t="s">
        <v>174</v>
      </c>
      <c r="I215" s="65" t="s">
        <v>762</v>
      </c>
      <c r="J215" s="65" t="s">
        <v>836</v>
      </c>
      <c r="K215" s="65" t="s">
        <v>283</v>
      </c>
      <c r="L215" s="74" t="s">
        <v>837</v>
      </c>
      <c r="M215" s="65">
        <f t="shared" si="14"/>
        <v>125</v>
      </c>
      <c r="N215" s="65" t="str">
        <f t="shared" si="15"/>
        <v>Uygun</v>
      </c>
      <c r="O215" s="65">
        <v>4</v>
      </c>
      <c r="P215" s="65" t="s">
        <v>765</v>
      </c>
    </row>
    <row r="216" spans="1:16" s="61" customFormat="1" ht="30" customHeight="1" x14ac:dyDescent="0.2">
      <c r="A216" s="59">
        <v>215</v>
      </c>
      <c r="B216" s="59" t="s">
        <v>838</v>
      </c>
      <c r="C216" s="59" t="s">
        <v>745</v>
      </c>
      <c r="D216" s="59" t="s">
        <v>18</v>
      </c>
      <c r="E216" s="59">
        <v>1</v>
      </c>
      <c r="F216" s="59" t="s">
        <v>19</v>
      </c>
      <c r="G216" s="59" t="s">
        <v>28</v>
      </c>
      <c r="H216" s="59" t="s">
        <v>132</v>
      </c>
      <c r="I216" s="59" t="s">
        <v>762</v>
      </c>
      <c r="J216" s="59" t="s">
        <v>839</v>
      </c>
      <c r="K216" s="59" t="s">
        <v>287</v>
      </c>
      <c r="L216" s="60" t="s">
        <v>840</v>
      </c>
      <c r="M216" s="59">
        <f t="shared" si="14"/>
        <v>125</v>
      </c>
      <c r="N216" s="59" t="str">
        <f t="shared" si="15"/>
        <v>Uygun</v>
      </c>
      <c r="O216" s="59">
        <v>3</v>
      </c>
      <c r="P216" s="59" t="s">
        <v>765</v>
      </c>
    </row>
    <row r="217" spans="1:16" s="73" customFormat="1" ht="30" customHeight="1" x14ac:dyDescent="0.2">
      <c r="A217" s="71">
        <v>216</v>
      </c>
      <c r="B217" s="71" t="s">
        <v>841</v>
      </c>
      <c r="C217" s="71" t="s">
        <v>745</v>
      </c>
      <c r="D217" s="71" t="s">
        <v>18</v>
      </c>
      <c r="E217" s="71">
        <v>1</v>
      </c>
      <c r="F217" s="71" t="s">
        <v>19</v>
      </c>
      <c r="G217" s="71" t="s">
        <v>20</v>
      </c>
      <c r="H217" s="71" t="s">
        <v>110</v>
      </c>
      <c r="I217" s="71" t="s">
        <v>762</v>
      </c>
      <c r="J217" s="71" t="s">
        <v>842</v>
      </c>
      <c r="K217" s="71" t="s">
        <v>272</v>
      </c>
      <c r="L217" s="72" t="s">
        <v>843</v>
      </c>
      <c r="M217" s="71">
        <f t="shared" si="14"/>
        <v>130</v>
      </c>
      <c r="N217" s="71" t="str">
        <f t="shared" si="15"/>
        <v>Uygun</v>
      </c>
      <c r="O217" s="71">
        <v>4</v>
      </c>
      <c r="P217" s="71" t="s">
        <v>765</v>
      </c>
    </row>
    <row r="218" spans="1:16" s="67" customFormat="1" ht="30" customHeight="1" x14ac:dyDescent="0.2">
      <c r="A218" s="65">
        <v>217</v>
      </c>
      <c r="B218" s="65" t="s">
        <v>844</v>
      </c>
      <c r="C218" s="65" t="s">
        <v>745</v>
      </c>
      <c r="D218" s="65" t="s">
        <v>18</v>
      </c>
      <c r="E218" s="65">
        <v>1</v>
      </c>
      <c r="F218" s="65" t="s">
        <v>41</v>
      </c>
      <c r="G218" s="65" t="s">
        <v>20</v>
      </c>
      <c r="H218" s="65" t="s">
        <v>41</v>
      </c>
      <c r="I218" s="65" t="s">
        <v>784</v>
      </c>
      <c r="J218" s="65" t="s">
        <v>845</v>
      </c>
      <c r="K218" s="65" t="s">
        <v>278</v>
      </c>
      <c r="L218" s="74" t="s">
        <v>846</v>
      </c>
      <c r="M218" s="65">
        <f t="shared" si="14"/>
        <v>127</v>
      </c>
      <c r="N218" s="65" t="str">
        <f t="shared" si="15"/>
        <v>Uygun</v>
      </c>
      <c r="O218" s="65">
        <v>3</v>
      </c>
      <c r="P218" s="65" t="s">
        <v>787</v>
      </c>
    </row>
    <row r="219" spans="1:16" ht="45" customHeight="1" x14ac:dyDescent="0.2">
      <c r="A219" s="56">
        <v>218</v>
      </c>
      <c r="B219" s="56" t="s">
        <v>847</v>
      </c>
      <c r="C219" s="56" t="s">
        <v>745</v>
      </c>
      <c r="D219" s="56" t="s">
        <v>18</v>
      </c>
      <c r="E219" s="56">
        <v>1</v>
      </c>
      <c r="F219" s="56" t="s">
        <v>41</v>
      </c>
      <c r="G219" s="56" t="s">
        <v>28</v>
      </c>
      <c r="H219" s="56" t="s">
        <v>41</v>
      </c>
      <c r="I219" s="56" t="s">
        <v>784</v>
      </c>
      <c r="J219" s="56" t="s">
        <v>848</v>
      </c>
      <c r="K219" s="56" t="s">
        <v>283</v>
      </c>
      <c r="L219" s="57" t="s">
        <v>849</v>
      </c>
      <c r="M219" s="56">
        <f t="shared" si="14"/>
        <v>117</v>
      </c>
      <c r="N219" s="56" t="str">
        <f t="shared" si="15"/>
        <v>Uygun</v>
      </c>
      <c r="O219" s="56">
        <v>4</v>
      </c>
      <c r="P219" s="56" t="s">
        <v>787</v>
      </c>
    </row>
    <row r="220" spans="1:16" s="55" customFormat="1" ht="30" customHeight="1" x14ac:dyDescent="0.2">
      <c r="A220" s="53">
        <v>219</v>
      </c>
      <c r="B220" s="53" t="s">
        <v>850</v>
      </c>
      <c r="C220" s="53" t="s">
        <v>745</v>
      </c>
      <c r="D220" s="53" t="s">
        <v>18</v>
      </c>
      <c r="E220" s="53">
        <v>1</v>
      </c>
      <c r="F220" s="53" t="s">
        <v>79</v>
      </c>
      <c r="G220" s="53" t="s">
        <v>269</v>
      </c>
      <c r="H220" s="53" t="s">
        <v>93</v>
      </c>
      <c r="I220" s="53" t="s">
        <v>270</v>
      </c>
      <c r="J220" s="53" t="s">
        <v>851</v>
      </c>
      <c r="K220" s="53" t="s">
        <v>287</v>
      </c>
      <c r="L220" s="54" t="s">
        <v>852</v>
      </c>
      <c r="M220" s="53">
        <f t="shared" si="14"/>
        <v>126</v>
      </c>
      <c r="N220" s="53" t="str">
        <f t="shared" si="15"/>
        <v>Uygun</v>
      </c>
      <c r="O220" s="53">
        <v>3</v>
      </c>
      <c r="P220" s="53" t="s">
        <v>760</v>
      </c>
    </row>
    <row r="221" spans="1:16" ht="45" customHeight="1" x14ac:dyDescent="0.2">
      <c r="A221" s="42">
        <v>220</v>
      </c>
      <c r="B221" s="42" t="s">
        <v>853</v>
      </c>
      <c r="C221" s="42" t="s">
        <v>745</v>
      </c>
      <c r="D221" s="42" t="s">
        <v>163</v>
      </c>
      <c r="E221" s="42">
        <v>2</v>
      </c>
      <c r="F221" s="42" t="s">
        <v>79</v>
      </c>
      <c r="G221" s="42" t="s">
        <v>28</v>
      </c>
      <c r="H221" s="42" t="s">
        <v>79</v>
      </c>
      <c r="I221" s="42" t="s">
        <v>378</v>
      </c>
      <c r="J221" s="42" t="s">
        <v>854</v>
      </c>
      <c r="K221" s="42" t="s">
        <v>380</v>
      </c>
      <c r="L221" s="43" t="s">
        <v>855</v>
      </c>
      <c r="M221" s="42">
        <f t="shared" si="14"/>
        <v>127</v>
      </c>
      <c r="N221" s="42" t="str">
        <f t="shared" si="15"/>
        <v>Uygun</v>
      </c>
      <c r="O221" s="42">
        <v>5</v>
      </c>
      <c r="P221" s="42" t="s">
        <v>856</v>
      </c>
    </row>
    <row r="222" spans="1:16" ht="30" customHeight="1" x14ac:dyDescent="0.2">
      <c r="A222" s="42">
        <v>221</v>
      </c>
      <c r="B222" s="42" t="s">
        <v>857</v>
      </c>
      <c r="C222" s="42" t="s">
        <v>745</v>
      </c>
      <c r="D222" s="42" t="s">
        <v>163</v>
      </c>
      <c r="E222" s="42">
        <v>2</v>
      </c>
      <c r="F222" s="42" t="s">
        <v>19</v>
      </c>
      <c r="G222" s="42" t="s">
        <v>269</v>
      </c>
      <c r="H222" s="42" t="s">
        <v>110</v>
      </c>
      <c r="I222" s="42" t="s">
        <v>398</v>
      </c>
      <c r="J222" s="42" t="s">
        <v>858</v>
      </c>
      <c r="K222" s="42" t="s">
        <v>385</v>
      </c>
      <c r="L222" s="43" t="s">
        <v>859</v>
      </c>
      <c r="M222" s="42">
        <f t="shared" si="14"/>
        <v>122</v>
      </c>
      <c r="N222" s="42" t="str">
        <f t="shared" si="15"/>
        <v>Uygun</v>
      </c>
      <c r="O222" s="42">
        <v>5</v>
      </c>
      <c r="P222" s="42" t="s">
        <v>860</v>
      </c>
    </row>
    <row r="223" spans="1:16" ht="30" customHeight="1" x14ac:dyDescent="0.2">
      <c r="A223" s="42">
        <v>222</v>
      </c>
      <c r="B223" s="42" t="s">
        <v>861</v>
      </c>
      <c r="C223" s="42" t="s">
        <v>745</v>
      </c>
      <c r="D223" s="42" t="s">
        <v>163</v>
      </c>
      <c r="E223" s="42">
        <v>2</v>
      </c>
      <c r="F223" s="42" t="s">
        <v>19</v>
      </c>
      <c r="G223" s="42" t="s">
        <v>20</v>
      </c>
      <c r="H223" s="42" t="s">
        <v>47</v>
      </c>
      <c r="I223" s="42" t="s">
        <v>650</v>
      </c>
      <c r="J223" s="42" t="s">
        <v>862</v>
      </c>
      <c r="K223" s="42" t="s">
        <v>389</v>
      </c>
      <c r="L223" s="43" t="s">
        <v>863</v>
      </c>
      <c r="M223" s="42">
        <f t="shared" si="14"/>
        <v>120</v>
      </c>
      <c r="N223" s="42" t="str">
        <f t="shared" si="15"/>
        <v>Uygun</v>
      </c>
      <c r="O223" s="42">
        <v>5</v>
      </c>
      <c r="P223" s="42" t="s">
        <v>864</v>
      </c>
    </row>
    <row r="224" spans="1:16" ht="30" customHeight="1" x14ac:dyDescent="0.2">
      <c r="A224" s="42">
        <v>223</v>
      </c>
      <c r="B224" s="42" t="s">
        <v>865</v>
      </c>
      <c r="C224" s="42" t="s">
        <v>745</v>
      </c>
      <c r="D224" s="42" t="s">
        <v>163</v>
      </c>
      <c r="E224" s="42">
        <v>2</v>
      </c>
      <c r="F224" s="42" t="s">
        <v>19</v>
      </c>
      <c r="G224" s="42" t="s">
        <v>28</v>
      </c>
      <c r="H224" s="42" t="s">
        <v>123</v>
      </c>
      <c r="I224" s="42" t="s">
        <v>398</v>
      </c>
      <c r="J224" s="42" t="s">
        <v>866</v>
      </c>
      <c r="K224" s="42" t="s">
        <v>394</v>
      </c>
      <c r="L224" s="43" t="s">
        <v>867</v>
      </c>
      <c r="M224" s="42">
        <f t="shared" si="14"/>
        <v>117</v>
      </c>
      <c r="N224" s="42" t="str">
        <f t="shared" si="15"/>
        <v>Uygun</v>
      </c>
      <c r="O224" s="42">
        <v>5</v>
      </c>
      <c r="P224" s="42" t="s">
        <v>860</v>
      </c>
    </row>
    <row r="225" spans="1:16" ht="45" customHeight="1" x14ac:dyDescent="0.2">
      <c r="A225" s="42">
        <v>224</v>
      </c>
      <c r="B225" s="42" t="s">
        <v>868</v>
      </c>
      <c r="C225" s="42" t="s">
        <v>745</v>
      </c>
      <c r="D225" s="42" t="s">
        <v>163</v>
      </c>
      <c r="E225" s="42">
        <v>2</v>
      </c>
      <c r="F225" s="42" t="s">
        <v>412</v>
      </c>
      <c r="G225" s="42" t="s">
        <v>269</v>
      </c>
      <c r="H225" s="42" t="s">
        <v>21</v>
      </c>
      <c r="I225" s="42" t="s">
        <v>621</v>
      </c>
      <c r="J225" s="42" t="s">
        <v>869</v>
      </c>
      <c r="K225" s="42" t="s">
        <v>380</v>
      </c>
      <c r="L225" s="43" t="s">
        <v>870</v>
      </c>
      <c r="M225" s="42">
        <f t="shared" si="14"/>
        <v>117</v>
      </c>
      <c r="N225" s="42" t="str">
        <f t="shared" si="15"/>
        <v>Uygun</v>
      </c>
      <c r="O225" s="42">
        <v>5</v>
      </c>
      <c r="P225" s="42" t="s">
        <v>871</v>
      </c>
    </row>
    <row r="226" spans="1:16" ht="45" customHeight="1" x14ac:dyDescent="0.2">
      <c r="A226" s="42">
        <v>225</v>
      </c>
      <c r="B226" s="42" t="s">
        <v>872</v>
      </c>
      <c r="C226" s="42" t="s">
        <v>745</v>
      </c>
      <c r="D226" s="42" t="s">
        <v>163</v>
      </c>
      <c r="E226" s="42">
        <v>2</v>
      </c>
      <c r="F226" s="42" t="s">
        <v>79</v>
      </c>
      <c r="G226" s="42" t="s">
        <v>28</v>
      </c>
      <c r="H226" s="42" t="s">
        <v>79</v>
      </c>
      <c r="I226" s="42" t="s">
        <v>378</v>
      </c>
      <c r="J226" s="42" t="s">
        <v>873</v>
      </c>
      <c r="K226" s="42" t="s">
        <v>385</v>
      </c>
      <c r="L226" s="43" t="s">
        <v>874</v>
      </c>
      <c r="M226" s="42">
        <f t="shared" si="14"/>
        <v>124</v>
      </c>
      <c r="N226" s="42" t="str">
        <f t="shared" si="15"/>
        <v>Uygun</v>
      </c>
      <c r="O226" s="42">
        <v>5</v>
      </c>
      <c r="P226" s="42" t="s">
        <v>856</v>
      </c>
    </row>
    <row r="227" spans="1:16" ht="30" customHeight="1" x14ac:dyDescent="0.2">
      <c r="A227" s="42">
        <v>226</v>
      </c>
      <c r="B227" s="42" t="s">
        <v>875</v>
      </c>
      <c r="C227" s="42" t="s">
        <v>745</v>
      </c>
      <c r="D227" s="42" t="s">
        <v>163</v>
      </c>
      <c r="E227" s="42">
        <v>2</v>
      </c>
      <c r="F227" s="42" t="s">
        <v>412</v>
      </c>
      <c r="G227" s="42" t="s">
        <v>28</v>
      </c>
      <c r="H227" s="42" t="s">
        <v>93</v>
      </c>
      <c r="I227" s="42" t="s">
        <v>876</v>
      </c>
      <c r="J227" s="42" t="s">
        <v>877</v>
      </c>
      <c r="K227" s="42" t="s">
        <v>389</v>
      </c>
      <c r="L227" s="43" t="s">
        <v>878</v>
      </c>
      <c r="M227" s="42">
        <f t="shared" si="14"/>
        <v>128</v>
      </c>
      <c r="N227" s="42" t="str">
        <f t="shared" si="15"/>
        <v>Uygun</v>
      </c>
      <c r="O227" s="42">
        <v>5</v>
      </c>
      <c r="P227" s="42" t="s">
        <v>879</v>
      </c>
    </row>
    <row r="228" spans="1:16" ht="30" customHeight="1" x14ac:dyDescent="0.2">
      <c r="A228" s="42">
        <v>227</v>
      </c>
      <c r="B228" s="42" t="s">
        <v>880</v>
      </c>
      <c r="C228" s="42" t="s">
        <v>745</v>
      </c>
      <c r="D228" s="42" t="s">
        <v>163</v>
      </c>
      <c r="E228" s="42">
        <v>2</v>
      </c>
      <c r="F228" s="42" t="s">
        <v>41</v>
      </c>
      <c r="G228" s="42" t="s">
        <v>20</v>
      </c>
      <c r="H228" s="42" t="s">
        <v>60</v>
      </c>
      <c r="I228" s="42" t="s">
        <v>881</v>
      </c>
      <c r="J228" s="42" t="s">
        <v>882</v>
      </c>
      <c r="K228" s="42" t="s">
        <v>394</v>
      </c>
      <c r="L228" s="43" t="s">
        <v>883</v>
      </c>
      <c r="M228" s="42">
        <f t="shared" si="14"/>
        <v>125</v>
      </c>
      <c r="N228" s="42" t="str">
        <f t="shared" si="15"/>
        <v>Uygun</v>
      </c>
      <c r="O228" s="42">
        <v>5</v>
      </c>
      <c r="P228" s="42" t="s">
        <v>884</v>
      </c>
    </row>
    <row r="229" spans="1:16" ht="30" customHeight="1" x14ac:dyDescent="0.2">
      <c r="A229" s="42">
        <v>228</v>
      </c>
      <c r="B229" s="42" t="s">
        <v>885</v>
      </c>
      <c r="C229" s="42" t="s">
        <v>745</v>
      </c>
      <c r="D229" s="42" t="s">
        <v>163</v>
      </c>
      <c r="E229" s="42">
        <v>2</v>
      </c>
      <c r="F229" s="42" t="s">
        <v>356</v>
      </c>
      <c r="G229" s="42" t="s">
        <v>28</v>
      </c>
      <c r="H229" s="42" t="s">
        <v>34</v>
      </c>
      <c r="I229" s="42" t="s">
        <v>398</v>
      </c>
      <c r="J229" s="42" t="s">
        <v>886</v>
      </c>
      <c r="K229" s="42" t="s">
        <v>380</v>
      </c>
      <c r="L229" s="43" t="s">
        <v>887</v>
      </c>
      <c r="M229" s="42">
        <f t="shared" si="14"/>
        <v>117</v>
      </c>
      <c r="N229" s="42" t="str">
        <f t="shared" si="15"/>
        <v>Uygun</v>
      </c>
      <c r="O229" s="42">
        <v>5</v>
      </c>
      <c r="P229" s="42" t="s">
        <v>860</v>
      </c>
    </row>
    <row r="230" spans="1:16" ht="45" customHeight="1" x14ac:dyDescent="0.2">
      <c r="A230" s="42">
        <v>229</v>
      </c>
      <c r="B230" s="42" t="s">
        <v>888</v>
      </c>
      <c r="C230" s="42" t="s">
        <v>745</v>
      </c>
      <c r="D230" s="42" t="s">
        <v>163</v>
      </c>
      <c r="E230" s="42">
        <v>2</v>
      </c>
      <c r="F230" s="42" t="s">
        <v>212</v>
      </c>
      <c r="G230" s="42" t="s">
        <v>28</v>
      </c>
      <c r="H230" s="42" t="s">
        <v>123</v>
      </c>
      <c r="I230" s="42" t="s">
        <v>670</v>
      </c>
      <c r="J230" s="42" t="s">
        <v>889</v>
      </c>
      <c r="K230" s="42" t="s">
        <v>385</v>
      </c>
      <c r="L230" s="43" t="s">
        <v>890</v>
      </c>
      <c r="M230" s="42">
        <f t="shared" si="14"/>
        <v>122</v>
      </c>
      <c r="N230" s="42" t="str">
        <f t="shared" si="15"/>
        <v>Uygun</v>
      </c>
      <c r="O230" s="42">
        <v>5</v>
      </c>
      <c r="P230" s="42" t="s">
        <v>891</v>
      </c>
    </row>
    <row r="231" spans="1:16" ht="30" customHeight="1" x14ac:dyDescent="0.2">
      <c r="A231" s="42">
        <v>230</v>
      </c>
      <c r="B231" s="42" t="s">
        <v>892</v>
      </c>
      <c r="C231" s="42" t="s">
        <v>745</v>
      </c>
      <c r="D231" s="42" t="s">
        <v>163</v>
      </c>
      <c r="E231" s="42">
        <v>2</v>
      </c>
      <c r="F231" s="42" t="s">
        <v>41</v>
      </c>
      <c r="G231" s="42" t="s">
        <v>20</v>
      </c>
      <c r="H231" s="42" t="s">
        <v>53</v>
      </c>
      <c r="I231" s="42" t="s">
        <v>881</v>
      </c>
      <c r="J231" s="42" t="s">
        <v>893</v>
      </c>
      <c r="K231" s="42" t="s">
        <v>389</v>
      </c>
      <c r="L231" s="43" t="s">
        <v>894</v>
      </c>
      <c r="M231" s="42">
        <f t="shared" si="14"/>
        <v>127</v>
      </c>
      <c r="N231" s="42" t="str">
        <f t="shared" si="15"/>
        <v>Uygun</v>
      </c>
      <c r="O231" s="42">
        <v>5</v>
      </c>
      <c r="P231" s="42" t="s">
        <v>884</v>
      </c>
    </row>
    <row r="232" spans="1:16" ht="45" customHeight="1" x14ac:dyDescent="0.2">
      <c r="A232" s="42">
        <v>231</v>
      </c>
      <c r="B232" s="42" t="s">
        <v>895</v>
      </c>
      <c r="C232" s="42" t="s">
        <v>745</v>
      </c>
      <c r="D232" s="42" t="s">
        <v>163</v>
      </c>
      <c r="E232" s="42">
        <v>2</v>
      </c>
      <c r="F232" s="42" t="s">
        <v>41</v>
      </c>
      <c r="G232" s="42" t="s">
        <v>28</v>
      </c>
      <c r="H232" s="42" t="s">
        <v>73</v>
      </c>
      <c r="I232" s="42" t="s">
        <v>881</v>
      </c>
      <c r="J232" s="42" t="s">
        <v>896</v>
      </c>
      <c r="K232" s="42" t="s">
        <v>394</v>
      </c>
      <c r="L232" s="43" t="s">
        <v>897</v>
      </c>
      <c r="M232" s="42">
        <f t="shared" si="14"/>
        <v>126</v>
      </c>
      <c r="N232" s="42" t="str">
        <f t="shared" si="15"/>
        <v>Uygun</v>
      </c>
      <c r="O232" s="42">
        <v>5</v>
      </c>
      <c r="P232" s="42" t="s">
        <v>884</v>
      </c>
    </row>
    <row r="233" spans="1:16" ht="45" customHeight="1" x14ac:dyDescent="0.2">
      <c r="A233" s="42">
        <v>232</v>
      </c>
      <c r="B233" s="42" t="s">
        <v>898</v>
      </c>
      <c r="C233" s="42" t="s">
        <v>745</v>
      </c>
      <c r="D233" s="42" t="s">
        <v>163</v>
      </c>
      <c r="E233" s="42">
        <v>2</v>
      </c>
      <c r="F233" s="42" t="s">
        <v>79</v>
      </c>
      <c r="G233" s="42" t="s">
        <v>28</v>
      </c>
      <c r="H233" s="42" t="s">
        <v>79</v>
      </c>
      <c r="I233" s="42" t="s">
        <v>378</v>
      </c>
      <c r="J233" s="42" t="s">
        <v>899</v>
      </c>
      <c r="K233" s="42" t="s">
        <v>380</v>
      </c>
      <c r="L233" s="43" t="s">
        <v>900</v>
      </c>
      <c r="M233" s="42">
        <f t="shared" si="14"/>
        <v>115</v>
      </c>
      <c r="N233" s="42" t="str">
        <f t="shared" si="15"/>
        <v>Uygun</v>
      </c>
      <c r="O233" s="42">
        <v>5</v>
      </c>
      <c r="P233" s="42" t="s">
        <v>856</v>
      </c>
    </row>
    <row r="234" spans="1:16" ht="30" customHeight="1" x14ac:dyDescent="0.2">
      <c r="A234" s="42">
        <v>233</v>
      </c>
      <c r="B234" s="42" t="s">
        <v>901</v>
      </c>
      <c r="C234" s="42" t="s">
        <v>745</v>
      </c>
      <c r="D234" s="42" t="s">
        <v>163</v>
      </c>
      <c r="E234" s="42">
        <v>2</v>
      </c>
      <c r="F234" s="42" t="s">
        <v>41</v>
      </c>
      <c r="G234" s="42" t="s">
        <v>20</v>
      </c>
      <c r="H234" s="42" t="s">
        <v>110</v>
      </c>
      <c r="I234" s="42" t="s">
        <v>398</v>
      </c>
      <c r="J234" s="42" t="s">
        <v>902</v>
      </c>
      <c r="K234" s="42" t="s">
        <v>385</v>
      </c>
      <c r="L234" s="43" t="s">
        <v>903</v>
      </c>
      <c r="M234" s="42">
        <f t="shared" si="14"/>
        <v>122</v>
      </c>
      <c r="N234" s="42" t="str">
        <f t="shared" si="15"/>
        <v>Uygun</v>
      </c>
      <c r="O234" s="42">
        <v>5</v>
      </c>
      <c r="P234" s="42" t="s">
        <v>860</v>
      </c>
    </row>
    <row r="235" spans="1:16" ht="45" customHeight="1" x14ac:dyDescent="0.2">
      <c r="A235" s="42">
        <v>234</v>
      </c>
      <c r="B235" s="42" t="s">
        <v>904</v>
      </c>
      <c r="C235" s="42" t="s">
        <v>745</v>
      </c>
      <c r="D235" s="42" t="s">
        <v>163</v>
      </c>
      <c r="E235" s="42">
        <v>2</v>
      </c>
      <c r="F235" s="42" t="s">
        <v>245</v>
      </c>
      <c r="G235" s="42" t="s">
        <v>28</v>
      </c>
      <c r="H235" s="42" t="s">
        <v>34</v>
      </c>
      <c r="I235" s="42" t="s">
        <v>398</v>
      </c>
      <c r="J235" s="42" t="s">
        <v>905</v>
      </c>
      <c r="K235" s="42" t="s">
        <v>389</v>
      </c>
      <c r="L235" s="43" t="s">
        <v>906</v>
      </c>
      <c r="M235" s="42">
        <f t="shared" si="14"/>
        <v>181</v>
      </c>
      <c r="N235" s="42" t="str">
        <f t="shared" si="15"/>
        <v>130 karakteri aşıyor</v>
      </c>
      <c r="O235" s="42">
        <v>5</v>
      </c>
      <c r="P235" s="42" t="s">
        <v>860</v>
      </c>
    </row>
    <row r="236" spans="1:16" ht="45" customHeight="1" x14ac:dyDescent="0.2">
      <c r="A236" s="42">
        <v>235</v>
      </c>
      <c r="B236" s="42" t="s">
        <v>907</v>
      </c>
      <c r="C236" s="42" t="s">
        <v>745</v>
      </c>
      <c r="D236" s="42" t="s">
        <v>163</v>
      </c>
      <c r="E236" s="42">
        <v>2</v>
      </c>
      <c r="F236" s="42" t="s">
        <v>41</v>
      </c>
      <c r="G236" s="42" t="s">
        <v>269</v>
      </c>
      <c r="H236" s="42" t="s">
        <v>60</v>
      </c>
      <c r="I236" s="42" t="s">
        <v>665</v>
      </c>
      <c r="J236" s="42" t="s">
        <v>908</v>
      </c>
      <c r="K236" s="42" t="s">
        <v>394</v>
      </c>
      <c r="L236" s="43" t="s">
        <v>909</v>
      </c>
      <c r="M236" s="42">
        <f t="shared" si="14"/>
        <v>130</v>
      </c>
      <c r="N236" s="42" t="str">
        <f t="shared" si="15"/>
        <v>Uygun</v>
      </c>
      <c r="O236" s="42">
        <v>5</v>
      </c>
      <c r="P236" s="42" t="s">
        <v>910</v>
      </c>
    </row>
    <row r="237" spans="1:16" ht="45" customHeight="1" x14ac:dyDescent="0.2">
      <c r="A237" s="42">
        <v>236</v>
      </c>
      <c r="B237" s="42" t="s">
        <v>911</v>
      </c>
      <c r="C237" s="42" t="s">
        <v>745</v>
      </c>
      <c r="D237" s="42" t="s">
        <v>218</v>
      </c>
      <c r="E237" s="42">
        <v>3</v>
      </c>
      <c r="F237" s="42" t="s">
        <v>19</v>
      </c>
      <c r="G237" s="42" t="s">
        <v>20</v>
      </c>
      <c r="H237" s="42" t="s">
        <v>132</v>
      </c>
      <c r="I237" s="42" t="s">
        <v>912</v>
      </c>
      <c r="J237" s="42" t="s">
        <v>913</v>
      </c>
      <c r="K237" s="42" t="s">
        <v>441</v>
      </c>
      <c r="L237" s="43" t="s">
        <v>914</v>
      </c>
      <c r="M237" s="42">
        <f t="shared" si="14"/>
        <v>125</v>
      </c>
      <c r="N237" s="42" t="str">
        <f t="shared" si="15"/>
        <v>Uygun</v>
      </c>
      <c r="O237" s="42">
        <v>7</v>
      </c>
      <c r="P237" s="42" t="s">
        <v>915</v>
      </c>
    </row>
    <row r="238" spans="1:16" ht="45" customHeight="1" x14ac:dyDescent="0.2">
      <c r="A238" s="42">
        <v>237</v>
      </c>
      <c r="B238" s="42" t="s">
        <v>916</v>
      </c>
      <c r="C238" s="42" t="s">
        <v>745</v>
      </c>
      <c r="D238" s="42" t="s">
        <v>218</v>
      </c>
      <c r="E238" s="42">
        <v>3</v>
      </c>
      <c r="F238" s="42" t="s">
        <v>19</v>
      </c>
      <c r="G238" s="42" t="s">
        <v>269</v>
      </c>
      <c r="H238" s="42" t="s">
        <v>41</v>
      </c>
      <c r="I238" s="42" t="s">
        <v>912</v>
      </c>
      <c r="J238" s="42" t="s">
        <v>917</v>
      </c>
      <c r="K238" s="42" t="s">
        <v>447</v>
      </c>
      <c r="L238" s="43" t="s">
        <v>918</v>
      </c>
      <c r="M238" s="42">
        <f t="shared" si="14"/>
        <v>119</v>
      </c>
      <c r="N238" s="42" t="str">
        <f t="shared" si="15"/>
        <v>Uygun</v>
      </c>
      <c r="O238" s="42">
        <v>6</v>
      </c>
      <c r="P238" s="42" t="s">
        <v>915</v>
      </c>
    </row>
    <row r="239" spans="1:16" ht="30" customHeight="1" x14ac:dyDescent="0.2">
      <c r="A239" s="42">
        <v>238</v>
      </c>
      <c r="B239" s="42" t="s">
        <v>919</v>
      </c>
      <c r="C239" s="42" t="s">
        <v>745</v>
      </c>
      <c r="D239" s="42" t="s">
        <v>218</v>
      </c>
      <c r="E239" s="42">
        <v>3</v>
      </c>
      <c r="F239" s="42" t="s">
        <v>356</v>
      </c>
      <c r="G239" s="42" t="s">
        <v>20</v>
      </c>
      <c r="H239" s="42" t="s">
        <v>116</v>
      </c>
      <c r="I239" s="42" t="s">
        <v>920</v>
      </c>
      <c r="J239" s="42" t="s">
        <v>921</v>
      </c>
      <c r="K239" s="42" t="s">
        <v>453</v>
      </c>
      <c r="L239" s="43" t="s">
        <v>922</v>
      </c>
      <c r="M239" s="42">
        <f t="shared" si="14"/>
        <v>130</v>
      </c>
      <c r="N239" s="42" t="str">
        <f t="shared" si="15"/>
        <v>Uygun</v>
      </c>
      <c r="O239" s="42">
        <v>7</v>
      </c>
      <c r="P239" s="42" t="s">
        <v>923</v>
      </c>
    </row>
    <row r="240" spans="1:16" ht="30" customHeight="1" x14ac:dyDescent="0.2">
      <c r="A240" s="42">
        <v>239</v>
      </c>
      <c r="B240" s="42" t="s">
        <v>924</v>
      </c>
      <c r="C240" s="42" t="s">
        <v>745</v>
      </c>
      <c r="D240" s="42" t="s">
        <v>218</v>
      </c>
      <c r="E240" s="42">
        <v>3</v>
      </c>
      <c r="F240" s="42" t="s">
        <v>412</v>
      </c>
      <c r="G240" s="42" t="s">
        <v>28</v>
      </c>
      <c r="H240" s="42" t="s">
        <v>53</v>
      </c>
      <c r="I240" s="42" t="s">
        <v>701</v>
      </c>
      <c r="J240" s="42" t="s">
        <v>925</v>
      </c>
      <c r="K240" s="42" t="s">
        <v>458</v>
      </c>
      <c r="L240" s="43" t="s">
        <v>926</v>
      </c>
      <c r="M240" s="42">
        <f t="shared" si="14"/>
        <v>125</v>
      </c>
      <c r="N240" s="42" t="str">
        <f t="shared" si="15"/>
        <v>Uygun</v>
      </c>
      <c r="O240" s="42">
        <v>6</v>
      </c>
      <c r="P240" s="42" t="s">
        <v>927</v>
      </c>
    </row>
    <row r="241" spans="1:16" ht="60" customHeight="1" x14ac:dyDescent="0.2">
      <c r="A241" s="42">
        <v>240</v>
      </c>
      <c r="B241" s="42" t="s">
        <v>928</v>
      </c>
      <c r="C241" s="42" t="s">
        <v>745</v>
      </c>
      <c r="D241" s="42" t="s">
        <v>218</v>
      </c>
      <c r="E241" s="42">
        <v>3</v>
      </c>
      <c r="F241" s="42" t="s">
        <v>19</v>
      </c>
      <c r="G241" s="42" t="s">
        <v>28</v>
      </c>
      <c r="H241" s="42" t="s">
        <v>132</v>
      </c>
      <c r="I241" s="42" t="s">
        <v>912</v>
      </c>
      <c r="J241" s="42" t="s">
        <v>929</v>
      </c>
      <c r="K241" s="42" t="s">
        <v>441</v>
      </c>
      <c r="L241" s="43" t="s">
        <v>930</v>
      </c>
      <c r="M241" s="42">
        <f t="shared" ref="M241:M272" si="16">LEN(L241)</f>
        <v>117</v>
      </c>
      <c r="N241" s="42" t="str">
        <f t="shared" ref="N241:N272" si="17">IF(L241="","Eksik",IF(M241&lt;=130,"Uygun","130 karakteri aşıyor"))</f>
        <v>Uygun</v>
      </c>
      <c r="O241" s="42">
        <v>7</v>
      </c>
      <c r="P241" s="42" t="s">
        <v>915</v>
      </c>
    </row>
    <row r="242" spans="1:16" ht="30" customHeight="1" x14ac:dyDescent="0.2">
      <c r="A242" s="42">
        <v>241</v>
      </c>
      <c r="B242" s="42" t="s">
        <v>931</v>
      </c>
      <c r="C242" s="42" t="s">
        <v>745</v>
      </c>
      <c r="D242" s="42" t="s">
        <v>218</v>
      </c>
      <c r="E242" s="42">
        <v>3</v>
      </c>
      <c r="F242" s="42" t="s">
        <v>19</v>
      </c>
      <c r="G242" s="42" t="s">
        <v>28</v>
      </c>
      <c r="H242" s="42" t="s">
        <v>47</v>
      </c>
      <c r="I242" s="42" t="s">
        <v>687</v>
      </c>
      <c r="J242" s="42" t="s">
        <v>932</v>
      </c>
      <c r="K242" s="42" t="s">
        <v>447</v>
      </c>
      <c r="L242" s="43" t="s">
        <v>933</v>
      </c>
      <c r="M242" s="42">
        <f t="shared" si="16"/>
        <v>127</v>
      </c>
      <c r="N242" s="42" t="str">
        <f t="shared" si="17"/>
        <v>Uygun</v>
      </c>
      <c r="O242" s="42">
        <v>6</v>
      </c>
      <c r="P242" s="42" t="s">
        <v>934</v>
      </c>
    </row>
    <row r="243" spans="1:16" ht="45" customHeight="1" x14ac:dyDescent="0.2">
      <c r="A243" s="42">
        <v>242</v>
      </c>
      <c r="B243" s="42" t="s">
        <v>935</v>
      </c>
      <c r="C243" s="42" t="s">
        <v>745</v>
      </c>
      <c r="D243" s="42" t="s">
        <v>218</v>
      </c>
      <c r="E243" s="42">
        <v>3</v>
      </c>
      <c r="F243" s="42" t="s">
        <v>245</v>
      </c>
      <c r="G243" s="42" t="s">
        <v>20</v>
      </c>
      <c r="H243" s="42" t="s">
        <v>47</v>
      </c>
      <c r="I243" s="42" t="s">
        <v>687</v>
      </c>
      <c r="J243" s="42" t="s">
        <v>936</v>
      </c>
      <c r="K243" s="42" t="s">
        <v>453</v>
      </c>
      <c r="L243" s="43" t="s">
        <v>937</v>
      </c>
      <c r="M243" s="42">
        <f t="shared" si="16"/>
        <v>116</v>
      </c>
      <c r="N243" s="42" t="str">
        <f t="shared" si="17"/>
        <v>Uygun</v>
      </c>
      <c r="O243" s="42">
        <v>7</v>
      </c>
      <c r="P243" s="42" t="s">
        <v>934</v>
      </c>
    </row>
    <row r="244" spans="1:16" ht="30" customHeight="1" x14ac:dyDescent="0.2">
      <c r="A244" s="42">
        <v>243</v>
      </c>
      <c r="B244" s="42" t="s">
        <v>938</v>
      </c>
      <c r="C244" s="42" t="s">
        <v>745</v>
      </c>
      <c r="D244" s="42" t="s">
        <v>218</v>
      </c>
      <c r="E244" s="42">
        <v>3</v>
      </c>
      <c r="F244" s="42" t="s">
        <v>356</v>
      </c>
      <c r="G244" s="42" t="s">
        <v>20</v>
      </c>
      <c r="H244" s="42" t="s">
        <v>60</v>
      </c>
      <c r="I244" s="42" t="s">
        <v>939</v>
      </c>
      <c r="J244" s="42" t="s">
        <v>940</v>
      </c>
      <c r="K244" s="42" t="s">
        <v>458</v>
      </c>
      <c r="L244" s="43" t="s">
        <v>941</v>
      </c>
      <c r="M244" s="42">
        <f t="shared" si="16"/>
        <v>124</v>
      </c>
      <c r="N244" s="42" t="str">
        <f t="shared" si="17"/>
        <v>Uygun</v>
      </c>
      <c r="O244" s="42">
        <v>6</v>
      </c>
      <c r="P244" s="42" t="s">
        <v>942</v>
      </c>
    </row>
    <row r="245" spans="1:16" s="67" customFormat="1" ht="45" customHeight="1" x14ac:dyDescent="0.2">
      <c r="A245" s="65">
        <v>244</v>
      </c>
      <c r="B245" s="65" t="s">
        <v>943</v>
      </c>
      <c r="C245" s="65" t="s">
        <v>745</v>
      </c>
      <c r="D245" s="65" t="s">
        <v>244</v>
      </c>
      <c r="E245" s="65">
        <v>4</v>
      </c>
      <c r="F245" s="65" t="s">
        <v>40</v>
      </c>
      <c r="G245" s="65" t="s">
        <v>20</v>
      </c>
      <c r="H245" s="65" t="s">
        <v>231</v>
      </c>
      <c r="I245" s="65" t="s">
        <v>944</v>
      </c>
      <c r="J245" s="65" t="s">
        <v>945</v>
      </c>
      <c r="K245" s="65" t="s">
        <v>475</v>
      </c>
      <c r="L245" s="74" t="s">
        <v>946</v>
      </c>
      <c r="M245" s="65">
        <f t="shared" si="16"/>
        <v>121</v>
      </c>
      <c r="N245" s="65" t="str">
        <f t="shared" si="17"/>
        <v>Uygun</v>
      </c>
      <c r="O245" s="65">
        <v>8</v>
      </c>
      <c r="P245" s="65" t="s">
        <v>947</v>
      </c>
    </row>
    <row r="246" spans="1:16" s="61" customFormat="1" ht="45" customHeight="1" x14ac:dyDescent="0.2">
      <c r="A246" s="59">
        <v>245</v>
      </c>
      <c r="B246" s="59" t="s">
        <v>948</v>
      </c>
      <c r="C246" s="59" t="s">
        <v>745</v>
      </c>
      <c r="D246" s="59" t="s">
        <v>244</v>
      </c>
      <c r="E246" s="59">
        <v>4</v>
      </c>
      <c r="F246" s="59" t="s">
        <v>19</v>
      </c>
      <c r="G246" s="59" t="s">
        <v>269</v>
      </c>
      <c r="H246" s="59" t="s">
        <v>21</v>
      </c>
      <c r="I246" s="59" t="s">
        <v>949</v>
      </c>
      <c r="J246" s="59" t="s">
        <v>950</v>
      </c>
      <c r="K246" s="59" t="s">
        <v>481</v>
      </c>
      <c r="L246" s="60" t="s">
        <v>951</v>
      </c>
      <c r="M246" s="59">
        <f t="shared" si="16"/>
        <v>125</v>
      </c>
      <c r="N246" s="59" t="str">
        <f t="shared" si="17"/>
        <v>Uygun</v>
      </c>
      <c r="O246" s="59">
        <v>8</v>
      </c>
      <c r="P246" s="59" t="s">
        <v>952</v>
      </c>
    </row>
    <row r="247" spans="1:16" s="73" customFormat="1" ht="45" customHeight="1" x14ac:dyDescent="0.2">
      <c r="A247" s="71">
        <v>246</v>
      </c>
      <c r="B247" s="71" t="s">
        <v>953</v>
      </c>
      <c r="C247" s="71" t="s">
        <v>745</v>
      </c>
      <c r="D247" s="71" t="s">
        <v>244</v>
      </c>
      <c r="E247" s="71">
        <v>4</v>
      </c>
      <c r="F247" s="71" t="s">
        <v>41</v>
      </c>
      <c r="G247" s="71" t="s">
        <v>28</v>
      </c>
      <c r="H247" s="71" t="s">
        <v>41</v>
      </c>
      <c r="I247" s="71" t="s">
        <v>954</v>
      </c>
      <c r="J247" s="71" t="s">
        <v>955</v>
      </c>
      <c r="K247" s="71" t="s">
        <v>487</v>
      </c>
      <c r="L247" s="72" t="s">
        <v>956</v>
      </c>
      <c r="M247" s="71">
        <f t="shared" si="16"/>
        <v>116</v>
      </c>
      <c r="N247" s="71" t="str">
        <f t="shared" si="17"/>
        <v>Uygun</v>
      </c>
      <c r="O247" s="71">
        <v>8</v>
      </c>
      <c r="P247" s="71" t="s">
        <v>957</v>
      </c>
    </row>
    <row r="248" spans="1:16" s="58" customFormat="1" ht="60" customHeight="1" x14ac:dyDescent="0.2">
      <c r="A248" s="56">
        <v>247</v>
      </c>
      <c r="B248" s="56" t="s">
        <v>958</v>
      </c>
      <c r="C248" s="56" t="s">
        <v>745</v>
      </c>
      <c r="D248" s="56" t="s">
        <v>244</v>
      </c>
      <c r="E248" s="56">
        <v>4</v>
      </c>
      <c r="F248" s="56" t="s">
        <v>19</v>
      </c>
      <c r="G248" s="56" t="s">
        <v>20</v>
      </c>
      <c r="H248" s="56" t="s">
        <v>214</v>
      </c>
      <c r="I248" s="56" t="s">
        <v>959</v>
      </c>
      <c r="J248" s="56" t="s">
        <v>960</v>
      </c>
      <c r="K248" s="56" t="s">
        <v>492</v>
      </c>
      <c r="L248" s="75" t="s">
        <v>961</v>
      </c>
      <c r="M248" s="56">
        <f t="shared" si="16"/>
        <v>118</v>
      </c>
      <c r="N248" s="56" t="str">
        <f t="shared" si="17"/>
        <v>Uygun</v>
      </c>
      <c r="O248" s="56">
        <v>8</v>
      </c>
      <c r="P248" s="56" t="s">
        <v>962</v>
      </c>
    </row>
    <row r="249" spans="1:16" ht="60" customHeight="1" x14ac:dyDescent="0.2">
      <c r="A249" s="42">
        <v>248</v>
      </c>
      <c r="B249" s="42" t="s">
        <v>963</v>
      </c>
      <c r="C249" s="42" t="s">
        <v>745</v>
      </c>
      <c r="D249" s="42" t="s">
        <v>258</v>
      </c>
      <c r="E249" s="42">
        <v>5</v>
      </c>
      <c r="F249" s="42" t="s">
        <v>212</v>
      </c>
      <c r="G249" s="42" t="s">
        <v>269</v>
      </c>
      <c r="H249" s="42" t="s">
        <v>110</v>
      </c>
      <c r="I249" s="42" t="s">
        <v>964</v>
      </c>
      <c r="J249" s="42" t="s">
        <v>965</v>
      </c>
      <c r="K249" s="42" t="s">
        <v>497</v>
      </c>
      <c r="L249" s="43" t="s">
        <v>966</v>
      </c>
      <c r="M249" s="42">
        <f t="shared" si="16"/>
        <v>126</v>
      </c>
      <c r="N249" s="42" t="str">
        <f t="shared" si="17"/>
        <v>Uygun</v>
      </c>
      <c r="O249" s="42">
        <v>10</v>
      </c>
      <c r="P249" s="42" t="s">
        <v>967</v>
      </c>
    </row>
    <row r="250" spans="1:16" ht="60" customHeight="1" x14ac:dyDescent="0.2">
      <c r="A250" s="42">
        <v>249</v>
      </c>
      <c r="B250" s="42" t="s">
        <v>968</v>
      </c>
      <c r="C250" s="42" t="s">
        <v>745</v>
      </c>
      <c r="D250" s="42" t="s">
        <v>258</v>
      </c>
      <c r="E250" s="42">
        <v>5</v>
      </c>
      <c r="F250" s="42" t="s">
        <v>41</v>
      </c>
      <c r="G250" s="42" t="s">
        <v>269</v>
      </c>
      <c r="H250" s="42" t="s">
        <v>41</v>
      </c>
      <c r="I250" s="42" t="s">
        <v>740</v>
      </c>
      <c r="J250" s="42" t="s">
        <v>969</v>
      </c>
      <c r="K250" s="42" t="s">
        <v>503</v>
      </c>
      <c r="L250" s="43" t="s">
        <v>970</v>
      </c>
      <c r="M250" s="42">
        <f t="shared" si="16"/>
        <v>128</v>
      </c>
      <c r="N250" s="42" t="str">
        <f t="shared" si="17"/>
        <v>Uygun</v>
      </c>
      <c r="O250" s="42">
        <v>10</v>
      </c>
      <c r="P250" s="42" t="s">
        <v>971</v>
      </c>
    </row>
    <row r="251" spans="1:16" ht="30" customHeight="1" x14ac:dyDescent="0.2">
      <c r="A251" s="42">
        <v>250</v>
      </c>
      <c r="B251" s="42" t="s">
        <v>972</v>
      </c>
      <c r="C251" s="42" t="s">
        <v>973</v>
      </c>
      <c r="D251" s="42" t="s">
        <v>18</v>
      </c>
      <c r="E251" s="42">
        <v>1</v>
      </c>
      <c r="F251" s="42" t="s">
        <v>19</v>
      </c>
      <c r="G251" s="42" t="s">
        <v>28</v>
      </c>
      <c r="H251" s="42" t="s">
        <v>21</v>
      </c>
      <c r="I251" s="42" t="s">
        <v>508</v>
      </c>
      <c r="J251" s="42" t="s">
        <v>974</v>
      </c>
      <c r="K251" s="42" t="s">
        <v>272</v>
      </c>
      <c r="L251" s="43" t="s">
        <v>975</v>
      </c>
      <c r="M251" s="42">
        <f t="shared" si="16"/>
        <v>123</v>
      </c>
      <c r="N251" s="42" t="str">
        <f t="shared" si="17"/>
        <v>Uygun</v>
      </c>
      <c r="O251" s="42">
        <v>4</v>
      </c>
      <c r="P251" s="42" t="s">
        <v>976</v>
      </c>
    </row>
    <row r="252" spans="1:16" ht="45" customHeight="1" x14ac:dyDescent="0.2">
      <c r="A252" s="42">
        <v>251</v>
      </c>
      <c r="B252" s="42" t="s">
        <v>977</v>
      </c>
      <c r="C252" s="42" t="s">
        <v>973</v>
      </c>
      <c r="D252" s="42" t="s">
        <v>18</v>
      </c>
      <c r="E252" s="42">
        <v>1</v>
      </c>
      <c r="F252" s="42" t="s">
        <v>19</v>
      </c>
      <c r="G252" s="42" t="s">
        <v>28</v>
      </c>
      <c r="H252" s="42" t="s">
        <v>47</v>
      </c>
      <c r="I252" s="42" t="s">
        <v>522</v>
      </c>
      <c r="J252" s="42" t="s">
        <v>978</v>
      </c>
      <c r="K252" s="42" t="s">
        <v>278</v>
      </c>
      <c r="L252" s="43" t="s">
        <v>979</v>
      </c>
      <c r="M252" s="42">
        <f t="shared" si="16"/>
        <v>130</v>
      </c>
      <c r="N252" s="42" t="str">
        <f t="shared" si="17"/>
        <v>Uygun</v>
      </c>
      <c r="O252" s="42">
        <v>3</v>
      </c>
      <c r="P252" s="42" t="s">
        <v>980</v>
      </c>
    </row>
    <row r="253" spans="1:16" ht="30" customHeight="1" x14ac:dyDescent="0.2">
      <c r="A253" s="42">
        <v>252</v>
      </c>
      <c r="B253" s="42" t="s">
        <v>981</v>
      </c>
      <c r="C253" s="42" t="s">
        <v>973</v>
      </c>
      <c r="D253" s="42" t="s">
        <v>18</v>
      </c>
      <c r="E253" s="42">
        <v>1</v>
      </c>
      <c r="F253" s="42" t="s">
        <v>19</v>
      </c>
      <c r="G253" s="42" t="s">
        <v>28</v>
      </c>
      <c r="H253" s="42" t="s">
        <v>34</v>
      </c>
      <c r="I253" s="42" t="s">
        <v>982</v>
      </c>
      <c r="J253" s="42" t="s">
        <v>983</v>
      </c>
      <c r="K253" s="42" t="s">
        <v>283</v>
      </c>
      <c r="L253" s="43" t="s">
        <v>984</v>
      </c>
      <c r="M253" s="42">
        <f t="shared" si="16"/>
        <v>130</v>
      </c>
      <c r="N253" s="42" t="str">
        <f t="shared" si="17"/>
        <v>Uygun</v>
      </c>
      <c r="O253" s="42">
        <v>4</v>
      </c>
      <c r="P253" s="42" t="s">
        <v>985</v>
      </c>
    </row>
    <row r="254" spans="1:16" ht="30" customHeight="1" x14ac:dyDescent="0.2">
      <c r="A254" s="42">
        <v>253</v>
      </c>
      <c r="B254" s="42" t="s">
        <v>986</v>
      </c>
      <c r="C254" s="42" t="s">
        <v>973</v>
      </c>
      <c r="D254" s="42" t="s">
        <v>18</v>
      </c>
      <c r="E254" s="42">
        <v>1</v>
      </c>
      <c r="F254" s="42" t="s">
        <v>513</v>
      </c>
      <c r="G254" s="42" t="s">
        <v>28</v>
      </c>
      <c r="H254" s="42" t="s">
        <v>132</v>
      </c>
      <c r="I254" s="42" t="s">
        <v>982</v>
      </c>
      <c r="J254" s="42" t="s">
        <v>987</v>
      </c>
      <c r="K254" s="42" t="s">
        <v>287</v>
      </c>
      <c r="L254" s="43" t="s">
        <v>988</v>
      </c>
      <c r="M254" s="42">
        <f t="shared" si="16"/>
        <v>117</v>
      </c>
      <c r="N254" s="42" t="str">
        <f t="shared" si="17"/>
        <v>Uygun</v>
      </c>
      <c r="O254" s="42">
        <v>3</v>
      </c>
      <c r="P254" s="42" t="s">
        <v>985</v>
      </c>
    </row>
    <row r="255" spans="1:16" ht="45" customHeight="1" x14ac:dyDescent="0.2">
      <c r="A255" s="42">
        <v>254</v>
      </c>
      <c r="B255" s="42" t="s">
        <v>989</v>
      </c>
      <c r="C255" s="42" t="s">
        <v>973</v>
      </c>
      <c r="D255" s="42" t="s">
        <v>18</v>
      </c>
      <c r="E255" s="42">
        <v>1</v>
      </c>
      <c r="F255" s="42" t="s">
        <v>19</v>
      </c>
      <c r="G255" s="42" t="s">
        <v>28</v>
      </c>
      <c r="H255" s="42" t="s">
        <v>34</v>
      </c>
      <c r="I255" s="42" t="s">
        <v>982</v>
      </c>
      <c r="J255" s="42" t="s">
        <v>990</v>
      </c>
      <c r="K255" s="42" t="s">
        <v>272</v>
      </c>
      <c r="L255" s="43" t="s">
        <v>991</v>
      </c>
      <c r="M255" s="42">
        <f t="shared" si="16"/>
        <v>128</v>
      </c>
      <c r="N255" s="42" t="str">
        <f t="shared" si="17"/>
        <v>Uygun</v>
      </c>
      <c r="O255" s="42">
        <v>4</v>
      </c>
      <c r="P255" s="42" t="s">
        <v>985</v>
      </c>
    </row>
    <row r="256" spans="1:16" ht="45" customHeight="1" x14ac:dyDescent="0.2">
      <c r="A256" s="42">
        <v>255</v>
      </c>
      <c r="B256" s="42" t="s">
        <v>992</v>
      </c>
      <c r="C256" s="42" t="s">
        <v>973</v>
      </c>
      <c r="D256" s="42" t="s">
        <v>18</v>
      </c>
      <c r="E256" s="42">
        <v>1</v>
      </c>
      <c r="F256" s="42" t="s">
        <v>19</v>
      </c>
      <c r="G256" s="42" t="s">
        <v>28</v>
      </c>
      <c r="H256" s="42" t="s">
        <v>41</v>
      </c>
      <c r="I256" s="42" t="s">
        <v>784</v>
      </c>
      <c r="J256" s="42" t="s">
        <v>993</v>
      </c>
      <c r="K256" s="42" t="s">
        <v>278</v>
      </c>
      <c r="L256" s="43" t="s">
        <v>994</v>
      </c>
      <c r="M256" s="42">
        <f t="shared" si="16"/>
        <v>130</v>
      </c>
      <c r="N256" s="42" t="str">
        <f t="shared" si="17"/>
        <v>Uygun</v>
      </c>
      <c r="O256" s="42">
        <v>3</v>
      </c>
      <c r="P256" s="42" t="s">
        <v>995</v>
      </c>
    </row>
    <row r="257" spans="1:16" ht="30" customHeight="1" x14ac:dyDescent="0.2">
      <c r="A257" s="42">
        <v>256</v>
      </c>
      <c r="B257" s="42" t="s">
        <v>996</v>
      </c>
      <c r="C257" s="42" t="s">
        <v>973</v>
      </c>
      <c r="D257" s="42" t="s">
        <v>18</v>
      </c>
      <c r="E257" s="42">
        <v>1</v>
      </c>
      <c r="F257" s="42" t="s">
        <v>19</v>
      </c>
      <c r="G257" s="42" t="s">
        <v>20</v>
      </c>
      <c r="H257" s="42" t="s">
        <v>60</v>
      </c>
      <c r="I257" s="42" t="s">
        <v>579</v>
      </c>
      <c r="J257" s="42" t="s">
        <v>997</v>
      </c>
      <c r="K257" s="42" t="s">
        <v>283</v>
      </c>
      <c r="L257" s="43" t="s">
        <v>998</v>
      </c>
      <c r="M257" s="42">
        <f t="shared" si="16"/>
        <v>120</v>
      </c>
      <c r="N257" s="42" t="str">
        <f t="shared" si="17"/>
        <v>Uygun</v>
      </c>
      <c r="O257" s="42">
        <v>4</v>
      </c>
      <c r="P257" s="42" t="s">
        <v>999</v>
      </c>
    </row>
    <row r="258" spans="1:16" ht="30" customHeight="1" x14ac:dyDescent="0.2">
      <c r="A258" s="42">
        <v>257</v>
      </c>
      <c r="B258" s="42" t="s">
        <v>1000</v>
      </c>
      <c r="C258" s="42" t="s">
        <v>973</v>
      </c>
      <c r="D258" s="42" t="s">
        <v>18</v>
      </c>
      <c r="E258" s="42">
        <v>1</v>
      </c>
      <c r="F258" s="42" t="s">
        <v>19</v>
      </c>
      <c r="G258" s="42" t="s">
        <v>269</v>
      </c>
      <c r="H258" s="42" t="s">
        <v>21</v>
      </c>
      <c r="I258" s="42" t="s">
        <v>508</v>
      </c>
      <c r="J258" s="42" t="s">
        <v>1001</v>
      </c>
      <c r="K258" s="42" t="s">
        <v>287</v>
      </c>
      <c r="L258" s="43" t="s">
        <v>1002</v>
      </c>
      <c r="M258" s="42">
        <f t="shared" si="16"/>
        <v>128</v>
      </c>
      <c r="N258" s="42" t="str">
        <f t="shared" si="17"/>
        <v>Uygun</v>
      </c>
      <c r="O258" s="42">
        <v>3</v>
      </c>
      <c r="P258" s="42" t="s">
        <v>976</v>
      </c>
    </row>
    <row r="259" spans="1:16" ht="45" customHeight="1" x14ac:dyDescent="0.2">
      <c r="A259" s="42">
        <v>258</v>
      </c>
      <c r="B259" s="42" t="s">
        <v>1003</v>
      </c>
      <c r="C259" s="42" t="s">
        <v>973</v>
      </c>
      <c r="D259" s="42" t="s">
        <v>18</v>
      </c>
      <c r="E259" s="42">
        <v>1</v>
      </c>
      <c r="F259" s="42" t="s">
        <v>19</v>
      </c>
      <c r="G259" s="42" t="s">
        <v>28</v>
      </c>
      <c r="H259" s="42" t="s">
        <v>123</v>
      </c>
      <c r="I259" s="42" t="s">
        <v>527</v>
      </c>
      <c r="J259" s="42" t="s">
        <v>1004</v>
      </c>
      <c r="K259" s="42" t="s">
        <v>272</v>
      </c>
      <c r="L259" s="43" t="s">
        <v>1005</v>
      </c>
      <c r="M259" s="42">
        <f t="shared" si="16"/>
        <v>126</v>
      </c>
      <c r="N259" s="42" t="str">
        <f t="shared" si="17"/>
        <v>Uygun</v>
      </c>
      <c r="O259" s="42">
        <v>4</v>
      </c>
      <c r="P259" s="42" t="s">
        <v>1006</v>
      </c>
    </row>
    <row r="260" spans="1:16" ht="30" customHeight="1" x14ac:dyDescent="0.2">
      <c r="A260" s="42">
        <v>259</v>
      </c>
      <c r="B260" s="42" t="s">
        <v>1007</v>
      </c>
      <c r="C260" s="42" t="s">
        <v>973</v>
      </c>
      <c r="D260" s="42" t="s">
        <v>18</v>
      </c>
      <c r="E260" s="42">
        <v>1</v>
      </c>
      <c r="F260" s="42" t="s">
        <v>40</v>
      </c>
      <c r="G260" s="42" t="s">
        <v>20</v>
      </c>
      <c r="H260" s="42" t="s">
        <v>53</v>
      </c>
      <c r="I260" s="42" t="s">
        <v>330</v>
      </c>
      <c r="J260" s="42" t="s">
        <v>1008</v>
      </c>
      <c r="K260" s="42" t="s">
        <v>278</v>
      </c>
      <c r="L260" s="43" t="s">
        <v>1009</v>
      </c>
      <c r="M260" s="42">
        <f t="shared" si="16"/>
        <v>124</v>
      </c>
      <c r="N260" s="42" t="str">
        <f t="shared" si="17"/>
        <v>Uygun</v>
      </c>
      <c r="O260" s="42">
        <v>3</v>
      </c>
      <c r="P260" s="42" t="s">
        <v>1010</v>
      </c>
    </row>
    <row r="261" spans="1:16" ht="45" customHeight="1" x14ac:dyDescent="0.2">
      <c r="A261" s="42">
        <v>260</v>
      </c>
      <c r="B261" s="42" t="s">
        <v>1011</v>
      </c>
      <c r="C261" s="42" t="s">
        <v>973</v>
      </c>
      <c r="D261" s="42" t="s">
        <v>18</v>
      </c>
      <c r="E261" s="42">
        <v>1</v>
      </c>
      <c r="F261" s="42" t="s">
        <v>40</v>
      </c>
      <c r="G261" s="42" t="s">
        <v>28</v>
      </c>
      <c r="H261" s="42" t="s">
        <v>41</v>
      </c>
      <c r="I261" s="42" t="s">
        <v>579</v>
      </c>
      <c r="J261" s="42" t="s">
        <v>1012</v>
      </c>
      <c r="K261" s="42" t="s">
        <v>283</v>
      </c>
      <c r="L261" s="43" t="s">
        <v>1013</v>
      </c>
      <c r="M261" s="42">
        <f t="shared" si="16"/>
        <v>129</v>
      </c>
      <c r="N261" s="42" t="str">
        <f t="shared" si="17"/>
        <v>Uygun</v>
      </c>
      <c r="O261" s="42">
        <v>4</v>
      </c>
      <c r="P261" s="42" t="s">
        <v>999</v>
      </c>
    </row>
    <row r="262" spans="1:16" ht="45" customHeight="1" x14ac:dyDescent="0.2">
      <c r="A262" s="42">
        <v>261</v>
      </c>
      <c r="B262" s="42" t="s">
        <v>1014</v>
      </c>
      <c r="C262" s="42" t="s">
        <v>973</v>
      </c>
      <c r="D262" s="42" t="s">
        <v>18</v>
      </c>
      <c r="E262" s="42">
        <v>1</v>
      </c>
      <c r="F262" s="42" t="s">
        <v>64</v>
      </c>
      <c r="G262" s="42" t="s">
        <v>269</v>
      </c>
      <c r="H262" s="42" t="s">
        <v>231</v>
      </c>
      <c r="I262" s="42" t="s">
        <v>527</v>
      </c>
      <c r="J262" s="42" t="s">
        <v>1015</v>
      </c>
      <c r="K262" s="42" t="s">
        <v>287</v>
      </c>
      <c r="L262" s="43" t="s">
        <v>1016</v>
      </c>
      <c r="M262" s="42">
        <f t="shared" si="16"/>
        <v>128</v>
      </c>
      <c r="N262" s="42" t="str">
        <f t="shared" si="17"/>
        <v>Uygun</v>
      </c>
      <c r="O262" s="42">
        <v>3</v>
      </c>
      <c r="P262" s="42" t="s">
        <v>1006</v>
      </c>
    </row>
    <row r="263" spans="1:16" ht="45" customHeight="1" x14ac:dyDescent="0.2">
      <c r="A263" s="42">
        <v>262</v>
      </c>
      <c r="B263" s="42" t="s">
        <v>1017</v>
      </c>
      <c r="C263" s="42" t="s">
        <v>973</v>
      </c>
      <c r="D263" s="42" t="s">
        <v>18</v>
      </c>
      <c r="E263" s="42">
        <v>1</v>
      </c>
      <c r="F263" s="42" t="s">
        <v>19</v>
      </c>
      <c r="G263" s="42" t="s">
        <v>28</v>
      </c>
      <c r="H263" s="42" t="s">
        <v>73</v>
      </c>
      <c r="I263" s="42" t="s">
        <v>330</v>
      </c>
      <c r="J263" s="42" t="s">
        <v>1018</v>
      </c>
      <c r="K263" s="42" t="s">
        <v>272</v>
      </c>
      <c r="L263" s="43" t="s">
        <v>1019</v>
      </c>
      <c r="M263" s="42">
        <f t="shared" si="16"/>
        <v>126</v>
      </c>
      <c r="N263" s="42" t="str">
        <f t="shared" si="17"/>
        <v>Uygun</v>
      </c>
      <c r="O263" s="42">
        <v>4</v>
      </c>
      <c r="P263" s="42" t="s">
        <v>1010</v>
      </c>
    </row>
    <row r="264" spans="1:16" ht="30" customHeight="1" x14ac:dyDescent="0.2">
      <c r="A264" s="42">
        <v>263</v>
      </c>
      <c r="B264" s="42" t="s">
        <v>1020</v>
      </c>
      <c r="C264" s="42" t="s">
        <v>973</v>
      </c>
      <c r="D264" s="42" t="s">
        <v>18</v>
      </c>
      <c r="E264" s="42">
        <v>1</v>
      </c>
      <c r="F264" s="42" t="s">
        <v>19</v>
      </c>
      <c r="G264" s="42" t="s">
        <v>28</v>
      </c>
      <c r="H264" s="42" t="s">
        <v>110</v>
      </c>
      <c r="I264" s="42" t="s">
        <v>762</v>
      </c>
      <c r="J264" s="42" t="s">
        <v>1021</v>
      </c>
      <c r="K264" s="42" t="s">
        <v>278</v>
      </c>
      <c r="L264" s="43" t="s">
        <v>1022</v>
      </c>
      <c r="M264" s="42">
        <f t="shared" si="16"/>
        <v>121</v>
      </c>
      <c r="N264" s="42" t="str">
        <f t="shared" si="17"/>
        <v>Uygun</v>
      </c>
      <c r="O264" s="42">
        <v>3</v>
      </c>
      <c r="P264" s="42" t="s">
        <v>1023</v>
      </c>
    </row>
    <row r="265" spans="1:16" ht="30" customHeight="1" x14ac:dyDescent="0.2">
      <c r="A265" s="42">
        <v>264</v>
      </c>
      <c r="B265" s="42" t="s">
        <v>411</v>
      </c>
      <c r="C265" s="42" t="s">
        <v>973</v>
      </c>
      <c r="D265" s="42" t="s">
        <v>18</v>
      </c>
      <c r="E265" s="42">
        <v>1</v>
      </c>
      <c r="F265" s="42" t="s">
        <v>412</v>
      </c>
      <c r="G265" s="42" t="s">
        <v>28</v>
      </c>
      <c r="H265" s="42" t="s">
        <v>116</v>
      </c>
      <c r="I265" s="42" t="s">
        <v>270</v>
      </c>
      <c r="J265" s="42" t="s">
        <v>1024</v>
      </c>
      <c r="K265" s="42" t="s">
        <v>283</v>
      </c>
      <c r="L265" s="43" t="s">
        <v>1025</v>
      </c>
      <c r="M265" s="42">
        <f t="shared" si="16"/>
        <v>125</v>
      </c>
      <c r="N265" s="42" t="str">
        <f t="shared" si="17"/>
        <v>Uygun</v>
      </c>
      <c r="O265" s="42">
        <v>4</v>
      </c>
      <c r="P265" s="42" t="s">
        <v>1026</v>
      </c>
    </row>
    <row r="266" spans="1:16" ht="30" customHeight="1" x14ac:dyDescent="0.2">
      <c r="A266" s="42">
        <v>265</v>
      </c>
      <c r="B266" s="42" t="s">
        <v>1027</v>
      </c>
      <c r="C266" s="42" t="s">
        <v>973</v>
      </c>
      <c r="D266" s="42" t="s">
        <v>18</v>
      </c>
      <c r="E266" s="42">
        <v>1</v>
      </c>
      <c r="F266" s="42" t="s">
        <v>19</v>
      </c>
      <c r="G266" s="42" t="s">
        <v>28</v>
      </c>
      <c r="H266" s="42" t="s">
        <v>174</v>
      </c>
      <c r="I266" s="42" t="s">
        <v>982</v>
      </c>
      <c r="J266" s="42" t="s">
        <v>1028</v>
      </c>
      <c r="K266" s="42" t="s">
        <v>287</v>
      </c>
      <c r="L266" s="43" t="s">
        <v>1029</v>
      </c>
      <c r="M266" s="42">
        <f t="shared" si="16"/>
        <v>121</v>
      </c>
      <c r="N266" s="42" t="str">
        <f t="shared" si="17"/>
        <v>Uygun</v>
      </c>
      <c r="O266" s="42">
        <v>3</v>
      </c>
      <c r="P266" s="42" t="s">
        <v>985</v>
      </c>
    </row>
    <row r="267" spans="1:16" ht="30" customHeight="1" x14ac:dyDescent="0.2">
      <c r="A267" s="42">
        <v>266</v>
      </c>
      <c r="B267" s="42" t="s">
        <v>1030</v>
      </c>
      <c r="C267" s="42" t="s">
        <v>973</v>
      </c>
      <c r="D267" s="42" t="s">
        <v>18</v>
      </c>
      <c r="E267" s="42">
        <v>1</v>
      </c>
      <c r="F267" s="42" t="s">
        <v>513</v>
      </c>
      <c r="G267" s="42" t="s">
        <v>28</v>
      </c>
      <c r="H267" s="42" t="s">
        <v>79</v>
      </c>
      <c r="I267" s="42" t="s">
        <v>270</v>
      </c>
      <c r="J267" s="42" t="s">
        <v>1031</v>
      </c>
      <c r="K267" s="42" t="s">
        <v>272</v>
      </c>
      <c r="L267" s="43" t="s">
        <v>1032</v>
      </c>
      <c r="M267" s="42">
        <f t="shared" si="16"/>
        <v>125</v>
      </c>
      <c r="N267" s="42" t="str">
        <f t="shared" si="17"/>
        <v>Uygun</v>
      </c>
      <c r="O267" s="42">
        <v>4</v>
      </c>
      <c r="P267" s="42" t="s">
        <v>1026</v>
      </c>
    </row>
    <row r="268" spans="1:16" ht="30" customHeight="1" x14ac:dyDescent="0.2">
      <c r="A268" s="42">
        <v>267</v>
      </c>
      <c r="B268" s="42" t="s">
        <v>1033</v>
      </c>
      <c r="C268" s="42" t="s">
        <v>973</v>
      </c>
      <c r="D268" s="42" t="s">
        <v>18</v>
      </c>
      <c r="E268" s="42">
        <v>1</v>
      </c>
      <c r="F268" s="42" t="s">
        <v>356</v>
      </c>
      <c r="G268" s="42" t="s">
        <v>269</v>
      </c>
      <c r="H268" s="42" t="s">
        <v>110</v>
      </c>
      <c r="I268" s="42" t="s">
        <v>982</v>
      </c>
      <c r="J268" s="42" t="s">
        <v>1034</v>
      </c>
      <c r="K268" s="42" t="s">
        <v>278</v>
      </c>
      <c r="L268" s="43" t="s">
        <v>1035</v>
      </c>
      <c r="M268" s="42">
        <f t="shared" si="16"/>
        <v>127</v>
      </c>
      <c r="N268" s="42" t="str">
        <f t="shared" si="17"/>
        <v>Uygun</v>
      </c>
      <c r="O268" s="42">
        <v>3</v>
      </c>
      <c r="P268" s="42" t="s">
        <v>985</v>
      </c>
    </row>
    <row r="269" spans="1:16" ht="30" customHeight="1" x14ac:dyDescent="0.2">
      <c r="A269" s="42">
        <v>268</v>
      </c>
      <c r="B269" s="42" t="s">
        <v>1036</v>
      </c>
      <c r="C269" s="42" t="s">
        <v>973</v>
      </c>
      <c r="D269" s="42" t="s">
        <v>18</v>
      </c>
      <c r="E269" s="42">
        <v>1</v>
      </c>
      <c r="F269" s="42" t="s">
        <v>19</v>
      </c>
      <c r="G269" s="42" t="s">
        <v>28</v>
      </c>
      <c r="H269" s="42" t="s">
        <v>21</v>
      </c>
      <c r="I269" s="42" t="s">
        <v>982</v>
      </c>
      <c r="J269" s="42" t="s">
        <v>1037</v>
      </c>
      <c r="K269" s="42" t="s">
        <v>283</v>
      </c>
      <c r="L269" s="43" t="s">
        <v>1038</v>
      </c>
      <c r="M269" s="42">
        <f t="shared" si="16"/>
        <v>122</v>
      </c>
      <c r="N269" s="42" t="str">
        <f t="shared" si="17"/>
        <v>Uygun</v>
      </c>
      <c r="O269" s="42">
        <v>4</v>
      </c>
      <c r="P269" s="42" t="s">
        <v>985</v>
      </c>
    </row>
    <row r="270" spans="1:16" ht="30" customHeight="1" x14ac:dyDescent="0.2">
      <c r="A270" s="42">
        <v>269</v>
      </c>
      <c r="B270" s="42" t="s">
        <v>1039</v>
      </c>
      <c r="C270" s="42" t="s">
        <v>973</v>
      </c>
      <c r="D270" s="42" t="s">
        <v>18</v>
      </c>
      <c r="E270" s="42">
        <v>1</v>
      </c>
      <c r="F270" s="42" t="s">
        <v>19</v>
      </c>
      <c r="G270" s="42" t="s">
        <v>269</v>
      </c>
      <c r="H270" s="42" t="s">
        <v>53</v>
      </c>
      <c r="I270" s="42" t="s">
        <v>330</v>
      </c>
      <c r="J270" s="42" t="s">
        <v>1040</v>
      </c>
      <c r="K270" s="42" t="s">
        <v>287</v>
      </c>
      <c r="L270" s="43" t="s">
        <v>1041</v>
      </c>
      <c r="M270" s="42">
        <f t="shared" si="16"/>
        <v>125</v>
      </c>
      <c r="N270" s="42" t="str">
        <f t="shared" si="17"/>
        <v>Uygun</v>
      </c>
      <c r="O270" s="42">
        <v>3</v>
      </c>
      <c r="P270" s="42" t="s">
        <v>1010</v>
      </c>
    </row>
    <row r="271" spans="1:16" ht="30" customHeight="1" x14ac:dyDescent="0.2">
      <c r="A271" s="42">
        <v>270</v>
      </c>
      <c r="B271" s="42" t="s">
        <v>1042</v>
      </c>
      <c r="C271" s="42" t="s">
        <v>973</v>
      </c>
      <c r="D271" s="42" t="s">
        <v>18</v>
      </c>
      <c r="E271" s="42">
        <v>1</v>
      </c>
      <c r="F271" s="42" t="s">
        <v>19</v>
      </c>
      <c r="G271" s="42" t="s">
        <v>28</v>
      </c>
      <c r="H271" s="42" t="s">
        <v>47</v>
      </c>
      <c r="I271" s="42" t="s">
        <v>522</v>
      </c>
      <c r="J271" s="42" t="s">
        <v>1043</v>
      </c>
      <c r="K271" s="42" t="s">
        <v>272</v>
      </c>
      <c r="L271" s="43" t="s">
        <v>1044</v>
      </c>
      <c r="M271" s="42">
        <f t="shared" si="16"/>
        <v>122</v>
      </c>
      <c r="N271" s="42" t="str">
        <f t="shared" si="17"/>
        <v>Uygun</v>
      </c>
      <c r="O271" s="42">
        <v>4</v>
      </c>
      <c r="P271" s="42" t="s">
        <v>980</v>
      </c>
    </row>
    <row r="272" spans="1:16" ht="30" customHeight="1" x14ac:dyDescent="0.2">
      <c r="A272" s="42">
        <v>271</v>
      </c>
      <c r="B272" s="42" t="s">
        <v>1045</v>
      </c>
      <c r="C272" s="42" t="s">
        <v>973</v>
      </c>
      <c r="D272" s="42" t="s">
        <v>18</v>
      </c>
      <c r="E272" s="42">
        <v>1</v>
      </c>
      <c r="F272" s="42" t="s">
        <v>19</v>
      </c>
      <c r="G272" s="42" t="s">
        <v>28</v>
      </c>
      <c r="H272" s="42" t="s">
        <v>34</v>
      </c>
      <c r="I272" s="42" t="s">
        <v>982</v>
      </c>
      <c r="J272" s="42" t="s">
        <v>1046</v>
      </c>
      <c r="K272" s="42" t="s">
        <v>278</v>
      </c>
      <c r="L272" s="43" t="s">
        <v>1047</v>
      </c>
      <c r="M272" s="42">
        <f t="shared" si="16"/>
        <v>122</v>
      </c>
      <c r="N272" s="42" t="str">
        <f t="shared" si="17"/>
        <v>Uygun</v>
      </c>
      <c r="O272" s="42">
        <v>3</v>
      </c>
      <c r="P272" s="42" t="s">
        <v>985</v>
      </c>
    </row>
    <row r="273" spans="1:16" ht="30" customHeight="1" x14ac:dyDescent="0.2">
      <c r="A273" s="42">
        <v>272</v>
      </c>
      <c r="B273" s="42" t="s">
        <v>1048</v>
      </c>
      <c r="C273" s="42" t="s">
        <v>973</v>
      </c>
      <c r="D273" s="42" t="s">
        <v>18</v>
      </c>
      <c r="E273" s="42">
        <v>1</v>
      </c>
      <c r="F273" s="42" t="s">
        <v>513</v>
      </c>
      <c r="G273" s="42" t="s">
        <v>20</v>
      </c>
      <c r="H273" s="42" t="s">
        <v>154</v>
      </c>
      <c r="I273" s="42" t="s">
        <v>982</v>
      </c>
      <c r="J273" s="42" t="s">
        <v>1049</v>
      </c>
      <c r="K273" s="42" t="s">
        <v>283</v>
      </c>
      <c r="L273" s="43" t="s">
        <v>1050</v>
      </c>
      <c r="M273" s="42">
        <f t="shared" ref="M273:M304" si="18">LEN(L273)</f>
        <v>117</v>
      </c>
      <c r="N273" s="42" t="str">
        <f t="shared" ref="N273:N304" si="19">IF(L273="","Eksik",IF(M273&lt;=130,"Uygun","130 karakteri aşıyor"))</f>
        <v>Uygun</v>
      </c>
      <c r="O273" s="42">
        <v>4</v>
      </c>
      <c r="P273" s="42" t="s">
        <v>985</v>
      </c>
    </row>
    <row r="274" spans="1:16" ht="30" customHeight="1" x14ac:dyDescent="0.2">
      <c r="A274" s="42">
        <v>273</v>
      </c>
      <c r="B274" s="42" t="s">
        <v>1051</v>
      </c>
      <c r="C274" s="42" t="s">
        <v>973</v>
      </c>
      <c r="D274" s="42" t="s">
        <v>18</v>
      </c>
      <c r="E274" s="42">
        <v>1</v>
      </c>
      <c r="F274" s="42" t="s">
        <v>59</v>
      </c>
      <c r="G274" s="42" t="s">
        <v>269</v>
      </c>
      <c r="H274" s="42" t="s">
        <v>60</v>
      </c>
      <c r="I274" s="42" t="s">
        <v>579</v>
      </c>
      <c r="J274" s="42" t="s">
        <v>1052</v>
      </c>
      <c r="K274" s="42" t="s">
        <v>287</v>
      </c>
      <c r="L274" s="43" t="s">
        <v>1053</v>
      </c>
      <c r="M274" s="42">
        <f t="shared" si="18"/>
        <v>116</v>
      </c>
      <c r="N274" s="42" t="str">
        <f t="shared" si="19"/>
        <v>Uygun</v>
      </c>
      <c r="O274" s="42">
        <v>3</v>
      </c>
      <c r="P274" s="42" t="s">
        <v>999</v>
      </c>
    </row>
    <row r="275" spans="1:16" ht="30" customHeight="1" x14ac:dyDescent="0.2">
      <c r="A275" s="42">
        <v>274</v>
      </c>
      <c r="B275" s="42" t="s">
        <v>1054</v>
      </c>
      <c r="C275" s="42" t="s">
        <v>973</v>
      </c>
      <c r="D275" s="42" t="s">
        <v>18</v>
      </c>
      <c r="E275" s="42">
        <v>1</v>
      </c>
      <c r="F275" s="42" t="s">
        <v>558</v>
      </c>
      <c r="G275" s="42" t="s">
        <v>269</v>
      </c>
      <c r="H275" s="42" t="s">
        <v>110</v>
      </c>
      <c r="I275" s="42" t="s">
        <v>982</v>
      </c>
      <c r="J275" s="42" t="s">
        <v>1055</v>
      </c>
      <c r="K275" s="42" t="s">
        <v>272</v>
      </c>
      <c r="L275" s="43" t="s">
        <v>1056</v>
      </c>
      <c r="M275" s="42">
        <f t="shared" si="18"/>
        <v>123</v>
      </c>
      <c r="N275" s="42" t="str">
        <f t="shared" si="19"/>
        <v>Uygun</v>
      </c>
      <c r="O275" s="42">
        <v>4</v>
      </c>
      <c r="P275" s="42" t="s">
        <v>985</v>
      </c>
    </row>
    <row r="276" spans="1:16" ht="30" customHeight="1" x14ac:dyDescent="0.2">
      <c r="A276" s="42">
        <v>275</v>
      </c>
      <c r="B276" s="42" t="s">
        <v>1057</v>
      </c>
      <c r="C276" s="42" t="s">
        <v>973</v>
      </c>
      <c r="D276" s="42" t="s">
        <v>18</v>
      </c>
      <c r="E276" s="42">
        <v>1</v>
      </c>
      <c r="F276" s="42" t="s">
        <v>19</v>
      </c>
      <c r="G276" s="42" t="s">
        <v>20</v>
      </c>
      <c r="H276" s="42" t="s">
        <v>110</v>
      </c>
      <c r="I276" s="42" t="s">
        <v>762</v>
      </c>
      <c r="J276" s="42" t="s">
        <v>1058</v>
      </c>
      <c r="K276" s="42" t="s">
        <v>278</v>
      </c>
      <c r="L276" s="43" t="s">
        <v>1059</v>
      </c>
      <c r="M276" s="42">
        <f t="shared" si="18"/>
        <v>117</v>
      </c>
      <c r="N276" s="42" t="str">
        <f t="shared" si="19"/>
        <v>Uygun</v>
      </c>
      <c r="O276" s="42">
        <v>3</v>
      </c>
      <c r="P276" s="42" t="s">
        <v>1023</v>
      </c>
    </row>
    <row r="277" spans="1:16" ht="30" customHeight="1" x14ac:dyDescent="0.2">
      <c r="A277" s="42">
        <v>276</v>
      </c>
      <c r="B277" s="42" t="s">
        <v>1060</v>
      </c>
      <c r="C277" s="42" t="s">
        <v>973</v>
      </c>
      <c r="D277" s="42" t="s">
        <v>18</v>
      </c>
      <c r="E277" s="42">
        <v>1</v>
      </c>
      <c r="F277" s="42" t="s">
        <v>19</v>
      </c>
      <c r="G277" s="42" t="s">
        <v>269</v>
      </c>
      <c r="H277" s="42" t="s">
        <v>21</v>
      </c>
      <c r="I277" s="42" t="s">
        <v>508</v>
      </c>
      <c r="J277" s="42" t="s">
        <v>1061</v>
      </c>
      <c r="K277" s="42" t="s">
        <v>283</v>
      </c>
      <c r="L277" s="43" t="s">
        <v>1062</v>
      </c>
      <c r="M277" s="42">
        <f t="shared" si="18"/>
        <v>128</v>
      </c>
      <c r="N277" s="42" t="str">
        <f t="shared" si="19"/>
        <v>Uygun</v>
      </c>
      <c r="O277" s="42">
        <v>4</v>
      </c>
      <c r="P277" s="42" t="s">
        <v>976</v>
      </c>
    </row>
    <row r="278" spans="1:16" ht="30" customHeight="1" x14ac:dyDescent="0.2">
      <c r="A278" s="42">
        <v>277</v>
      </c>
      <c r="B278" s="42" t="s">
        <v>1063</v>
      </c>
      <c r="C278" s="42" t="s">
        <v>973</v>
      </c>
      <c r="D278" s="42" t="s">
        <v>18</v>
      </c>
      <c r="E278" s="42">
        <v>1</v>
      </c>
      <c r="F278" s="42" t="s">
        <v>19</v>
      </c>
      <c r="G278" s="42" t="s">
        <v>28</v>
      </c>
      <c r="H278" s="42" t="s">
        <v>53</v>
      </c>
      <c r="I278" s="42" t="s">
        <v>330</v>
      </c>
      <c r="J278" s="42" t="s">
        <v>1064</v>
      </c>
      <c r="K278" s="42" t="s">
        <v>287</v>
      </c>
      <c r="L278" s="43" t="s">
        <v>1065</v>
      </c>
      <c r="M278" s="42">
        <f t="shared" si="18"/>
        <v>115</v>
      </c>
      <c r="N278" s="42" t="str">
        <f t="shared" si="19"/>
        <v>Uygun</v>
      </c>
      <c r="O278" s="42">
        <v>3</v>
      </c>
      <c r="P278" s="42" t="s">
        <v>1010</v>
      </c>
    </row>
    <row r="279" spans="1:16" ht="30" customHeight="1" x14ac:dyDescent="0.2">
      <c r="A279" s="42">
        <v>278</v>
      </c>
      <c r="B279" s="42" t="s">
        <v>1066</v>
      </c>
      <c r="C279" s="42" t="s">
        <v>973</v>
      </c>
      <c r="D279" s="42" t="s">
        <v>18</v>
      </c>
      <c r="E279" s="42">
        <v>1</v>
      </c>
      <c r="F279" s="42" t="s">
        <v>513</v>
      </c>
      <c r="G279" s="42" t="s">
        <v>28</v>
      </c>
      <c r="H279" s="42" t="s">
        <v>60</v>
      </c>
      <c r="I279" s="42" t="s">
        <v>579</v>
      </c>
      <c r="J279" s="42" t="s">
        <v>1067</v>
      </c>
      <c r="K279" s="42" t="s">
        <v>272</v>
      </c>
      <c r="L279" s="43" t="s">
        <v>1068</v>
      </c>
      <c r="M279" s="42">
        <f t="shared" si="18"/>
        <v>107</v>
      </c>
      <c r="N279" s="42" t="str">
        <f t="shared" si="19"/>
        <v>Uygun</v>
      </c>
      <c r="O279" s="42">
        <v>4</v>
      </c>
      <c r="P279" s="42" t="s">
        <v>999</v>
      </c>
    </row>
    <row r="280" spans="1:16" ht="30" customHeight="1" x14ac:dyDescent="0.2">
      <c r="A280" s="42">
        <v>279</v>
      </c>
      <c r="B280" s="42" t="s">
        <v>1069</v>
      </c>
      <c r="C280" s="42" t="s">
        <v>973</v>
      </c>
      <c r="D280" s="42" t="s">
        <v>18</v>
      </c>
      <c r="E280" s="42">
        <v>1</v>
      </c>
      <c r="F280" s="42" t="s">
        <v>40</v>
      </c>
      <c r="G280" s="42" t="s">
        <v>20</v>
      </c>
      <c r="H280" s="42" t="s">
        <v>164</v>
      </c>
      <c r="I280" s="42" t="s">
        <v>982</v>
      </c>
      <c r="J280" s="42" t="s">
        <v>1070</v>
      </c>
      <c r="K280" s="42" t="s">
        <v>278</v>
      </c>
      <c r="L280" s="43" t="s">
        <v>1071</v>
      </c>
      <c r="M280" s="42">
        <f t="shared" si="18"/>
        <v>127</v>
      </c>
      <c r="N280" s="42" t="str">
        <f t="shared" si="19"/>
        <v>Uygun</v>
      </c>
      <c r="O280" s="42">
        <v>3</v>
      </c>
      <c r="P280" s="42" t="s">
        <v>985</v>
      </c>
    </row>
    <row r="281" spans="1:16" ht="45" customHeight="1" x14ac:dyDescent="0.2">
      <c r="A281" s="42">
        <v>280</v>
      </c>
      <c r="B281" s="42" t="s">
        <v>1072</v>
      </c>
      <c r="C281" s="42" t="s">
        <v>973</v>
      </c>
      <c r="D281" s="42" t="s">
        <v>18</v>
      </c>
      <c r="E281" s="42">
        <v>1</v>
      </c>
      <c r="F281" s="42" t="s">
        <v>41</v>
      </c>
      <c r="G281" s="42" t="s">
        <v>20</v>
      </c>
      <c r="H281" s="42" t="s">
        <v>53</v>
      </c>
      <c r="I281" s="42" t="s">
        <v>330</v>
      </c>
      <c r="J281" s="42" t="s">
        <v>1073</v>
      </c>
      <c r="K281" s="42" t="s">
        <v>283</v>
      </c>
      <c r="L281" s="43" t="s">
        <v>1074</v>
      </c>
      <c r="M281" s="42">
        <f t="shared" si="18"/>
        <v>122</v>
      </c>
      <c r="N281" s="42" t="str">
        <f t="shared" si="19"/>
        <v>Uygun</v>
      </c>
      <c r="O281" s="42">
        <v>4</v>
      </c>
      <c r="P281" s="42" t="s">
        <v>1010</v>
      </c>
    </row>
    <row r="282" spans="1:16" ht="30" customHeight="1" x14ac:dyDescent="0.2">
      <c r="A282" s="42">
        <v>281</v>
      </c>
      <c r="B282" s="42" t="s">
        <v>1075</v>
      </c>
      <c r="C282" s="42" t="s">
        <v>973</v>
      </c>
      <c r="D282" s="42" t="s">
        <v>18</v>
      </c>
      <c r="E282" s="42">
        <v>1</v>
      </c>
      <c r="F282" s="42" t="s">
        <v>19</v>
      </c>
      <c r="G282" s="42" t="s">
        <v>28</v>
      </c>
      <c r="H282" s="42" t="s">
        <v>21</v>
      </c>
      <c r="I282" s="42" t="s">
        <v>508</v>
      </c>
      <c r="J282" s="42" t="s">
        <v>1076</v>
      </c>
      <c r="K282" s="42" t="s">
        <v>287</v>
      </c>
      <c r="L282" s="43" t="s">
        <v>1077</v>
      </c>
      <c r="M282" s="42">
        <f t="shared" si="18"/>
        <v>117</v>
      </c>
      <c r="N282" s="42" t="str">
        <f t="shared" si="19"/>
        <v>Uygun</v>
      </c>
      <c r="O282" s="42">
        <v>3</v>
      </c>
      <c r="P282" s="42" t="s">
        <v>976</v>
      </c>
    </row>
    <row r="283" spans="1:16" ht="30" customHeight="1" x14ac:dyDescent="0.2">
      <c r="A283" s="42">
        <v>282</v>
      </c>
      <c r="B283" s="42" t="s">
        <v>1078</v>
      </c>
      <c r="C283" s="42" t="s">
        <v>973</v>
      </c>
      <c r="D283" s="42" t="s">
        <v>163</v>
      </c>
      <c r="E283" s="42">
        <v>2</v>
      </c>
      <c r="F283" s="42" t="s">
        <v>513</v>
      </c>
      <c r="G283" s="42" t="s">
        <v>28</v>
      </c>
      <c r="H283" s="42" t="s">
        <v>47</v>
      </c>
      <c r="I283" s="42" t="s">
        <v>650</v>
      </c>
      <c r="J283" s="42" t="s">
        <v>1079</v>
      </c>
      <c r="K283" s="42" t="s">
        <v>380</v>
      </c>
      <c r="L283" s="43" t="s">
        <v>1080</v>
      </c>
      <c r="M283" s="42">
        <f t="shared" si="18"/>
        <v>119</v>
      </c>
      <c r="N283" s="42" t="str">
        <f t="shared" si="19"/>
        <v>Uygun</v>
      </c>
      <c r="O283" s="42">
        <v>5</v>
      </c>
      <c r="P283" s="42" t="s">
        <v>1081</v>
      </c>
    </row>
    <row r="284" spans="1:16" ht="30" customHeight="1" x14ac:dyDescent="0.2">
      <c r="A284" s="42">
        <v>283</v>
      </c>
      <c r="B284" s="42" t="s">
        <v>1082</v>
      </c>
      <c r="C284" s="42" t="s">
        <v>973</v>
      </c>
      <c r="D284" s="42" t="s">
        <v>163</v>
      </c>
      <c r="E284" s="42">
        <v>2</v>
      </c>
      <c r="F284" s="42" t="s">
        <v>513</v>
      </c>
      <c r="G284" s="42" t="s">
        <v>28</v>
      </c>
      <c r="H284" s="42" t="s">
        <v>53</v>
      </c>
      <c r="I284" s="42" t="s">
        <v>419</v>
      </c>
      <c r="J284" s="42" t="s">
        <v>1083</v>
      </c>
      <c r="K284" s="42" t="s">
        <v>385</v>
      </c>
      <c r="L284" s="43" t="s">
        <v>1084</v>
      </c>
      <c r="M284" s="42">
        <f t="shared" si="18"/>
        <v>122</v>
      </c>
      <c r="N284" s="42" t="str">
        <f t="shared" si="19"/>
        <v>Uygun</v>
      </c>
      <c r="O284" s="42">
        <v>5</v>
      </c>
      <c r="P284" s="42" t="s">
        <v>1085</v>
      </c>
    </row>
    <row r="285" spans="1:16" ht="30" customHeight="1" x14ac:dyDescent="0.2">
      <c r="A285" s="42">
        <v>284</v>
      </c>
      <c r="B285" s="42" t="s">
        <v>1086</v>
      </c>
      <c r="C285" s="42" t="s">
        <v>973</v>
      </c>
      <c r="D285" s="42" t="s">
        <v>163</v>
      </c>
      <c r="E285" s="42">
        <v>2</v>
      </c>
      <c r="F285" s="42" t="s">
        <v>513</v>
      </c>
      <c r="G285" s="42" t="s">
        <v>269</v>
      </c>
      <c r="H285" s="42" t="s">
        <v>154</v>
      </c>
      <c r="I285" s="42" t="s">
        <v>621</v>
      </c>
      <c r="J285" s="42" t="s">
        <v>1087</v>
      </c>
      <c r="K285" s="42" t="s">
        <v>389</v>
      </c>
      <c r="L285" s="43" t="s">
        <v>1088</v>
      </c>
      <c r="M285" s="42">
        <f t="shared" si="18"/>
        <v>128</v>
      </c>
      <c r="N285" s="42" t="str">
        <f t="shared" si="19"/>
        <v>Uygun</v>
      </c>
      <c r="O285" s="42">
        <v>5</v>
      </c>
      <c r="P285" s="42" t="s">
        <v>1089</v>
      </c>
    </row>
    <row r="286" spans="1:16" ht="30" customHeight="1" x14ac:dyDescent="0.2">
      <c r="A286" s="42">
        <v>285</v>
      </c>
      <c r="B286" s="42" t="s">
        <v>1090</v>
      </c>
      <c r="C286" s="42" t="s">
        <v>973</v>
      </c>
      <c r="D286" s="42" t="s">
        <v>163</v>
      </c>
      <c r="E286" s="42">
        <v>2</v>
      </c>
      <c r="F286" s="42" t="s">
        <v>245</v>
      </c>
      <c r="G286" s="42" t="s">
        <v>28</v>
      </c>
      <c r="H286" s="42" t="s">
        <v>73</v>
      </c>
      <c r="I286" s="42" t="s">
        <v>419</v>
      </c>
      <c r="J286" s="42" t="s">
        <v>1091</v>
      </c>
      <c r="K286" s="42" t="s">
        <v>394</v>
      </c>
      <c r="L286" s="43" t="s">
        <v>1092</v>
      </c>
      <c r="M286" s="42">
        <f t="shared" si="18"/>
        <v>118</v>
      </c>
      <c r="N286" s="42" t="str">
        <f t="shared" si="19"/>
        <v>Uygun</v>
      </c>
      <c r="O286" s="42">
        <v>5</v>
      </c>
      <c r="P286" s="42" t="s">
        <v>1085</v>
      </c>
    </row>
    <row r="287" spans="1:16" ht="30" customHeight="1" x14ac:dyDescent="0.2">
      <c r="A287" s="42">
        <v>286</v>
      </c>
      <c r="B287" s="42" t="s">
        <v>1093</v>
      </c>
      <c r="C287" s="42" t="s">
        <v>973</v>
      </c>
      <c r="D287" s="42" t="s">
        <v>163</v>
      </c>
      <c r="E287" s="42">
        <v>2</v>
      </c>
      <c r="F287" s="42" t="s">
        <v>554</v>
      </c>
      <c r="G287" s="42" t="s">
        <v>28</v>
      </c>
      <c r="H287" s="42" t="s">
        <v>110</v>
      </c>
      <c r="I287" s="42" t="s">
        <v>398</v>
      </c>
      <c r="J287" s="42" t="s">
        <v>1094</v>
      </c>
      <c r="K287" s="42" t="s">
        <v>380</v>
      </c>
      <c r="L287" s="43" t="s">
        <v>1095</v>
      </c>
      <c r="M287" s="42">
        <f t="shared" si="18"/>
        <v>120</v>
      </c>
      <c r="N287" s="42" t="str">
        <f t="shared" si="19"/>
        <v>Uygun</v>
      </c>
      <c r="O287" s="42">
        <v>5</v>
      </c>
      <c r="P287" s="42" t="s">
        <v>1096</v>
      </c>
    </row>
    <row r="288" spans="1:16" ht="30" customHeight="1" x14ac:dyDescent="0.2">
      <c r="A288" s="42">
        <v>287</v>
      </c>
      <c r="B288" s="42" t="s">
        <v>1097</v>
      </c>
      <c r="C288" s="42" t="s">
        <v>973</v>
      </c>
      <c r="D288" s="42" t="s">
        <v>163</v>
      </c>
      <c r="E288" s="42">
        <v>2</v>
      </c>
      <c r="F288" s="42" t="s">
        <v>412</v>
      </c>
      <c r="G288" s="42" t="s">
        <v>20</v>
      </c>
      <c r="H288" s="42" t="s">
        <v>60</v>
      </c>
      <c r="I288" s="42" t="s">
        <v>665</v>
      </c>
      <c r="J288" s="42" t="s">
        <v>1098</v>
      </c>
      <c r="K288" s="42" t="s">
        <v>385</v>
      </c>
      <c r="L288" s="43" t="s">
        <v>1099</v>
      </c>
      <c r="M288" s="42">
        <f t="shared" si="18"/>
        <v>126</v>
      </c>
      <c r="N288" s="42" t="str">
        <f t="shared" si="19"/>
        <v>Uygun</v>
      </c>
      <c r="O288" s="42">
        <v>5</v>
      </c>
      <c r="P288" s="42" t="s">
        <v>1100</v>
      </c>
    </row>
    <row r="289" spans="1:16" ht="30" customHeight="1" x14ac:dyDescent="0.2">
      <c r="A289" s="42">
        <v>288</v>
      </c>
      <c r="B289" s="42" t="s">
        <v>1101</v>
      </c>
      <c r="C289" s="42" t="s">
        <v>973</v>
      </c>
      <c r="D289" s="42" t="s">
        <v>163</v>
      </c>
      <c r="E289" s="42">
        <v>2</v>
      </c>
      <c r="F289" s="42" t="s">
        <v>64</v>
      </c>
      <c r="G289" s="42" t="s">
        <v>28</v>
      </c>
      <c r="H289" s="42" t="s">
        <v>93</v>
      </c>
      <c r="I289" s="42" t="s">
        <v>876</v>
      </c>
      <c r="J289" s="42" t="s">
        <v>1102</v>
      </c>
      <c r="K289" s="42" t="s">
        <v>389</v>
      </c>
      <c r="L289" s="43" t="s">
        <v>1103</v>
      </c>
      <c r="M289" s="42">
        <f t="shared" si="18"/>
        <v>112</v>
      </c>
      <c r="N289" s="42" t="str">
        <f t="shared" si="19"/>
        <v>Uygun</v>
      </c>
      <c r="O289" s="42">
        <v>5</v>
      </c>
      <c r="P289" s="42" t="s">
        <v>1104</v>
      </c>
    </row>
    <row r="290" spans="1:16" ht="45" customHeight="1" x14ac:dyDescent="0.2">
      <c r="A290" s="42">
        <v>289</v>
      </c>
      <c r="B290" s="42" t="s">
        <v>1105</v>
      </c>
      <c r="C290" s="42" t="s">
        <v>973</v>
      </c>
      <c r="D290" s="42" t="s">
        <v>163</v>
      </c>
      <c r="E290" s="42">
        <v>2</v>
      </c>
      <c r="F290" s="42" t="s">
        <v>245</v>
      </c>
      <c r="G290" s="42" t="s">
        <v>20</v>
      </c>
      <c r="H290" s="42" t="s">
        <v>178</v>
      </c>
      <c r="I290" s="42" t="s">
        <v>1106</v>
      </c>
      <c r="J290" s="42" t="s">
        <v>1107</v>
      </c>
      <c r="K290" s="42" t="s">
        <v>394</v>
      </c>
      <c r="L290" s="43" t="s">
        <v>1108</v>
      </c>
      <c r="M290" s="42">
        <f t="shared" si="18"/>
        <v>130</v>
      </c>
      <c r="N290" s="42" t="str">
        <f t="shared" si="19"/>
        <v>Uygun</v>
      </c>
      <c r="O290" s="42">
        <v>5</v>
      </c>
      <c r="P290" s="42" t="s">
        <v>1109</v>
      </c>
    </row>
    <row r="291" spans="1:16" ht="30" customHeight="1" x14ac:dyDescent="0.2">
      <c r="A291" s="42">
        <v>290</v>
      </c>
      <c r="B291" s="42" t="s">
        <v>1110</v>
      </c>
      <c r="C291" s="42" t="s">
        <v>973</v>
      </c>
      <c r="D291" s="42" t="s">
        <v>163</v>
      </c>
      <c r="E291" s="42">
        <v>2</v>
      </c>
      <c r="F291" s="42" t="s">
        <v>245</v>
      </c>
      <c r="G291" s="42" t="s">
        <v>28</v>
      </c>
      <c r="H291" s="42" t="s">
        <v>123</v>
      </c>
      <c r="I291" s="42" t="s">
        <v>670</v>
      </c>
      <c r="J291" s="42" t="s">
        <v>1111</v>
      </c>
      <c r="K291" s="42" t="s">
        <v>380</v>
      </c>
      <c r="L291" s="43" t="s">
        <v>1112</v>
      </c>
      <c r="M291" s="42">
        <f t="shared" si="18"/>
        <v>121</v>
      </c>
      <c r="N291" s="42" t="str">
        <f t="shared" si="19"/>
        <v>Uygun</v>
      </c>
      <c r="O291" s="42">
        <v>5</v>
      </c>
      <c r="P291" s="42" t="s">
        <v>1113</v>
      </c>
    </row>
    <row r="292" spans="1:16" ht="30" customHeight="1" x14ac:dyDescent="0.2">
      <c r="A292" s="42">
        <v>291</v>
      </c>
      <c r="B292" s="42" t="s">
        <v>1114</v>
      </c>
      <c r="C292" s="42" t="s">
        <v>973</v>
      </c>
      <c r="D292" s="42" t="s">
        <v>163</v>
      </c>
      <c r="E292" s="42">
        <v>2</v>
      </c>
      <c r="F292" s="42" t="s">
        <v>41</v>
      </c>
      <c r="G292" s="42" t="s">
        <v>28</v>
      </c>
      <c r="H292" s="42" t="s">
        <v>41</v>
      </c>
      <c r="I292" s="42" t="s">
        <v>881</v>
      </c>
      <c r="J292" s="42" t="s">
        <v>1115</v>
      </c>
      <c r="K292" s="42" t="s">
        <v>385</v>
      </c>
      <c r="L292" s="43" t="s">
        <v>1116</v>
      </c>
      <c r="M292" s="42">
        <f t="shared" si="18"/>
        <v>111</v>
      </c>
      <c r="N292" s="42" t="str">
        <f t="shared" si="19"/>
        <v>Uygun</v>
      </c>
      <c r="O292" s="42">
        <v>5</v>
      </c>
      <c r="P292" s="42" t="s">
        <v>1117</v>
      </c>
    </row>
    <row r="293" spans="1:16" ht="45" customHeight="1" x14ac:dyDescent="0.2">
      <c r="A293" s="42">
        <v>292</v>
      </c>
      <c r="B293" s="42" t="s">
        <v>1118</v>
      </c>
      <c r="C293" s="42" t="s">
        <v>973</v>
      </c>
      <c r="D293" s="42" t="s">
        <v>163</v>
      </c>
      <c r="E293" s="42">
        <v>2</v>
      </c>
      <c r="F293" s="42" t="s">
        <v>356</v>
      </c>
      <c r="G293" s="42" t="s">
        <v>269</v>
      </c>
      <c r="H293" s="42" t="s">
        <v>110</v>
      </c>
      <c r="I293" s="42" t="s">
        <v>1106</v>
      </c>
      <c r="J293" s="42" t="s">
        <v>1119</v>
      </c>
      <c r="K293" s="42" t="s">
        <v>389</v>
      </c>
      <c r="L293" s="43" t="s">
        <v>1120</v>
      </c>
      <c r="M293" s="42">
        <f t="shared" si="18"/>
        <v>119</v>
      </c>
      <c r="N293" s="42" t="str">
        <f t="shared" si="19"/>
        <v>Uygun</v>
      </c>
      <c r="O293" s="42">
        <v>5</v>
      </c>
      <c r="P293" s="42" t="s">
        <v>1109</v>
      </c>
    </row>
    <row r="294" spans="1:16" ht="30" customHeight="1" x14ac:dyDescent="0.2">
      <c r="A294" s="42">
        <v>293</v>
      </c>
      <c r="B294" s="42" t="s">
        <v>1121</v>
      </c>
      <c r="C294" s="42" t="s">
        <v>973</v>
      </c>
      <c r="D294" s="42" t="s">
        <v>163</v>
      </c>
      <c r="E294" s="42">
        <v>2</v>
      </c>
      <c r="F294" s="42" t="s">
        <v>513</v>
      </c>
      <c r="G294" s="42" t="s">
        <v>28</v>
      </c>
      <c r="H294" s="42" t="s">
        <v>132</v>
      </c>
      <c r="I294" s="42" t="s">
        <v>419</v>
      </c>
      <c r="J294" s="42" t="s">
        <v>1122</v>
      </c>
      <c r="K294" s="42" t="s">
        <v>394</v>
      </c>
      <c r="L294" s="43" t="s">
        <v>1123</v>
      </c>
      <c r="M294" s="42">
        <f t="shared" si="18"/>
        <v>124</v>
      </c>
      <c r="N294" s="42" t="str">
        <f t="shared" si="19"/>
        <v>Uygun</v>
      </c>
      <c r="O294" s="42">
        <v>5</v>
      </c>
      <c r="P294" s="42" t="s">
        <v>1085</v>
      </c>
    </row>
    <row r="295" spans="1:16" ht="30" customHeight="1" x14ac:dyDescent="0.2">
      <c r="A295" s="42">
        <v>294</v>
      </c>
      <c r="B295" s="42" t="s">
        <v>1124</v>
      </c>
      <c r="C295" s="42" t="s">
        <v>973</v>
      </c>
      <c r="D295" s="42" t="s">
        <v>163</v>
      </c>
      <c r="E295" s="42">
        <v>2</v>
      </c>
      <c r="F295" s="42" t="s">
        <v>41</v>
      </c>
      <c r="G295" s="42" t="s">
        <v>28</v>
      </c>
      <c r="H295" s="42" t="s">
        <v>41</v>
      </c>
      <c r="I295" s="42" t="s">
        <v>881</v>
      </c>
      <c r="J295" s="42" t="s">
        <v>1125</v>
      </c>
      <c r="K295" s="42" t="s">
        <v>380</v>
      </c>
      <c r="L295" s="43" t="s">
        <v>1126</v>
      </c>
      <c r="M295" s="42">
        <f t="shared" si="18"/>
        <v>124</v>
      </c>
      <c r="N295" s="42" t="str">
        <f t="shared" si="19"/>
        <v>Uygun</v>
      </c>
      <c r="O295" s="42">
        <v>5</v>
      </c>
      <c r="P295" s="42" t="s">
        <v>1117</v>
      </c>
    </row>
    <row r="296" spans="1:16" ht="45" customHeight="1" x14ac:dyDescent="0.2">
      <c r="A296" s="42">
        <v>295</v>
      </c>
      <c r="B296" s="42" t="s">
        <v>1127</v>
      </c>
      <c r="C296" s="42" t="s">
        <v>973</v>
      </c>
      <c r="D296" s="42" t="s">
        <v>163</v>
      </c>
      <c r="E296" s="42">
        <v>2</v>
      </c>
      <c r="F296" s="42" t="s">
        <v>554</v>
      </c>
      <c r="G296" s="42" t="s">
        <v>28</v>
      </c>
      <c r="H296" s="42" t="s">
        <v>47</v>
      </c>
      <c r="I296" s="42" t="s">
        <v>650</v>
      </c>
      <c r="J296" s="42" t="s">
        <v>1128</v>
      </c>
      <c r="K296" s="42" t="s">
        <v>385</v>
      </c>
      <c r="L296" s="43" t="s">
        <v>1129</v>
      </c>
      <c r="M296" s="42">
        <f t="shared" si="18"/>
        <v>119</v>
      </c>
      <c r="N296" s="42" t="str">
        <f t="shared" si="19"/>
        <v>Uygun</v>
      </c>
      <c r="O296" s="42">
        <v>5</v>
      </c>
      <c r="P296" s="42" t="s">
        <v>1081</v>
      </c>
    </row>
    <row r="297" spans="1:16" ht="30" customHeight="1" x14ac:dyDescent="0.2">
      <c r="A297" s="42">
        <v>296</v>
      </c>
      <c r="B297" s="42" t="s">
        <v>1130</v>
      </c>
      <c r="C297" s="42" t="s">
        <v>973</v>
      </c>
      <c r="D297" s="42" t="s">
        <v>163</v>
      </c>
      <c r="E297" s="42">
        <v>2</v>
      </c>
      <c r="F297" s="42" t="s">
        <v>245</v>
      </c>
      <c r="G297" s="42" t="s">
        <v>28</v>
      </c>
      <c r="H297" s="42" t="s">
        <v>214</v>
      </c>
      <c r="I297" s="42" t="s">
        <v>1106</v>
      </c>
      <c r="J297" s="42" t="s">
        <v>1131</v>
      </c>
      <c r="K297" s="42" t="s">
        <v>389</v>
      </c>
      <c r="L297" s="43" t="s">
        <v>1132</v>
      </c>
      <c r="M297" s="42">
        <f t="shared" si="18"/>
        <v>120</v>
      </c>
      <c r="N297" s="42" t="str">
        <f t="shared" si="19"/>
        <v>Uygun</v>
      </c>
      <c r="O297" s="42">
        <v>5</v>
      </c>
      <c r="P297" s="42" t="s">
        <v>1109</v>
      </c>
    </row>
    <row r="298" spans="1:16" ht="45" customHeight="1" x14ac:dyDescent="0.2">
      <c r="A298" s="42">
        <v>297</v>
      </c>
      <c r="B298" s="42" t="s">
        <v>1133</v>
      </c>
      <c r="C298" s="42" t="s">
        <v>973</v>
      </c>
      <c r="D298" s="42" t="s">
        <v>163</v>
      </c>
      <c r="E298" s="42">
        <v>2</v>
      </c>
      <c r="F298" s="42" t="s">
        <v>212</v>
      </c>
      <c r="G298" s="42" t="s">
        <v>28</v>
      </c>
      <c r="H298" s="42" t="s">
        <v>231</v>
      </c>
      <c r="I298" s="42" t="s">
        <v>1106</v>
      </c>
      <c r="J298" s="42" t="s">
        <v>1134</v>
      </c>
      <c r="K298" s="42" t="s">
        <v>394</v>
      </c>
      <c r="L298" s="43" t="s">
        <v>1135</v>
      </c>
      <c r="M298" s="42">
        <f t="shared" si="18"/>
        <v>110</v>
      </c>
      <c r="N298" s="42" t="str">
        <f t="shared" si="19"/>
        <v>Uygun</v>
      </c>
      <c r="O298" s="42">
        <v>5</v>
      </c>
      <c r="P298" s="42" t="s">
        <v>1109</v>
      </c>
    </row>
    <row r="299" spans="1:16" ht="45" customHeight="1" x14ac:dyDescent="0.2">
      <c r="A299" s="42">
        <v>298</v>
      </c>
      <c r="B299" s="42" t="s">
        <v>1136</v>
      </c>
      <c r="C299" s="42" t="s">
        <v>973</v>
      </c>
      <c r="D299" s="42" t="s">
        <v>218</v>
      </c>
      <c r="E299" s="42">
        <v>3</v>
      </c>
      <c r="F299" s="42" t="s">
        <v>554</v>
      </c>
      <c r="G299" s="42" t="s">
        <v>28</v>
      </c>
      <c r="H299" s="42" t="s">
        <v>79</v>
      </c>
      <c r="I299" s="42" t="s">
        <v>445</v>
      </c>
      <c r="J299" s="42" t="s">
        <v>1137</v>
      </c>
      <c r="K299" s="42" t="s">
        <v>441</v>
      </c>
      <c r="L299" s="43" t="s">
        <v>1138</v>
      </c>
      <c r="M299" s="42">
        <f t="shared" si="18"/>
        <v>116</v>
      </c>
      <c r="N299" s="42" t="str">
        <f t="shared" si="19"/>
        <v>Uygun</v>
      </c>
      <c r="O299" s="42">
        <v>7</v>
      </c>
      <c r="P299" s="42" t="s">
        <v>1139</v>
      </c>
    </row>
    <row r="300" spans="1:16" ht="30" customHeight="1" x14ac:dyDescent="0.2">
      <c r="A300" s="42">
        <v>299</v>
      </c>
      <c r="B300" s="42" t="s">
        <v>1140</v>
      </c>
      <c r="C300" s="42" t="s">
        <v>973</v>
      </c>
      <c r="D300" s="42" t="s">
        <v>218</v>
      </c>
      <c r="E300" s="42">
        <v>3</v>
      </c>
      <c r="F300" s="42" t="s">
        <v>554</v>
      </c>
      <c r="G300" s="42" t="s">
        <v>28</v>
      </c>
      <c r="H300" s="42" t="s">
        <v>60</v>
      </c>
      <c r="I300" s="42" t="s">
        <v>692</v>
      </c>
      <c r="J300" s="42" t="s">
        <v>1141</v>
      </c>
      <c r="K300" s="42" t="s">
        <v>447</v>
      </c>
      <c r="L300" s="43" t="s">
        <v>1142</v>
      </c>
      <c r="M300" s="42">
        <f t="shared" si="18"/>
        <v>110</v>
      </c>
      <c r="N300" s="42" t="str">
        <f t="shared" si="19"/>
        <v>Uygun</v>
      </c>
      <c r="O300" s="42">
        <v>6</v>
      </c>
      <c r="P300" s="42" t="s">
        <v>1143</v>
      </c>
    </row>
    <row r="301" spans="1:16" ht="45" customHeight="1" x14ac:dyDescent="0.2">
      <c r="A301" s="42">
        <v>300</v>
      </c>
      <c r="B301" s="42" t="s">
        <v>1144</v>
      </c>
      <c r="C301" s="42" t="s">
        <v>973</v>
      </c>
      <c r="D301" s="42" t="s">
        <v>218</v>
      </c>
      <c r="E301" s="42">
        <v>3</v>
      </c>
      <c r="F301" s="42" t="s">
        <v>59</v>
      </c>
      <c r="G301" s="42" t="s">
        <v>28</v>
      </c>
      <c r="H301" s="42" t="s">
        <v>34</v>
      </c>
      <c r="I301" s="42" t="s">
        <v>1145</v>
      </c>
      <c r="J301" s="42" t="s">
        <v>1146</v>
      </c>
      <c r="K301" s="42" t="s">
        <v>453</v>
      </c>
      <c r="L301" s="43" t="s">
        <v>1147</v>
      </c>
      <c r="M301" s="42">
        <f t="shared" si="18"/>
        <v>127</v>
      </c>
      <c r="N301" s="42" t="str">
        <f t="shared" si="19"/>
        <v>Uygun</v>
      </c>
      <c r="O301" s="42">
        <v>7</v>
      </c>
      <c r="P301" s="42" t="s">
        <v>1148</v>
      </c>
    </row>
    <row r="302" spans="1:16" ht="30" customHeight="1" x14ac:dyDescent="0.2">
      <c r="A302" s="42">
        <v>301</v>
      </c>
      <c r="B302" s="42" t="s">
        <v>1149</v>
      </c>
      <c r="C302" s="42" t="s">
        <v>973</v>
      </c>
      <c r="D302" s="42" t="s">
        <v>218</v>
      </c>
      <c r="E302" s="42">
        <v>3</v>
      </c>
      <c r="F302" s="42" t="s">
        <v>554</v>
      </c>
      <c r="G302" s="42" t="s">
        <v>269</v>
      </c>
      <c r="H302" s="42" t="s">
        <v>21</v>
      </c>
      <c r="I302" s="42" t="s">
        <v>682</v>
      </c>
      <c r="J302" s="42" t="s">
        <v>1150</v>
      </c>
      <c r="K302" s="42" t="s">
        <v>458</v>
      </c>
      <c r="L302" s="43" t="s">
        <v>1151</v>
      </c>
      <c r="M302" s="42">
        <f t="shared" si="18"/>
        <v>117</v>
      </c>
      <c r="N302" s="42" t="str">
        <f t="shared" si="19"/>
        <v>Uygun</v>
      </c>
      <c r="O302" s="42">
        <v>6</v>
      </c>
      <c r="P302" s="42" t="s">
        <v>1152</v>
      </c>
    </row>
    <row r="303" spans="1:16" ht="45" customHeight="1" x14ac:dyDescent="0.2">
      <c r="A303" s="42">
        <v>302</v>
      </c>
      <c r="B303" s="42" t="s">
        <v>1153</v>
      </c>
      <c r="C303" s="42" t="s">
        <v>973</v>
      </c>
      <c r="D303" s="42" t="s">
        <v>218</v>
      </c>
      <c r="E303" s="42">
        <v>3</v>
      </c>
      <c r="F303" s="42" t="s">
        <v>513</v>
      </c>
      <c r="G303" s="42" t="s">
        <v>28</v>
      </c>
      <c r="H303" s="42" t="s">
        <v>53</v>
      </c>
      <c r="I303" s="42" t="s">
        <v>701</v>
      </c>
      <c r="J303" s="42" t="s">
        <v>1154</v>
      </c>
      <c r="K303" s="42" t="s">
        <v>441</v>
      </c>
      <c r="L303" s="43" t="s">
        <v>1155</v>
      </c>
      <c r="M303" s="42">
        <f t="shared" si="18"/>
        <v>129</v>
      </c>
      <c r="N303" s="42" t="str">
        <f t="shared" si="19"/>
        <v>Uygun</v>
      </c>
      <c r="O303" s="42">
        <v>7</v>
      </c>
      <c r="P303" s="42" t="s">
        <v>1156</v>
      </c>
    </row>
    <row r="304" spans="1:16" ht="45" customHeight="1" x14ac:dyDescent="0.2">
      <c r="A304" s="42">
        <v>303</v>
      </c>
      <c r="B304" s="42" t="s">
        <v>1157</v>
      </c>
      <c r="C304" s="42" t="s">
        <v>973</v>
      </c>
      <c r="D304" s="42" t="s">
        <v>218</v>
      </c>
      <c r="E304" s="42">
        <v>3</v>
      </c>
      <c r="F304" s="42" t="s">
        <v>245</v>
      </c>
      <c r="G304" s="42" t="s">
        <v>28</v>
      </c>
      <c r="H304" s="42" t="s">
        <v>47</v>
      </c>
      <c r="I304" s="42" t="s">
        <v>687</v>
      </c>
      <c r="J304" s="42" t="s">
        <v>1158</v>
      </c>
      <c r="K304" s="42" t="s">
        <v>447</v>
      </c>
      <c r="L304" s="43" t="s">
        <v>1159</v>
      </c>
      <c r="M304" s="42">
        <f t="shared" si="18"/>
        <v>127</v>
      </c>
      <c r="N304" s="42" t="str">
        <f t="shared" si="19"/>
        <v>Uygun</v>
      </c>
      <c r="O304" s="42">
        <v>6</v>
      </c>
      <c r="P304" s="42" t="s">
        <v>1160</v>
      </c>
    </row>
    <row r="305" spans="1:16" ht="45" customHeight="1" x14ac:dyDescent="0.2">
      <c r="A305" s="42">
        <v>304</v>
      </c>
      <c r="B305" s="42" t="s">
        <v>1161</v>
      </c>
      <c r="C305" s="42" t="s">
        <v>973</v>
      </c>
      <c r="D305" s="42" t="s">
        <v>218</v>
      </c>
      <c r="E305" s="42">
        <v>3</v>
      </c>
      <c r="F305" s="42" t="s">
        <v>554</v>
      </c>
      <c r="G305" s="42" t="s">
        <v>28</v>
      </c>
      <c r="H305" s="42" t="s">
        <v>231</v>
      </c>
      <c r="I305" s="42" t="s">
        <v>1145</v>
      </c>
      <c r="J305" s="42" t="s">
        <v>1162</v>
      </c>
      <c r="K305" s="42" t="s">
        <v>453</v>
      </c>
      <c r="L305" s="43" t="s">
        <v>1163</v>
      </c>
      <c r="M305" s="42">
        <f t="shared" ref="M305:M312" si="20">LEN(L305)</f>
        <v>115</v>
      </c>
      <c r="N305" s="42" t="str">
        <f t="shared" ref="N305:N312" si="21">IF(L305="","Eksik",IF(M305&lt;=130,"Uygun","130 karakteri aşıyor"))</f>
        <v>Uygun</v>
      </c>
      <c r="O305" s="42">
        <v>7</v>
      </c>
      <c r="P305" s="42" t="s">
        <v>1148</v>
      </c>
    </row>
    <row r="306" spans="1:16" ht="45" customHeight="1" x14ac:dyDescent="0.2">
      <c r="A306" s="42">
        <v>305</v>
      </c>
      <c r="B306" s="42" t="s">
        <v>1164</v>
      </c>
      <c r="C306" s="42" t="s">
        <v>973</v>
      </c>
      <c r="D306" s="42" t="s">
        <v>218</v>
      </c>
      <c r="E306" s="42">
        <v>3</v>
      </c>
      <c r="F306" s="42" t="s">
        <v>79</v>
      </c>
      <c r="G306" s="42" t="s">
        <v>269</v>
      </c>
      <c r="H306" s="42" t="s">
        <v>79</v>
      </c>
      <c r="I306" s="42" t="s">
        <v>445</v>
      </c>
      <c r="J306" s="42" t="s">
        <v>1165</v>
      </c>
      <c r="K306" s="42" t="s">
        <v>458</v>
      </c>
      <c r="L306" s="43" t="s">
        <v>1166</v>
      </c>
      <c r="M306" s="42">
        <f t="shared" si="20"/>
        <v>121</v>
      </c>
      <c r="N306" s="42" t="str">
        <f t="shared" si="21"/>
        <v>Uygun</v>
      </c>
      <c r="O306" s="42">
        <v>6</v>
      </c>
      <c r="P306" s="42" t="s">
        <v>1139</v>
      </c>
    </row>
    <row r="307" spans="1:16" ht="60" customHeight="1" x14ac:dyDescent="0.2">
      <c r="A307" s="42">
        <v>306</v>
      </c>
      <c r="B307" s="42" t="s">
        <v>1167</v>
      </c>
      <c r="C307" s="42" t="s">
        <v>973</v>
      </c>
      <c r="D307" s="42" t="s">
        <v>244</v>
      </c>
      <c r="E307" s="42">
        <v>4</v>
      </c>
      <c r="F307" s="42" t="s">
        <v>59</v>
      </c>
      <c r="G307" s="42" t="s">
        <v>28</v>
      </c>
      <c r="H307" s="42" t="s">
        <v>60</v>
      </c>
      <c r="I307" s="42" t="s">
        <v>1168</v>
      </c>
      <c r="J307" s="42" t="s">
        <v>1169</v>
      </c>
      <c r="K307" s="42" t="s">
        <v>475</v>
      </c>
      <c r="L307" s="43" t="s">
        <v>1170</v>
      </c>
      <c r="M307" s="42">
        <f t="shared" si="20"/>
        <v>121</v>
      </c>
      <c r="N307" s="42" t="str">
        <f t="shared" si="21"/>
        <v>Uygun</v>
      </c>
      <c r="O307" s="42">
        <v>8</v>
      </c>
      <c r="P307" s="42" t="s">
        <v>1171</v>
      </c>
    </row>
    <row r="308" spans="1:16" ht="45" customHeight="1" x14ac:dyDescent="0.2">
      <c r="A308" s="42">
        <v>307</v>
      </c>
      <c r="B308" s="42" t="s">
        <v>1172</v>
      </c>
      <c r="C308" s="42" t="s">
        <v>973</v>
      </c>
      <c r="D308" s="42" t="s">
        <v>244</v>
      </c>
      <c r="E308" s="42">
        <v>4</v>
      </c>
      <c r="F308" s="42" t="s">
        <v>245</v>
      </c>
      <c r="G308" s="42" t="s">
        <v>20</v>
      </c>
      <c r="H308" s="42" t="s">
        <v>123</v>
      </c>
      <c r="I308" s="42" t="s">
        <v>479</v>
      </c>
      <c r="J308" s="42" t="s">
        <v>1173</v>
      </c>
      <c r="K308" s="42" t="s">
        <v>481</v>
      </c>
      <c r="L308" s="43" t="s">
        <v>1174</v>
      </c>
      <c r="M308" s="42">
        <f t="shared" si="20"/>
        <v>122</v>
      </c>
      <c r="N308" s="42" t="str">
        <f t="shared" si="21"/>
        <v>Uygun</v>
      </c>
      <c r="O308" s="42">
        <v>8</v>
      </c>
      <c r="P308" s="42" t="s">
        <v>1175</v>
      </c>
    </row>
    <row r="309" spans="1:16" ht="60" customHeight="1" x14ac:dyDescent="0.2">
      <c r="A309" s="42">
        <v>308</v>
      </c>
      <c r="B309" s="42" t="s">
        <v>1176</v>
      </c>
      <c r="C309" s="42" t="s">
        <v>973</v>
      </c>
      <c r="D309" s="42" t="s">
        <v>244</v>
      </c>
      <c r="E309" s="42">
        <v>4</v>
      </c>
      <c r="F309" s="42" t="s">
        <v>554</v>
      </c>
      <c r="G309" s="42" t="s">
        <v>28</v>
      </c>
      <c r="H309" s="42" t="s">
        <v>34</v>
      </c>
      <c r="I309" s="42" t="s">
        <v>1177</v>
      </c>
      <c r="J309" s="42" t="s">
        <v>1178</v>
      </c>
      <c r="K309" s="42" t="s">
        <v>487</v>
      </c>
      <c r="L309" s="43" t="s">
        <v>1179</v>
      </c>
      <c r="M309" s="42">
        <f t="shared" si="20"/>
        <v>122</v>
      </c>
      <c r="N309" s="42" t="str">
        <f t="shared" si="21"/>
        <v>Uygun</v>
      </c>
      <c r="O309" s="42">
        <v>8</v>
      </c>
      <c r="P309" s="42" t="s">
        <v>1180</v>
      </c>
    </row>
    <row r="310" spans="1:16" ht="45" customHeight="1" x14ac:dyDescent="0.2">
      <c r="A310" s="42">
        <v>309</v>
      </c>
      <c r="B310" s="42" t="s">
        <v>1181</v>
      </c>
      <c r="C310" s="42" t="s">
        <v>973</v>
      </c>
      <c r="D310" s="42" t="s">
        <v>244</v>
      </c>
      <c r="E310" s="42">
        <v>4</v>
      </c>
      <c r="F310" s="42" t="s">
        <v>79</v>
      </c>
      <c r="G310" s="42" t="s">
        <v>28</v>
      </c>
      <c r="H310" s="42" t="s">
        <v>79</v>
      </c>
      <c r="I310" s="42" t="s">
        <v>473</v>
      </c>
      <c r="J310" s="42" t="s">
        <v>1182</v>
      </c>
      <c r="K310" s="42" t="s">
        <v>492</v>
      </c>
      <c r="L310" s="43" t="s">
        <v>1183</v>
      </c>
      <c r="M310" s="42">
        <f t="shared" si="20"/>
        <v>122</v>
      </c>
      <c r="N310" s="42" t="str">
        <f t="shared" si="21"/>
        <v>Uygun</v>
      </c>
      <c r="O310" s="42">
        <v>8</v>
      </c>
      <c r="P310" s="42" t="s">
        <v>1184</v>
      </c>
    </row>
    <row r="311" spans="1:16" ht="60" customHeight="1" x14ac:dyDescent="0.2">
      <c r="A311" s="42">
        <v>310</v>
      </c>
      <c r="B311" s="42" t="s">
        <v>1185</v>
      </c>
      <c r="C311" s="42" t="s">
        <v>973</v>
      </c>
      <c r="D311" s="42" t="s">
        <v>258</v>
      </c>
      <c r="E311" s="42">
        <v>5</v>
      </c>
      <c r="F311" s="42" t="s">
        <v>212</v>
      </c>
      <c r="G311" s="42" t="s">
        <v>269</v>
      </c>
      <c r="H311" s="42" t="s">
        <v>34</v>
      </c>
      <c r="I311" s="42" t="s">
        <v>1186</v>
      </c>
      <c r="J311" s="42" t="s">
        <v>1187</v>
      </c>
      <c r="K311" s="42" t="s">
        <v>497</v>
      </c>
      <c r="L311" s="43" t="s">
        <v>1188</v>
      </c>
      <c r="M311" s="42">
        <f t="shared" si="20"/>
        <v>123</v>
      </c>
      <c r="N311" s="42" t="str">
        <f t="shared" si="21"/>
        <v>Uygun</v>
      </c>
      <c r="O311" s="42">
        <v>10</v>
      </c>
      <c r="P311" s="42" t="s">
        <v>1189</v>
      </c>
    </row>
    <row r="312" spans="1:16" ht="60" customHeight="1" x14ac:dyDescent="0.2">
      <c r="A312" s="42">
        <v>311</v>
      </c>
      <c r="B312" s="42" t="s">
        <v>1190</v>
      </c>
      <c r="C312" s="42" t="s">
        <v>973</v>
      </c>
      <c r="D312" s="42" t="s">
        <v>258</v>
      </c>
      <c r="E312" s="42">
        <v>5</v>
      </c>
      <c r="F312" s="42" t="s">
        <v>41</v>
      </c>
      <c r="G312" s="42" t="s">
        <v>269</v>
      </c>
      <c r="H312" s="42" t="s">
        <v>123</v>
      </c>
      <c r="I312" s="42" t="s">
        <v>495</v>
      </c>
      <c r="J312" s="42" t="s">
        <v>1191</v>
      </c>
      <c r="K312" s="42" t="s">
        <v>503</v>
      </c>
      <c r="L312" s="43" t="s">
        <v>1192</v>
      </c>
      <c r="M312" s="42">
        <f t="shared" si="20"/>
        <v>128</v>
      </c>
      <c r="N312" s="42" t="str">
        <f t="shared" si="21"/>
        <v>Uygun</v>
      </c>
      <c r="O312" s="42">
        <v>10</v>
      </c>
      <c r="P312" s="42" t="s">
        <v>1193</v>
      </c>
    </row>
  </sheetData>
  <conditionalFormatting sqref="D2:D312">
    <cfRule type="expression" dxfId="4" priority="2">
      <formula>$D2="Multi"</formula>
    </cfRule>
    <cfRule type="expression" dxfId="3" priority="3">
      <formula>$D2="Efsanevi"</formula>
    </cfRule>
    <cfRule type="expression" dxfId="2" priority="4">
      <formula>$D2="Ender"</formula>
    </cfRule>
    <cfRule type="expression" dxfId="1" priority="5">
      <formula>$D2="Nadir"</formula>
    </cfRule>
  </conditionalFormatting>
  <conditionalFormatting sqref="N2:N312">
    <cfRule type="expression" dxfId="0" priority="6">
      <formula>$N2&lt;&gt;"Uygun"</formula>
    </cfRule>
  </conditionalFormatting>
  <pageMargins left="0.7" right="0.7" top="0.75" bottom="0.75" header="0.511811023622047" footer="0.511811023622047"/>
  <pageSetup paperSize="9" orientation="portrait" horizontalDpi="300" verticalDpi="300"/>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4"/>
  <sheetViews>
    <sheetView showGridLines="0" topLeftCell="C1" zoomScale="80" zoomScaleNormal="80" workbookViewId="0">
      <pane ySplit="1" topLeftCell="A2" activePane="bottomLeft" state="frozen"/>
      <selection pane="bottomLeft" activeCell="A2" sqref="A2"/>
    </sheetView>
  </sheetViews>
  <sheetFormatPr defaultColWidth="8.7109375" defaultRowHeight="12.75" x14ac:dyDescent="0.2"/>
  <cols>
    <col min="1" max="1" width="8" customWidth="1"/>
    <col min="2" max="2" width="28" customWidth="1"/>
    <col min="3" max="3" width="14" customWidth="1"/>
    <col min="4" max="4" width="12" customWidth="1"/>
    <col min="5" max="5" width="14" customWidth="1"/>
    <col min="6" max="6" width="24" customWidth="1"/>
    <col min="7" max="7" width="12" customWidth="1"/>
    <col min="8" max="8" width="14" customWidth="1"/>
    <col min="9" max="9" width="24" customWidth="1"/>
    <col min="10" max="10" width="52" customWidth="1"/>
    <col min="11" max="11" width="18" customWidth="1"/>
    <col min="12" max="12" width="58" customWidth="1"/>
    <col min="13" max="13" width="14" customWidth="1"/>
    <col min="14" max="14" width="12" customWidth="1"/>
    <col min="15" max="15" width="14" customWidth="1"/>
    <col min="16" max="16" width="45" customWidth="1"/>
  </cols>
  <sheetData>
    <row r="1" spans="1:16" ht="30" customHeight="1" x14ac:dyDescent="0.25">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row>
    <row r="2" spans="1:16" ht="45" customHeight="1" x14ac:dyDescent="0.2">
      <c r="A2" s="42">
        <v>1</v>
      </c>
      <c r="B2" s="42" t="s">
        <v>16</v>
      </c>
      <c r="C2" s="42" t="s">
        <v>17</v>
      </c>
      <c r="D2" s="42" t="s">
        <v>18</v>
      </c>
      <c r="E2" s="42">
        <v>1</v>
      </c>
      <c r="F2" s="42" t="s">
        <v>19</v>
      </c>
      <c r="G2" s="42" t="s">
        <v>20</v>
      </c>
      <c r="H2" s="42" t="s">
        <v>21</v>
      </c>
      <c r="I2" s="42" t="s">
        <v>22</v>
      </c>
      <c r="J2" s="42" t="s">
        <v>23</v>
      </c>
      <c r="K2" s="42" t="s">
        <v>24</v>
      </c>
      <c r="L2" s="42" t="s">
        <v>25</v>
      </c>
      <c r="M2" s="42">
        <f t="shared" ref="M2:M16" si="0">LEN(L2)</f>
        <v>128</v>
      </c>
      <c r="N2" s="42" t="str">
        <f t="shared" ref="N2:N16" si="1">IF(L2="","Eksik",IF(M2&lt;=130,"Uygun","130 karakteri aşıyor"))</f>
        <v>Uygun</v>
      </c>
      <c r="O2" s="42">
        <v>8</v>
      </c>
      <c r="P2" s="42" t="s">
        <v>26</v>
      </c>
    </row>
    <row r="3" spans="1:16" ht="60" customHeight="1" x14ac:dyDescent="0.2">
      <c r="A3" s="42">
        <v>2</v>
      </c>
      <c r="B3" s="42" t="s">
        <v>27</v>
      </c>
      <c r="C3" s="42" t="s">
        <v>17</v>
      </c>
      <c r="D3" s="42" t="s">
        <v>18</v>
      </c>
      <c r="E3" s="42">
        <v>1</v>
      </c>
      <c r="F3" s="42" t="s">
        <v>19</v>
      </c>
      <c r="G3" s="42" t="s">
        <v>28</v>
      </c>
      <c r="H3" s="42" t="s">
        <v>21</v>
      </c>
      <c r="I3" s="42" t="s">
        <v>29</v>
      </c>
      <c r="J3" s="42" t="s">
        <v>30</v>
      </c>
      <c r="K3" s="42" t="s">
        <v>24</v>
      </c>
      <c r="L3" s="42" t="s">
        <v>31</v>
      </c>
      <c r="M3" s="42">
        <f t="shared" si="0"/>
        <v>122</v>
      </c>
      <c r="N3" s="42" t="str">
        <f t="shared" si="1"/>
        <v>Uygun</v>
      </c>
      <c r="O3" s="42">
        <v>9</v>
      </c>
      <c r="P3" s="42" t="s">
        <v>32</v>
      </c>
    </row>
    <row r="4" spans="1:16" ht="45" customHeight="1" x14ac:dyDescent="0.2">
      <c r="A4" s="42">
        <v>3</v>
      </c>
      <c r="B4" s="42" t="s">
        <v>33</v>
      </c>
      <c r="C4" s="42" t="s">
        <v>17</v>
      </c>
      <c r="D4" s="42" t="s">
        <v>18</v>
      </c>
      <c r="E4" s="42">
        <v>1</v>
      </c>
      <c r="F4" s="42" t="s">
        <v>19</v>
      </c>
      <c r="G4" s="42" t="s">
        <v>20</v>
      </c>
      <c r="H4" s="42" t="s">
        <v>34</v>
      </c>
      <c r="I4" s="42" t="s">
        <v>35</v>
      </c>
      <c r="J4" s="42" t="s">
        <v>36</v>
      </c>
      <c r="K4" s="42" t="s">
        <v>24</v>
      </c>
      <c r="L4" s="42" t="s">
        <v>37</v>
      </c>
      <c r="M4" s="42">
        <f t="shared" si="0"/>
        <v>129</v>
      </c>
      <c r="N4" s="42" t="str">
        <f t="shared" si="1"/>
        <v>Uygun</v>
      </c>
      <c r="O4" s="42">
        <v>9</v>
      </c>
      <c r="P4" s="42" t="s">
        <v>38</v>
      </c>
    </row>
    <row r="5" spans="1:16" ht="60" customHeight="1" x14ac:dyDescent="0.2">
      <c r="A5" s="42">
        <v>4</v>
      </c>
      <c r="B5" s="42" t="s">
        <v>39</v>
      </c>
      <c r="C5" s="42" t="s">
        <v>17</v>
      </c>
      <c r="D5" s="42" t="s">
        <v>18</v>
      </c>
      <c r="E5" s="42">
        <v>1</v>
      </c>
      <c r="F5" s="42" t="s">
        <v>40</v>
      </c>
      <c r="G5" s="42" t="s">
        <v>20</v>
      </c>
      <c r="H5" s="42" t="s">
        <v>41</v>
      </c>
      <c r="I5" s="42" t="s">
        <v>42</v>
      </c>
      <c r="J5" s="42" t="s">
        <v>43</v>
      </c>
      <c r="K5" s="42" t="s">
        <v>24</v>
      </c>
      <c r="L5" s="42" t="s">
        <v>44</v>
      </c>
      <c r="M5" s="42">
        <f t="shared" si="0"/>
        <v>122</v>
      </c>
      <c r="N5" s="42" t="str">
        <f t="shared" si="1"/>
        <v>Uygun</v>
      </c>
      <c r="O5" s="42">
        <v>10</v>
      </c>
      <c r="P5" s="42" t="s">
        <v>45</v>
      </c>
    </row>
    <row r="6" spans="1:16" ht="60" customHeight="1" x14ac:dyDescent="0.2">
      <c r="A6" s="42">
        <v>5</v>
      </c>
      <c r="B6" s="42" t="s">
        <v>46</v>
      </c>
      <c r="C6" s="42" t="s">
        <v>17</v>
      </c>
      <c r="D6" s="42" t="s">
        <v>18</v>
      </c>
      <c r="E6" s="42">
        <v>1</v>
      </c>
      <c r="F6" s="42" t="s">
        <v>19</v>
      </c>
      <c r="G6" s="42" t="s">
        <v>28</v>
      </c>
      <c r="H6" s="42" t="s">
        <v>47</v>
      </c>
      <c r="I6" s="42" t="s">
        <v>48</v>
      </c>
      <c r="J6" s="42" t="s">
        <v>49</v>
      </c>
      <c r="K6" s="42" t="s">
        <v>24</v>
      </c>
      <c r="L6" s="42" t="s">
        <v>50</v>
      </c>
      <c r="M6" s="42">
        <f t="shared" si="0"/>
        <v>129</v>
      </c>
      <c r="N6" s="42" t="str">
        <f t="shared" si="1"/>
        <v>Uygun</v>
      </c>
      <c r="O6" s="42">
        <v>10</v>
      </c>
      <c r="P6" s="42" t="s">
        <v>51</v>
      </c>
    </row>
    <row r="7" spans="1:16" ht="60" customHeight="1" x14ac:dyDescent="0.2">
      <c r="A7" s="42">
        <v>6</v>
      </c>
      <c r="B7" s="42" t="s">
        <v>52</v>
      </c>
      <c r="C7" s="42" t="s">
        <v>17</v>
      </c>
      <c r="D7" s="42" t="s">
        <v>18</v>
      </c>
      <c r="E7" s="42">
        <v>1</v>
      </c>
      <c r="F7" s="42" t="s">
        <v>40</v>
      </c>
      <c r="G7" s="42" t="s">
        <v>20</v>
      </c>
      <c r="H7" s="42" t="s">
        <v>53</v>
      </c>
      <c r="I7" s="42" t="s">
        <v>54</v>
      </c>
      <c r="J7" s="42" t="s">
        <v>55</v>
      </c>
      <c r="K7" s="42" t="s">
        <v>24</v>
      </c>
      <c r="L7" s="42" t="s">
        <v>56</v>
      </c>
      <c r="M7" s="42">
        <f t="shared" si="0"/>
        <v>127</v>
      </c>
      <c r="N7" s="42" t="str">
        <f t="shared" si="1"/>
        <v>Uygun</v>
      </c>
      <c r="O7" s="42">
        <v>10</v>
      </c>
      <c r="P7" s="42" t="s">
        <v>57</v>
      </c>
    </row>
    <row r="8" spans="1:16" ht="45" customHeight="1" x14ac:dyDescent="0.2">
      <c r="A8" s="42">
        <v>7</v>
      </c>
      <c r="B8" s="42" t="s">
        <v>58</v>
      </c>
      <c r="C8" s="42" t="s">
        <v>17</v>
      </c>
      <c r="D8" s="42" t="s">
        <v>18</v>
      </c>
      <c r="E8" s="42">
        <v>1</v>
      </c>
      <c r="F8" s="42" t="s">
        <v>59</v>
      </c>
      <c r="G8" s="42" t="s">
        <v>28</v>
      </c>
      <c r="H8" s="42" t="s">
        <v>60</v>
      </c>
      <c r="I8" s="42" t="s">
        <v>35</v>
      </c>
      <c r="J8" s="42" t="s">
        <v>36</v>
      </c>
      <c r="K8" s="42" t="s">
        <v>24</v>
      </c>
      <c r="L8" s="42" t="s">
        <v>61</v>
      </c>
      <c r="M8" s="42">
        <f t="shared" si="0"/>
        <v>127</v>
      </c>
      <c r="N8" s="42" t="str">
        <f t="shared" si="1"/>
        <v>Uygun</v>
      </c>
      <c r="O8" s="42">
        <v>9</v>
      </c>
      <c r="P8" s="42" t="s">
        <v>62</v>
      </c>
    </row>
    <row r="9" spans="1:16" ht="60" customHeight="1" x14ac:dyDescent="0.2">
      <c r="A9" s="42">
        <v>8</v>
      </c>
      <c r="B9" s="42" t="s">
        <v>63</v>
      </c>
      <c r="C9" s="42" t="s">
        <v>17</v>
      </c>
      <c r="D9" s="42" t="s">
        <v>18</v>
      </c>
      <c r="E9" s="42">
        <v>1</v>
      </c>
      <c r="F9" s="42" t="s">
        <v>64</v>
      </c>
      <c r="G9" s="42" t="s">
        <v>20</v>
      </c>
      <c r="H9" s="42" t="s">
        <v>47</v>
      </c>
      <c r="I9" s="42" t="s">
        <v>54</v>
      </c>
      <c r="J9" s="42" t="s">
        <v>55</v>
      </c>
      <c r="K9" s="42" t="s">
        <v>24</v>
      </c>
      <c r="L9" s="42" t="s">
        <v>65</v>
      </c>
      <c r="M9" s="42">
        <f t="shared" si="0"/>
        <v>115</v>
      </c>
      <c r="N9" s="42" t="str">
        <f t="shared" si="1"/>
        <v>Uygun</v>
      </c>
      <c r="O9" s="42">
        <v>10</v>
      </c>
      <c r="P9" s="42" t="s">
        <v>66</v>
      </c>
    </row>
    <row r="10" spans="1:16" ht="60" customHeight="1" x14ac:dyDescent="0.2">
      <c r="A10" s="42">
        <v>9</v>
      </c>
      <c r="B10" s="42" t="s">
        <v>67</v>
      </c>
      <c r="C10" s="42" t="s">
        <v>17</v>
      </c>
      <c r="D10" s="42" t="s">
        <v>18</v>
      </c>
      <c r="E10" s="42">
        <v>1</v>
      </c>
      <c r="F10" s="42" t="s">
        <v>19</v>
      </c>
      <c r="G10" s="42" t="s">
        <v>28</v>
      </c>
      <c r="H10" s="42" t="s">
        <v>60</v>
      </c>
      <c r="I10" s="42" t="s">
        <v>68</v>
      </c>
      <c r="J10" s="42" t="s">
        <v>69</v>
      </c>
      <c r="K10" s="42" t="s">
        <v>24</v>
      </c>
      <c r="L10" s="42" t="s">
        <v>70</v>
      </c>
      <c r="M10" s="42">
        <f t="shared" si="0"/>
        <v>128</v>
      </c>
      <c r="N10" s="42" t="str">
        <f t="shared" si="1"/>
        <v>Uygun</v>
      </c>
      <c r="O10" s="42">
        <v>10</v>
      </c>
      <c r="P10" s="42" t="s">
        <v>71</v>
      </c>
    </row>
    <row r="11" spans="1:16" ht="60" customHeight="1" x14ac:dyDescent="0.2">
      <c r="A11" s="42">
        <v>10</v>
      </c>
      <c r="B11" s="42" t="s">
        <v>72</v>
      </c>
      <c r="C11" s="42" t="s">
        <v>17</v>
      </c>
      <c r="D11" s="42" t="s">
        <v>18</v>
      </c>
      <c r="E11" s="42">
        <v>1</v>
      </c>
      <c r="F11" s="42" t="s">
        <v>40</v>
      </c>
      <c r="G11" s="42" t="s">
        <v>28</v>
      </c>
      <c r="H11" s="42" t="s">
        <v>73</v>
      </c>
      <c r="I11" s="42" t="s">
        <v>74</v>
      </c>
      <c r="J11" s="42" t="s">
        <v>75</v>
      </c>
      <c r="K11" s="42" t="s">
        <v>24</v>
      </c>
      <c r="L11" s="42" t="s">
        <v>76</v>
      </c>
      <c r="M11" s="42">
        <f t="shared" si="0"/>
        <v>130</v>
      </c>
      <c r="N11" s="42" t="str">
        <f t="shared" si="1"/>
        <v>Uygun</v>
      </c>
      <c r="O11" s="42">
        <v>9</v>
      </c>
      <c r="P11" s="42" t="s">
        <v>77</v>
      </c>
    </row>
    <row r="12" spans="1:16" ht="45" customHeight="1" x14ac:dyDescent="0.2">
      <c r="A12" s="42">
        <v>11</v>
      </c>
      <c r="B12" s="42" t="s">
        <v>78</v>
      </c>
      <c r="C12" s="42" t="s">
        <v>17</v>
      </c>
      <c r="D12" s="42" t="s">
        <v>18</v>
      </c>
      <c r="E12" s="42">
        <v>1</v>
      </c>
      <c r="F12" s="42" t="s">
        <v>19</v>
      </c>
      <c r="G12" s="42" t="s">
        <v>20</v>
      </c>
      <c r="H12" s="42" t="s">
        <v>79</v>
      </c>
      <c r="I12" s="42" t="s">
        <v>80</v>
      </c>
      <c r="J12" s="42" t="s">
        <v>81</v>
      </c>
      <c r="K12" s="42" t="s">
        <v>24</v>
      </c>
      <c r="L12" s="42" t="s">
        <v>82</v>
      </c>
      <c r="M12" s="42">
        <f t="shared" si="0"/>
        <v>128</v>
      </c>
      <c r="N12" s="42" t="str">
        <f t="shared" si="1"/>
        <v>Uygun</v>
      </c>
      <c r="O12" s="42">
        <v>8</v>
      </c>
      <c r="P12" s="42" t="s">
        <v>83</v>
      </c>
    </row>
    <row r="13" spans="1:16" ht="60" customHeight="1" x14ac:dyDescent="0.2">
      <c r="A13" s="42">
        <v>12</v>
      </c>
      <c r="B13" s="42" t="s">
        <v>84</v>
      </c>
      <c r="C13" s="42" t="s">
        <v>17</v>
      </c>
      <c r="D13" s="42" t="s">
        <v>18</v>
      </c>
      <c r="E13" s="42">
        <v>1</v>
      </c>
      <c r="F13" s="42" t="s">
        <v>19</v>
      </c>
      <c r="G13" s="42" t="s">
        <v>28</v>
      </c>
      <c r="H13" s="42" t="s">
        <v>21</v>
      </c>
      <c r="I13" s="42" t="s">
        <v>54</v>
      </c>
      <c r="J13" s="42" t="s">
        <v>55</v>
      </c>
      <c r="K13" s="42" t="s">
        <v>24</v>
      </c>
      <c r="L13" s="42" t="s">
        <v>85</v>
      </c>
      <c r="M13" s="42">
        <f t="shared" si="0"/>
        <v>116</v>
      </c>
      <c r="N13" s="42" t="str">
        <f t="shared" si="1"/>
        <v>Uygun</v>
      </c>
      <c r="O13" s="42">
        <v>10</v>
      </c>
      <c r="P13" s="42" t="s">
        <v>86</v>
      </c>
    </row>
    <row r="14" spans="1:16" ht="45" customHeight="1" x14ac:dyDescent="0.2">
      <c r="A14" s="42">
        <v>13</v>
      </c>
      <c r="B14" s="42" t="s">
        <v>87</v>
      </c>
      <c r="C14" s="42" t="s">
        <v>17</v>
      </c>
      <c r="D14" s="42" t="s">
        <v>18</v>
      </c>
      <c r="E14" s="42">
        <v>1</v>
      </c>
      <c r="F14" s="42" t="s">
        <v>40</v>
      </c>
      <c r="G14" s="42" t="s">
        <v>20</v>
      </c>
      <c r="H14" s="42" t="s">
        <v>34</v>
      </c>
      <c r="I14" s="42" t="s">
        <v>88</v>
      </c>
      <c r="J14" s="42" t="s">
        <v>89</v>
      </c>
      <c r="K14" s="42" t="s">
        <v>24</v>
      </c>
      <c r="L14" s="42" t="s">
        <v>90</v>
      </c>
      <c r="M14" s="42">
        <f t="shared" si="0"/>
        <v>125</v>
      </c>
      <c r="N14" s="42" t="str">
        <f t="shared" si="1"/>
        <v>Uygun</v>
      </c>
      <c r="O14" s="42">
        <v>8</v>
      </c>
      <c r="P14" s="42" t="s">
        <v>91</v>
      </c>
    </row>
    <row r="15" spans="1:16" ht="60" customHeight="1" x14ac:dyDescent="0.2">
      <c r="A15" s="42">
        <v>14</v>
      </c>
      <c r="B15" s="42" t="s">
        <v>92</v>
      </c>
      <c r="C15" s="42" t="s">
        <v>17</v>
      </c>
      <c r="D15" s="42" t="s">
        <v>18</v>
      </c>
      <c r="E15" s="42">
        <v>1</v>
      </c>
      <c r="F15" s="42" t="s">
        <v>19</v>
      </c>
      <c r="G15" s="42" t="s">
        <v>28</v>
      </c>
      <c r="H15" s="42" t="s">
        <v>93</v>
      </c>
      <c r="I15" s="42" t="s">
        <v>29</v>
      </c>
      <c r="J15" s="42" t="s">
        <v>30</v>
      </c>
      <c r="K15" s="42" t="s">
        <v>24</v>
      </c>
      <c r="L15" s="42" t="s">
        <v>94</v>
      </c>
      <c r="M15" s="42">
        <f t="shared" si="0"/>
        <v>127</v>
      </c>
      <c r="N15" s="42" t="str">
        <f t="shared" si="1"/>
        <v>Uygun</v>
      </c>
      <c r="O15" s="42">
        <v>9</v>
      </c>
      <c r="P15" s="42" t="s">
        <v>95</v>
      </c>
    </row>
    <row r="16" spans="1:16" ht="45" customHeight="1" x14ac:dyDescent="0.2">
      <c r="A16" s="42">
        <v>15</v>
      </c>
      <c r="B16" s="42" t="s">
        <v>96</v>
      </c>
      <c r="C16" s="42" t="s">
        <v>17</v>
      </c>
      <c r="D16" s="42" t="s">
        <v>18</v>
      </c>
      <c r="E16" s="42">
        <v>1</v>
      </c>
      <c r="F16" s="42" t="s">
        <v>19</v>
      </c>
      <c r="G16" s="42" t="s">
        <v>20</v>
      </c>
      <c r="H16" s="42" t="s">
        <v>34</v>
      </c>
      <c r="I16" s="42" t="s">
        <v>22</v>
      </c>
      <c r="J16" s="42" t="s">
        <v>23</v>
      </c>
      <c r="K16" s="42" t="s">
        <v>24</v>
      </c>
      <c r="L16" s="42" t="s">
        <v>97</v>
      </c>
      <c r="M16" s="42">
        <f t="shared" si="0"/>
        <v>127</v>
      </c>
      <c r="N16" s="42" t="str">
        <f t="shared" si="1"/>
        <v>Uygun</v>
      </c>
      <c r="O16" s="42">
        <v>8</v>
      </c>
      <c r="P16" s="42" t="s">
        <v>98</v>
      </c>
    </row>
    <row r="17" spans="1:16" ht="45" customHeight="1" x14ac:dyDescent="0.2">
      <c r="A17" s="42">
        <v>16</v>
      </c>
      <c r="B17" s="42" t="s">
        <v>99</v>
      </c>
      <c r="C17" s="42" t="s">
        <v>17</v>
      </c>
      <c r="D17" s="42" t="s">
        <v>18</v>
      </c>
      <c r="E17" s="42">
        <v>1</v>
      </c>
      <c r="F17" s="42" t="s">
        <v>19</v>
      </c>
      <c r="G17" s="42" t="s">
        <v>28</v>
      </c>
      <c r="H17" s="42" t="s">
        <v>47</v>
      </c>
      <c r="I17" s="42" t="s">
        <v>35</v>
      </c>
      <c r="J17" s="42" t="s">
        <v>36</v>
      </c>
      <c r="K17" s="42" t="s">
        <v>24</v>
      </c>
      <c r="L17" s="42" t="s">
        <v>100</v>
      </c>
      <c r="M17" s="42">
        <v>129</v>
      </c>
      <c r="N17" s="42" t="s">
        <v>101</v>
      </c>
      <c r="O17" s="42">
        <v>9</v>
      </c>
      <c r="P17" s="42" t="s">
        <v>102</v>
      </c>
    </row>
    <row r="18" spans="1:16" ht="60" customHeight="1" x14ac:dyDescent="0.2">
      <c r="A18" s="42">
        <v>17</v>
      </c>
      <c r="B18" s="42" t="s">
        <v>103</v>
      </c>
      <c r="C18" s="42" t="s">
        <v>17</v>
      </c>
      <c r="D18" s="42" t="s">
        <v>18</v>
      </c>
      <c r="E18" s="42">
        <v>1</v>
      </c>
      <c r="F18" s="42" t="s">
        <v>41</v>
      </c>
      <c r="G18" s="42" t="s">
        <v>20</v>
      </c>
      <c r="H18" s="42" t="s">
        <v>41</v>
      </c>
      <c r="I18" s="42" t="s">
        <v>42</v>
      </c>
      <c r="J18" s="42" t="s">
        <v>43</v>
      </c>
      <c r="K18" s="42" t="s">
        <v>24</v>
      </c>
      <c r="L18" s="42" t="s">
        <v>104</v>
      </c>
      <c r="M18" s="42">
        <f t="shared" ref="M18:M41" si="2">LEN(L18)</f>
        <v>128</v>
      </c>
      <c r="N18" s="42" t="str">
        <f t="shared" ref="N18:N41" si="3">IF(L18="","Eksik",IF(M18&lt;=130,"Uygun","130 karakteri aşıyor"))</f>
        <v>Uygun</v>
      </c>
      <c r="O18" s="42">
        <v>10</v>
      </c>
      <c r="P18" s="42" t="s">
        <v>105</v>
      </c>
    </row>
    <row r="19" spans="1:16" ht="60" customHeight="1" x14ac:dyDescent="0.2">
      <c r="A19" s="42">
        <v>18</v>
      </c>
      <c r="B19" s="42" t="s">
        <v>106</v>
      </c>
      <c r="C19" s="42" t="s">
        <v>17</v>
      </c>
      <c r="D19" s="42" t="s">
        <v>18</v>
      </c>
      <c r="E19" s="42">
        <v>1</v>
      </c>
      <c r="F19" s="42" t="s">
        <v>59</v>
      </c>
      <c r="G19" s="42" t="s">
        <v>28</v>
      </c>
      <c r="H19" s="42" t="s">
        <v>60</v>
      </c>
      <c r="I19" s="42" t="s">
        <v>68</v>
      </c>
      <c r="J19" s="42" t="s">
        <v>69</v>
      </c>
      <c r="K19" s="42" t="s">
        <v>24</v>
      </c>
      <c r="L19" s="42" t="s">
        <v>107</v>
      </c>
      <c r="M19" s="42">
        <f t="shared" si="2"/>
        <v>130</v>
      </c>
      <c r="N19" s="42" t="str">
        <f t="shared" si="3"/>
        <v>Uygun</v>
      </c>
      <c r="O19" s="42">
        <v>10</v>
      </c>
      <c r="P19" s="42" t="s">
        <v>108</v>
      </c>
    </row>
    <row r="20" spans="1:16" ht="75" customHeight="1" x14ac:dyDescent="0.2">
      <c r="A20" s="42">
        <v>19</v>
      </c>
      <c r="B20" s="42" t="s">
        <v>109</v>
      </c>
      <c r="C20" s="42" t="s">
        <v>17</v>
      </c>
      <c r="D20" s="42" t="s">
        <v>18</v>
      </c>
      <c r="E20" s="42">
        <v>1</v>
      </c>
      <c r="F20" s="42" t="s">
        <v>19</v>
      </c>
      <c r="G20" s="42" t="s">
        <v>20</v>
      </c>
      <c r="H20" s="42" t="s">
        <v>110</v>
      </c>
      <c r="I20" s="42" t="s">
        <v>111</v>
      </c>
      <c r="J20" s="42" t="s">
        <v>112</v>
      </c>
      <c r="K20" s="42" t="s">
        <v>24</v>
      </c>
      <c r="L20" s="42" t="s">
        <v>113</v>
      </c>
      <c r="M20" s="42">
        <f t="shared" si="2"/>
        <v>128</v>
      </c>
      <c r="N20" s="42" t="str">
        <f t="shared" si="3"/>
        <v>Uygun</v>
      </c>
      <c r="O20" s="42">
        <v>10</v>
      </c>
      <c r="P20" s="42" t="s">
        <v>114</v>
      </c>
    </row>
    <row r="21" spans="1:16" ht="45" customHeight="1" x14ac:dyDescent="0.2">
      <c r="A21" s="42">
        <v>20</v>
      </c>
      <c r="B21" s="42" t="s">
        <v>115</v>
      </c>
      <c r="C21" s="42" t="s">
        <v>17</v>
      </c>
      <c r="D21" s="42" t="s">
        <v>18</v>
      </c>
      <c r="E21" s="42">
        <v>1</v>
      </c>
      <c r="F21" s="42" t="s">
        <v>40</v>
      </c>
      <c r="G21" s="42" t="s">
        <v>20</v>
      </c>
      <c r="H21" s="42" t="s">
        <v>116</v>
      </c>
      <c r="I21" s="42" t="s">
        <v>88</v>
      </c>
      <c r="J21" s="42" t="s">
        <v>89</v>
      </c>
      <c r="K21" s="42" t="s">
        <v>24</v>
      </c>
      <c r="L21" s="42" t="s">
        <v>117</v>
      </c>
      <c r="M21" s="42">
        <f t="shared" si="2"/>
        <v>125</v>
      </c>
      <c r="N21" s="42" t="str">
        <f t="shared" si="3"/>
        <v>Uygun</v>
      </c>
      <c r="O21" s="42">
        <v>8</v>
      </c>
      <c r="P21" s="42" t="s">
        <v>118</v>
      </c>
    </row>
    <row r="22" spans="1:16" ht="60" customHeight="1" x14ac:dyDescent="0.2">
      <c r="A22" s="42">
        <v>21</v>
      </c>
      <c r="B22" s="42" t="s">
        <v>119</v>
      </c>
      <c r="C22" s="42" t="s">
        <v>17</v>
      </c>
      <c r="D22" s="42" t="s">
        <v>18</v>
      </c>
      <c r="E22" s="42">
        <v>1</v>
      </c>
      <c r="F22" s="42" t="s">
        <v>41</v>
      </c>
      <c r="G22" s="42" t="s">
        <v>28</v>
      </c>
      <c r="H22" s="42" t="s">
        <v>21</v>
      </c>
      <c r="I22" s="42" t="s">
        <v>29</v>
      </c>
      <c r="J22" s="42" t="s">
        <v>30</v>
      </c>
      <c r="K22" s="42" t="s">
        <v>24</v>
      </c>
      <c r="L22" s="42" t="s">
        <v>120</v>
      </c>
      <c r="M22" s="42">
        <f t="shared" si="2"/>
        <v>120</v>
      </c>
      <c r="N22" s="42" t="str">
        <f t="shared" si="3"/>
        <v>Uygun</v>
      </c>
      <c r="O22" s="42">
        <v>9</v>
      </c>
      <c r="P22" s="42" t="s">
        <v>121</v>
      </c>
    </row>
    <row r="23" spans="1:16" ht="45" customHeight="1" x14ac:dyDescent="0.2">
      <c r="A23" s="42">
        <v>22</v>
      </c>
      <c r="B23" s="42" t="s">
        <v>122</v>
      </c>
      <c r="C23" s="42" t="s">
        <v>17</v>
      </c>
      <c r="D23" s="42" t="s">
        <v>18</v>
      </c>
      <c r="E23" s="42">
        <v>1</v>
      </c>
      <c r="F23" s="42" t="s">
        <v>40</v>
      </c>
      <c r="G23" s="42" t="s">
        <v>28</v>
      </c>
      <c r="H23" s="42" t="s">
        <v>123</v>
      </c>
      <c r="I23" s="42" t="s">
        <v>35</v>
      </c>
      <c r="J23" s="42" t="s">
        <v>36</v>
      </c>
      <c r="K23" s="42" t="s">
        <v>24</v>
      </c>
      <c r="L23" s="42" t="s">
        <v>124</v>
      </c>
      <c r="M23" s="42">
        <f t="shared" si="2"/>
        <v>127</v>
      </c>
      <c r="N23" s="42" t="str">
        <f t="shared" si="3"/>
        <v>Uygun</v>
      </c>
      <c r="O23" s="42">
        <v>9</v>
      </c>
      <c r="P23" s="42" t="s">
        <v>125</v>
      </c>
    </row>
    <row r="24" spans="1:16" ht="60" customHeight="1" x14ac:dyDescent="0.2">
      <c r="A24" s="42">
        <v>23</v>
      </c>
      <c r="B24" s="42" t="s">
        <v>126</v>
      </c>
      <c r="C24" s="42" t="s">
        <v>17</v>
      </c>
      <c r="D24" s="42" t="s">
        <v>18</v>
      </c>
      <c r="E24" s="42">
        <v>1</v>
      </c>
      <c r="F24" s="42" t="s">
        <v>40</v>
      </c>
      <c r="G24" s="42" t="s">
        <v>20</v>
      </c>
      <c r="H24" s="42" t="s">
        <v>53</v>
      </c>
      <c r="I24" s="42" t="s">
        <v>127</v>
      </c>
      <c r="J24" s="42" t="s">
        <v>128</v>
      </c>
      <c r="K24" s="42" t="s">
        <v>24</v>
      </c>
      <c r="L24" s="42" t="s">
        <v>129</v>
      </c>
      <c r="M24" s="42">
        <f t="shared" si="2"/>
        <v>123</v>
      </c>
      <c r="N24" s="42" t="str">
        <f t="shared" si="3"/>
        <v>Uygun</v>
      </c>
      <c r="O24" s="42">
        <v>10</v>
      </c>
      <c r="P24" s="42" t="s">
        <v>130</v>
      </c>
    </row>
    <row r="25" spans="1:16" ht="75" customHeight="1" x14ac:dyDescent="0.2">
      <c r="A25" s="42">
        <v>24</v>
      </c>
      <c r="B25" s="42" t="s">
        <v>131</v>
      </c>
      <c r="C25" s="42" t="s">
        <v>17</v>
      </c>
      <c r="D25" s="42" t="s">
        <v>18</v>
      </c>
      <c r="E25" s="42">
        <v>1</v>
      </c>
      <c r="F25" s="42" t="s">
        <v>41</v>
      </c>
      <c r="G25" s="42" t="s">
        <v>28</v>
      </c>
      <c r="H25" s="42" t="s">
        <v>132</v>
      </c>
      <c r="I25" s="42" t="s">
        <v>111</v>
      </c>
      <c r="J25" s="42" t="s">
        <v>112</v>
      </c>
      <c r="K25" s="42" t="s">
        <v>24</v>
      </c>
      <c r="L25" s="42" t="s">
        <v>133</v>
      </c>
      <c r="M25" s="42">
        <f t="shared" si="2"/>
        <v>122</v>
      </c>
      <c r="N25" s="42" t="str">
        <f t="shared" si="3"/>
        <v>Uygun</v>
      </c>
      <c r="O25" s="42">
        <v>10</v>
      </c>
      <c r="P25" s="42" t="s">
        <v>134</v>
      </c>
    </row>
    <row r="26" spans="1:16" ht="45" customHeight="1" x14ac:dyDescent="0.2">
      <c r="A26" s="42">
        <v>25</v>
      </c>
      <c r="B26" s="42" t="s">
        <v>135</v>
      </c>
      <c r="C26" s="42" t="s">
        <v>17</v>
      </c>
      <c r="D26" s="42" t="s">
        <v>18</v>
      </c>
      <c r="E26" s="42">
        <v>1</v>
      </c>
      <c r="F26" s="42" t="s">
        <v>19</v>
      </c>
      <c r="G26" s="42" t="s">
        <v>20</v>
      </c>
      <c r="H26" s="42" t="s">
        <v>79</v>
      </c>
      <c r="I26" s="42" t="s">
        <v>35</v>
      </c>
      <c r="J26" s="42" t="s">
        <v>36</v>
      </c>
      <c r="K26" s="42" t="s">
        <v>24</v>
      </c>
      <c r="L26" s="42" t="s">
        <v>136</v>
      </c>
      <c r="M26" s="42">
        <f t="shared" si="2"/>
        <v>125</v>
      </c>
      <c r="N26" s="42" t="str">
        <f t="shared" si="3"/>
        <v>Uygun</v>
      </c>
      <c r="O26" s="42">
        <v>9</v>
      </c>
      <c r="P26" s="42" t="s">
        <v>137</v>
      </c>
    </row>
    <row r="27" spans="1:16" ht="60" customHeight="1" x14ac:dyDescent="0.2">
      <c r="A27" s="42">
        <v>26</v>
      </c>
      <c r="B27" s="42" t="s">
        <v>138</v>
      </c>
      <c r="C27" s="42" t="s">
        <v>17</v>
      </c>
      <c r="D27" s="42" t="s">
        <v>18</v>
      </c>
      <c r="E27" s="42">
        <v>1</v>
      </c>
      <c r="F27" s="42" t="s">
        <v>41</v>
      </c>
      <c r="G27" s="42" t="s">
        <v>28</v>
      </c>
      <c r="H27" s="42" t="s">
        <v>41</v>
      </c>
      <c r="I27" s="42" t="s">
        <v>42</v>
      </c>
      <c r="J27" s="42" t="s">
        <v>43</v>
      </c>
      <c r="K27" s="42" t="s">
        <v>24</v>
      </c>
      <c r="L27" s="42" t="s">
        <v>139</v>
      </c>
      <c r="M27" s="42">
        <f t="shared" si="2"/>
        <v>122</v>
      </c>
      <c r="N27" s="42" t="str">
        <f t="shared" si="3"/>
        <v>Uygun</v>
      </c>
      <c r="O27" s="42">
        <v>10</v>
      </c>
      <c r="P27" s="42" t="s">
        <v>140</v>
      </c>
    </row>
    <row r="28" spans="1:16" ht="60" customHeight="1" x14ac:dyDescent="0.2">
      <c r="A28" s="42">
        <v>27</v>
      </c>
      <c r="B28" s="42" t="s">
        <v>141</v>
      </c>
      <c r="C28" s="42" t="s">
        <v>17</v>
      </c>
      <c r="D28" s="42" t="s">
        <v>18</v>
      </c>
      <c r="E28" s="42">
        <v>1</v>
      </c>
      <c r="F28" s="42" t="s">
        <v>40</v>
      </c>
      <c r="G28" s="42" t="s">
        <v>20</v>
      </c>
      <c r="H28" s="42" t="s">
        <v>53</v>
      </c>
      <c r="I28" s="42" t="s">
        <v>54</v>
      </c>
      <c r="J28" s="42" t="s">
        <v>55</v>
      </c>
      <c r="K28" s="42" t="s">
        <v>24</v>
      </c>
      <c r="L28" s="42" t="s">
        <v>142</v>
      </c>
      <c r="M28" s="42">
        <f t="shared" si="2"/>
        <v>120</v>
      </c>
      <c r="N28" s="42" t="str">
        <f t="shared" si="3"/>
        <v>Uygun</v>
      </c>
      <c r="O28" s="42">
        <v>10</v>
      </c>
      <c r="P28" s="42" t="s">
        <v>143</v>
      </c>
    </row>
    <row r="29" spans="1:16" ht="45" customHeight="1" x14ac:dyDescent="0.2">
      <c r="A29" s="42">
        <v>28</v>
      </c>
      <c r="B29" s="42" t="s">
        <v>144</v>
      </c>
      <c r="C29" s="42" t="s">
        <v>17</v>
      </c>
      <c r="D29" s="42" t="s">
        <v>18</v>
      </c>
      <c r="E29" s="42">
        <v>1</v>
      </c>
      <c r="F29" s="42" t="s">
        <v>19</v>
      </c>
      <c r="G29" s="42" t="s">
        <v>28</v>
      </c>
      <c r="H29" s="42" t="s">
        <v>110</v>
      </c>
      <c r="I29" s="42" t="s">
        <v>80</v>
      </c>
      <c r="J29" s="42" t="s">
        <v>81</v>
      </c>
      <c r="K29" s="42" t="s">
        <v>24</v>
      </c>
      <c r="L29" s="42" t="s">
        <v>145</v>
      </c>
      <c r="M29" s="42">
        <f t="shared" si="2"/>
        <v>125</v>
      </c>
      <c r="N29" s="42" t="str">
        <f t="shared" si="3"/>
        <v>Uygun</v>
      </c>
      <c r="O29" s="42">
        <v>8</v>
      </c>
      <c r="P29" s="42" t="s">
        <v>146</v>
      </c>
    </row>
    <row r="30" spans="1:16" ht="60" customHeight="1" x14ac:dyDescent="0.2">
      <c r="A30" s="42">
        <v>29</v>
      </c>
      <c r="B30" s="42" t="s">
        <v>147</v>
      </c>
      <c r="C30" s="42" t="s">
        <v>17</v>
      </c>
      <c r="D30" s="42" t="s">
        <v>18</v>
      </c>
      <c r="E30" s="42">
        <v>1</v>
      </c>
      <c r="F30" s="42" t="s">
        <v>19</v>
      </c>
      <c r="G30" s="42" t="s">
        <v>20</v>
      </c>
      <c r="H30" s="42" t="s">
        <v>73</v>
      </c>
      <c r="I30" s="42" t="s">
        <v>127</v>
      </c>
      <c r="J30" s="42" t="s">
        <v>128</v>
      </c>
      <c r="K30" s="42" t="s">
        <v>24</v>
      </c>
      <c r="L30" s="42" t="s">
        <v>148</v>
      </c>
      <c r="M30" s="42">
        <f t="shared" si="2"/>
        <v>129</v>
      </c>
      <c r="N30" s="42" t="str">
        <f t="shared" si="3"/>
        <v>Uygun</v>
      </c>
      <c r="O30" s="42">
        <v>10</v>
      </c>
      <c r="P30" s="42" t="s">
        <v>149</v>
      </c>
    </row>
    <row r="31" spans="1:16" ht="60" customHeight="1" x14ac:dyDescent="0.2">
      <c r="A31" s="42">
        <v>30</v>
      </c>
      <c r="B31" s="42" t="s">
        <v>150</v>
      </c>
      <c r="C31" s="42" t="s">
        <v>17</v>
      </c>
      <c r="D31" s="42" t="s">
        <v>18</v>
      </c>
      <c r="E31" s="42">
        <v>1</v>
      </c>
      <c r="F31" s="42" t="s">
        <v>40</v>
      </c>
      <c r="G31" s="42" t="s">
        <v>28</v>
      </c>
      <c r="H31" s="42" t="s">
        <v>21</v>
      </c>
      <c r="I31" s="42" t="s">
        <v>74</v>
      </c>
      <c r="J31" s="42" t="s">
        <v>75</v>
      </c>
      <c r="K31" s="42" t="s">
        <v>24</v>
      </c>
      <c r="L31" s="42" t="s">
        <v>151</v>
      </c>
      <c r="M31" s="42">
        <f t="shared" si="2"/>
        <v>129</v>
      </c>
      <c r="N31" s="42" t="str">
        <f t="shared" si="3"/>
        <v>Uygun</v>
      </c>
      <c r="O31" s="42">
        <v>9</v>
      </c>
      <c r="P31" s="42" t="s">
        <v>152</v>
      </c>
    </row>
    <row r="32" spans="1:16" ht="60" customHeight="1" x14ac:dyDescent="0.2">
      <c r="A32" s="42">
        <v>31</v>
      </c>
      <c r="B32" s="42" t="s">
        <v>153</v>
      </c>
      <c r="C32" s="42" t="s">
        <v>17</v>
      </c>
      <c r="D32" s="42" t="s">
        <v>18</v>
      </c>
      <c r="E32" s="42">
        <v>1</v>
      </c>
      <c r="F32" s="42" t="s">
        <v>19</v>
      </c>
      <c r="G32" s="42" t="s">
        <v>20</v>
      </c>
      <c r="H32" s="42" t="s">
        <v>154</v>
      </c>
      <c r="I32" s="42" t="s">
        <v>155</v>
      </c>
      <c r="J32" s="42" t="s">
        <v>156</v>
      </c>
      <c r="K32" s="42" t="s">
        <v>24</v>
      </c>
      <c r="L32" s="42" t="s">
        <v>157</v>
      </c>
      <c r="M32" s="42">
        <f t="shared" si="2"/>
        <v>124</v>
      </c>
      <c r="N32" s="42" t="str">
        <f t="shared" si="3"/>
        <v>Uygun</v>
      </c>
      <c r="O32" s="42">
        <v>10</v>
      </c>
      <c r="P32" s="42" t="s">
        <v>158</v>
      </c>
    </row>
    <row r="33" spans="1:16" ht="60" customHeight="1" x14ac:dyDescent="0.2">
      <c r="A33" s="42">
        <v>32</v>
      </c>
      <c r="B33" s="42" t="s">
        <v>159</v>
      </c>
      <c r="C33" s="42" t="s">
        <v>17</v>
      </c>
      <c r="D33" s="42" t="s">
        <v>18</v>
      </c>
      <c r="E33" s="42">
        <v>1</v>
      </c>
      <c r="F33" s="42" t="s">
        <v>19</v>
      </c>
      <c r="G33" s="42" t="s">
        <v>28</v>
      </c>
      <c r="H33" s="42" t="s">
        <v>60</v>
      </c>
      <c r="I33" s="42" t="s">
        <v>68</v>
      </c>
      <c r="J33" s="42" t="s">
        <v>69</v>
      </c>
      <c r="K33" s="42" t="s">
        <v>24</v>
      </c>
      <c r="L33" s="42" t="s">
        <v>160</v>
      </c>
      <c r="M33" s="42">
        <f t="shared" si="2"/>
        <v>130</v>
      </c>
      <c r="N33" s="42" t="str">
        <f t="shared" si="3"/>
        <v>Uygun</v>
      </c>
      <c r="O33" s="42">
        <v>10</v>
      </c>
      <c r="P33" s="42" t="s">
        <v>161</v>
      </c>
    </row>
    <row r="34" spans="1:16" ht="60" customHeight="1" x14ac:dyDescent="0.2">
      <c r="A34" s="42">
        <v>33</v>
      </c>
      <c r="B34" s="42" t="s">
        <v>162</v>
      </c>
      <c r="C34" s="42" t="s">
        <v>17</v>
      </c>
      <c r="D34" s="42" t="s">
        <v>163</v>
      </c>
      <c r="E34" s="42">
        <v>2</v>
      </c>
      <c r="F34" s="42" t="s">
        <v>40</v>
      </c>
      <c r="G34" s="42" t="s">
        <v>20</v>
      </c>
      <c r="H34" s="42" t="s">
        <v>164</v>
      </c>
      <c r="I34" s="42" t="s">
        <v>48</v>
      </c>
      <c r="J34" s="42" t="s">
        <v>49</v>
      </c>
      <c r="K34" s="42" t="s">
        <v>24</v>
      </c>
      <c r="L34" s="42" t="s">
        <v>165</v>
      </c>
      <c r="M34" s="42">
        <f t="shared" si="2"/>
        <v>121</v>
      </c>
      <c r="N34" s="42" t="str">
        <f t="shared" si="3"/>
        <v>Uygun</v>
      </c>
      <c r="O34" s="42">
        <v>10</v>
      </c>
      <c r="P34" s="42" t="s">
        <v>166</v>
      </c>
    </row>
    <row r="35" spans="1:16" ht="60" customHeight="1" x14ac:dyDescent="0.2">
      <c r="A35" s="42">
        <v>34</v>
      </c>
      <c r="B35" s="42" t="s">
        <v>167</v>
      </c>
      <c r="C35" s="42" t="s">
        <v>17</v>
      </c>
      <c r="D35" s="42" t="s">
        <v>163</v>
      </c>
      <c r="E35" s="42">
        <v>2</v>
      </c>
      <c r="F35" s="42" t="s">
        <v>19</v>
      </c>
      <c r="G35" s="42" t="s">
        <v>28</v>
      </c>
      <c r="H35" s="42" t="s">
        <v>60</v>
      </c>
      <c r="I35" s="42" t="s">
        <v>155</v>
      </c>
      <c r="J35" s="42" t="s">
        <v>156</v>
      </c>
      <c r="K35" s="42" t="s">
        <v>24</v>
      </c>
      <c r="L35" s="42" t="s">
        <v>168</v>
      </c>
      <c r="M35" s="42">
        <f t="shared" si="2"/>
        <v>130</v>
      </c>
      <c r="N35" s="42" t="str">
        <f t="shared" si="3"/>
        <v>Uygun</v>
      </c>
      <c r="O35" s="42">
        <v>10</v>
      </c>
      <c r="P35" s="42" t="s">
        <v>169</v>
      </c>
    </row>
    <row r="36" spans="1:16" ht="45" customHeight="1" x14ac:dyDescent="0.2">
      <c r="A36" s="42">
        <v>35</v>
      </c>
      <c r="B36" s="42" t="s">
        <v>170</v>
      </c>
      <c r="C36" s="42" t="s">
        <v>17</v>
      </c>
      <c r="D36" s="42" t="s">
        <v>163</v>
      </c>
      <c r="E36" s="42">
        <v>2</v>
      </c>
      <c r="F36" s="42" t="s">
        <v>59</v>
      </c>
      <c r="G36" s="42" t="s">
        <v>20</v>
      </c>
      <c r="H36" s="42" t="s">
        <v>21</v>
      </c>
      <c r="I36" s="42" t="s">
        <v>22</v>
      </c>
      <c r="J36" s="42" t="s">
        <v>23</v>
      </c>
      <c r="K36" s="42" t="s">
        <v>24</v>
      </c>
      <c r="L36" s="42" t="s">
        <v>171</v>
      </c>
      <c r="M36" s="42">
        <f t="shared" si="2"/>
        <v>127</v>
      </c>
      <c r="N36" s="42" t="str">
        <f t="shared" si="3"/>
        <v>Uygun</v>
      </c>
      <c r="O36" s="42">
        <v>8</v>
      </c>
      <c r="P36" s="42" t="s">
        <v>172</v>
      </c>
    </row>
    <row r="37" spans="1:16" ht="45" customHeight="1" x14ac:dyDescent="0.2">
      <c r="A37" s="42">
        <v>36</v>
      </c>
      <c r="B37" s="42" t="s">
        <v>173</v>
      </c>
      <c r="C37" s="42" t="s">
        <v>17</v>
      </c>
      <c r="D37" s="42" t="s">
        <v>163</v>
      </c>
      <c r="E37" s="42">
        <v>2</v>
      </c>
      <c r="F37" s="42" t="s">
        <v>41</v>
      </c>
      <c r="G37" s="42" t="s">
        <v>28</v>
      </c>
      <c r="H37" s="42" t="s">
        <v>174</v>
      </c>
      <c r="I37" s="42" t="s">
        <v>80</v>
      </c>
      <c r="J37" s="42" t="s">
        <v>81</v>
      </c>
      <c r="K37" s="42" t="s">
        <v>24</v>
      </c>
      <c r="L37" s="42" t="s">
        <v>175</v>
      </c>
      <c r="M37" s="42">
        <f t="shared" si="2"/>
        <v>127</v>
      </c>
      <c r="N37" s="42" t="str">
        <f t="shared" si="3"/>
        <v>Uygun</v>
      </c>
      <c r="O37" s="42">
        <v>8</v>
      </c>
      <c r="P37" s="42" t="s">
        <v>176</v>
      </c>
    </row>
    <row r="38" spans="1:16" ht="45" customHeight="1" x14ac:dyDescent="0.2">
      <c r="A38" s="42">
        <v>37</v>
      </c>
      <c r="B38" s="42" t="s">
        <v>177</v>
      </c>
      <c r="C38" s="42" t="s">
        <v>17</v>
      </c>
      <c r="D38" s="42" t="s">
        <v>163</v>
      </c>
      <c r="E38" s="42">
        <v>2</v>
      </c>
      <c r="F38" s="42" t="s">
        <v>40</v>
      </c>
      <c r="G38" s="42" t="s">
        <v>20</v>
      </c>
      <c r="H38" s="42" t="s">
        <v>178</v>
      </c>
      <c r="I38" s="42" t="s">
        <v>88</v>
      </c>
      <c r="J38" s="42" t="s">
        <v>89</v>
      </c>
      <c r="K38" s="42" t="s">
        <v>24</v>
      </c>
      <c r="L38" s="42" t="s">
        <v>179</v>
      </c>
      <c r="M38" s="42">
        <f t="shared" si="2"/>
        <v>127</v>
      </c>
      <c r="N38" s="42" t="str">
        <f t="shared" si="3"/>
        <v>Uygun</v>
      </c>
      <c r="O38" s="42">
        <v>8</v>
      </c>
      <c r="P38" s="42" t="s">
        <v>180</v>
      </c>
    </row>
    <row r="39" spans="1:16" ht="75" customHeight="1" x14ac:dyDescent="0.2">
      <c r="A39" s="42">
        <v>38</v>
      </c>
      <c r="B39" s="42" t="s">
        <v>181</v>
      </c>
      <c r="C39" s="42" t="s">
        <v>17</v>
      </c>
      <c r="D39" s="42" t="s">
        <v>163</v>
      </c>
      <c r="E39" s="42">
        <v>2</v>
      </c>
      <c r="F39" s="42" t="s">
        <v>19</v>
      </c>
      <c r="G39" s="42" t="s">
        <v>20</v>
      </c>
      <c r="H39" s="42" t="s">
        <v>132</v>
      </c>
      <c r="I39" s="42" t="s">
        <v>111</v>
      </c>
      <c r="J39" s="42" t="s">
        <v>112</v>
      </c>
      <c r="K39" s="42" t="s">
        <v>24</v>
      </c>
      <c r="L39" s="42" t="s">
        <v>182</v>
      </c>
      <c r="M39" s="42">
        <f t="shared" si="2"/>
        <v>123</v>
      </c>
      <c r="N39" s="42" t="str">
        <f t="shared" si="3"/>
        <v>Uygun</v>
      </c>
      <c r="O39" s="42">
        <v>10</v>
      </c>
      <c r="P39" s="42" t="s">
        <v>183</v>
      </c>
    </row>
    <row r="40" spans="1:16" ht="60" customHeight="1" x14ac:dyDescent="0.2">
      <c r="A40" s="42">
        <v>39</v>
      </c>
      <c r="B40" s="42" t="s">
        <v>184</v>
      </c>
      <c r="C40" s="42" t="s">
        <v>17</v>
      </c>
      <c r="D40" s="42" t="s">
        <v>163</v>
      </c>
      <c r="E40" s="42">
        <v>2</v>
      </c>
      <c r="F40" s="42" t="s">
        <v>19</v>
      </c>
      <c r="G40" s="42" t="s">
        <v>28</v>
      </c>
      <c r="H40" s="42" t="s">
        <v>93</v>
      </c>
      <c r="I40" s="42" t="s">
        <v>29</v>
      </c>
      <c r="J40" s="42" t="s">
        <v>30</v>
      </c>
      <c r="K40" s="42" t="s">
        <v>24</v>
      </c>
      <c r="L40" s="42" t="s">
        <v>185</v>
      </c>
      <c r="M40" s="42">
        <f t="shared" si="2"/>
        <v>128</v>
      </c>
      <c r="N40" s="42" t="str">
        <f t="shared" si="3"/>
        <v>Uygun</v>
      </c>
      <c r="O40" s="42">
        <v>9</v>
      </c>
      <c r="P40" s="42" t="s">
        <v>186</v>
      </c>
    </row>
    <row r="41" spans="1:16" ht="45" customHeight="1" x14ac:dyDescent="0.2">
      <c r="A41" s="42">
        <v>40</v>
      </c>
      <c r="B41" s="42" t="s">
        <v>187</v>
      </c>
      <c r="C41" s="42" t="s">
        <v>17</v>
      </c>
      <c r="D41" s="42" t="s">
        <v>163</v>
      </c>
      <c r="E41" s="42">
        <v>2</v>
      </c>
      <c r="F41" s="42" t="s">
        <v>59</v>
      </c>
      <c r="G41" s="42" t="s">
        <v>20</v>
      </c>
      <c r="H41" s="42" t="s">
        <v>53</v>
      </c>
      <c r="I41" s="42" t="s">
        <v>35</v>
      </c>
      <c r="J41" s="42" t="s">
        <v>36</v>
      </c>
      <c r="K41" s="42" t="s">
        <v>24</v>
      </c>
      <c r="L41" s="42" t="s">
        <v>188</v>
      </c>
      <c r="M41" s="42">
        <f t="shared" si="2"/>
        <v>128</v>
      </c>
      <c r="N41" s="42" t="str">
        <f t="shared" si="3"/>
        <v>Uygun</v>
      </c>
      <c r="O41" s="42">
        <v>9</v>
      </c>
      <c r="P41" s="42" t="s">
        <v>189</v>
      </c>
    </row>
    <row r="42" spans="1:16" ht="45" customHeight="1" x14ac:dyDescent="0.2">
      <c r="A42" s="42">
        <v>41</v>
      </c>
      <c r="B42" s="42" t="s">
        <v>190</v>
      </c>
      <c r="C42" s="42" t="s">
        <v>17</v>
      </c>
      <c r="D42" s="42" t="s">
        <v>163</v>
      </c>
      <c r="E42" s="42">
        <v>2</v>
      </c>
      <c r="F42" s="42" t="s">
        <v>19</v>
      </c>
      <c r="G42" s="42" t="s">
        <v>28</v>
      </c>
      <c r="H42" s="42" t="s">
        <v>110</v>
      </c>
      <c r="I42" s="42" t="s">
        <v>35</v>
      </c>
      <c r="J42" s="42" t="s">
        <v>36</v>
      </c>
      <c r="K42" s="42" t="s">
        <v>24</v>
      </c>
      <c r="L42" s="42" t="s">
        <v>191</v>
      </c>
      <c r="M42" s="42">
        <v>127</v>
      </c>
      <c r="N42" s="42" t="s">
        <v>101</v>
      </c>
      <c r="O42" s="42">
        <v>9</v>
      </c>
      <c r="P42" s="42" t="s">
        <v>192</v>
      </c>
    </row>
    <row r="43" spans="1:16" ht="45" customHeight="1" x14ac:dyDescent="0.2">
      <c r="A43" s="42">
        <v>42</v>
      </c>
      <c r="B43" s="42" t="s">
        <v>193</v>
      </c>
      <c r="C43" s="42" t="s">
        <v>17</v>
      </c>
      <c r="D43" s="42" t="s">
        <v>163</v>
      </c>
      <c r="E43" s="42">
        <v>2</v>
      </c>
      <c r="F43" s="42" t="s">
        <v>40</v>
      </c>
      <c r="G43" s="42" t="s">
        <v>20</v>
      </c>
      <c r="H43" s="42" t="s">
        <v>110</v>
      </c>
      <c r="I43" s="42" t="s">
        <v>88</v>
      </c>
      <c r="J43" s="42" t="s">
        <v>89</v>
      </c>
      <c r="K43" s="42" t="s">
        <v>24</v>
      </c>
      <c r="L43" s="42" t="s">
        <v>194</v>
      </c>
      <c r="M43" s="42">
        <f t="shared" ref="M43:M64" si="4">LEN(L43)</f>
        <v>123</v>
      </c>
      <c r="N43" s="42" t="str">
        <f t="shared" ref="N43:N64" si="5">IF(L43="","Eksik",IF(M43&lt;=130,"Uygun","130 karakteri aşıyor"))</f>
        <v>Uygun</v>
      </c>
      <c r="O43" s="42">
        <v>8</v>
      </c>
      <c r="P43" s="42" t="s">
        <v>195</v>
      </c>
    </row>
    <row r="44" spans="1:16" ht="60" customHeight="1" x14ac:dyDescent="0.2">
      <c r="A44" s="42">
        <v>43</v>
      </c>
      <c r="B44" s="42" t="s">
        <v>196</v>
      </c>
      <c r="C44" s="42" t="s">
        <v>17</v>
      </c>
      <c r="D44" s="42" t="s">
        <v>163</v>
      </c>
      <c r="E44" s="42">
        <v>2</v>
      </c>
      <c r="F44" s="42" t="s">
        <v>41</v>
      </c>
      <c r="G44" s="42" t="s">
        <v>28</v>
      </c>
      <c r="H44" s="42" t="s">
        <v>123</v>
      </c>
      <c r="I44" s="42" t="s">
        <v>155</v>
      </c>
      <c r="J44" s="42" t="s">
        <v>156</v>
      </c>
      <c r="K44" s="42" t="s">
        <v>24</v>
      </c>
      <c r="L44" s="42" t="s">
        <v>197</v>
      </c>
      <c r="M44" s="42">
        <f t="shared" si="4"/>
        <v>126</v>
      </c>
      <c r="N44" s="42" t="str">
        <f t="shared" si="5"/>
        <v>Uygun</v>
      </c>
      <c r="O44" s="42">
        <v>10</v>
      </c>
      <c r="P44" s="42" t="s">
        <v>198</v>
      </c>
    </row>
    <row r="45" spans="1:16" ht="45" customHeight="1" x14ac:dyDescent="0.2">
      <c r="A45" s="42">
        <v>44</v>
      </c>
      <c r="B45" s="42" t="s">
        <v>199</v>
      </c>
      <c r="C45" s="42" t="s">
        <v>17</v>
      </c>
      <c r="D45" s="42" t="s">
        <v>163</v>
      </c>
      <c r="E45" s="42">
        <v>2</v>
      </c>
      <c r="F45" s="42" t="s">
        <v>19</v>
      </c>
      <c r="G45" s="42" t="s">
        <v>20</v>
      </c>
      <c r="H45" s="42" t="s">
        <v>79</v>
      </c>
      <c r="I45" s="42" t="s">
        <v>22</v>
      </c>
      <c r="J45" s="42" t="s">
        <v>23</v>
      </c>
      <c r="K45" s="42" t="s">
        <v>24</v>
      </c>
      <c r="L45" s="42" t="s">
        <v>200</v>
      </c>
      <c r="M45" s="42">
        <f t="shared" si="4"/>
        <v>120</v>
      </c>
      <c r="N45" s="42" t="str">
        <f t="shared" si="5"/>
        <v>Uygun</v>
      </c>
      <c r="O45" s="42">
        <v>8</v>
      </c>
      <c r="P45" s="42" t="s">
        <v>201</v>
      </c>
    </row>
    <row r="46" spans="1:16" ht="75" customHeight="1" x14ac:dyDescent="0.2">
      <c r="A46" s="42">
        <v>45</v>
      </c>
      <c r="B46" s="42" t="s">
        <v>202</v>
      </c>
      <c r="C46" s="42" t="s">
        <v>17</v>
      </c>
      <c r="D46" s="42" t="s">
        <v>163</v>
      </c>
      <c r="E46" s="42">
        <v>2</v>
      </c>
      <c r="F46" s="42" t="s">
        <v>41</v>
      </c>
      <c r="G46" s="42" t="s">
        <v>28</v>
      </c>
      <c r="H46" s="42" t="s">
        <v>110</v>
      </c>
      <c r="I46" s="42" t="s">
        <v>111</v>
      </c>
      <c r="J46" s="42" t="s">
        <v>112</v>
      </c>
      <c r="K46" s="42" t="s">
        <v>24</v>
      </c>
      <c r="L46" s="42" t="s">
        <v>203</v>
      </c>
      <c r="M46" s="42">
        <f t="shared" si="4"/>
        <v>126</v>
      </c>
      <c r="N46" s="42" t="str">
        <f t="shared" si="5"/>
        <v>Uygun</v>
      </c>
      <c r="O46" s="42">
        <v>10</v>
      </c>
      <c r="P46" s="42" t="s">
        <v>204</v>
      </c>
    </row>
    <row r="47" spans="1:16" ht="60" customHeight="1" x14ac:dyDescent="0.2">
      <c r="A47" s="42">
        <v>46</v>
      </c>
      <c r="B47" s="42" t="s">
        <v>205</v>
      </c>
      <c r="C47" s="42" t="s">
        <v>17</v>
      </c>
      <c r="D47" s="42" t="s">
        <v>163</v>
      </c>
      <c r="E47" s="42">
        <v>2</v>
      </c>
      <c r="F47" s="42" t="s">
        <v>41</v>
      </c>
      <c r="G47" s="42" t="s">
        <v>20</v>
      </c>
      <c r="H47" s="42" t="s">
        <v>41</v>
      </c>
      <c r="I47" s="42" t="s">
        <v>42</v>
      </c>
      <c r="J47" s="42" t="s">
        <v>43</v>
      </c>
      <c r="K47" s="42" t="s">
        <v>24</v>
      </c>
      <c r="L47" s="42" t="s">
        <v>206</v>
      </c>
      <c r="M47" s="42">
        <f t="shared" si="4"/>
        <v>129</v>
      </c>
      <c r="N47" s="42" t="str">
        <f t="shared" si="5"/>
        <v>Uygun</v>
      </c>
      <c r="O47" s="42">
        <v>10</v>
      </c>
      <c r="P47" s="42" t="s">
        <v>207</v>
      </c>
    </row>
    <row r="48" spans="1:16" ht="60" customHeight="1" x14ac:dyDescent="0.2">
      <c r="A48" s="42">
        <v>47</v>
      </c>
      <c r="B48" s="42" t="s">
        <v>208</v>
      </c>
      <c r="C48" s="42" t="s">
        <v>17</v>
      </c>
      <c r="D48" s="42" t="s">
        <v>163</v>
      </c>
      <c r="E48" s="42">
        <v>2</v>
      </c>
      <c r="F48" s="42" t="s">
        <v>19</v>
      </c>
      <c r="G48" s="42" t="s">
        <v>28</v>
      </c>
      <c r="H48" s="42" t="s">
        <v>79</v>
      </c>
      <c r="I48" s="42" t="s">
        <v>68</v>
      </c>
      <c r="J48" s="42" t="s">
        <v>69</v>
      </c>
      <c r="K48" s="42" t="s">
        <v>24</v>
      </c>
      <c r="L48" s="42" t="s">
        <v>209</v>
      </c>
      <c r="M48" s="42">
        <f t="shared" si="4"/>
        <v>127</v>
      </c>
      <c r="N48" s="42" t="str">
        <f t="shared" si="5"/>
        <v>Uygun</v>
      </c>
      <c r="O48" s="42">
        <v>10</v>
      </c>
      <c r="P48" s="42" t="s">
        <v>210</v>
      </c>
    </row>
    <row r="49" spans="1:16" ht="60" customHeight="1" x14ac:dyDescent="0.2">
      <c r="A49" s="42">
        <v>48</v>
      </c>
      <c r="B49" s="42" t="s">
        <v>211</v>
      </c>
      <c r="C49" s="42" t="s">
        <v>17</v>
      </c>
      <c r="D49" s="42" t="s">
        <v>163</v>
      </c>
      <c r="E49" s="42">
        <v>2</v>
      </c>
      <c r="F49" s="42" t="s">
        <v>212</v>
      </c>
      <c r="G49" s="42" t="s">
        <v>213</v>
      </c>
      <c r="H49" s="42" t="s">
        <v>214</v>
      </c>
      <c r="I49" s="42" t="s">
        <v>54</v>
      </c>
      <c r="J49" s="42" t="s">
        <v>55</v>
      </c>
      <c r="K49" s="42" t="s">
        <v>24</v>
      </c>
      <c r="L49" s="42" t="s">
        <v>215</v>
      </c>
      <c r="M49" s="42">
        <f t="shared" si="4"/>
        <v>122</v>
      </c>
      <c r="N49" s="42" t="str">
        <f t="shared" si="5"/>
        <v>Uygun</v>
      </c>
      <c r="O49" s="42">
        <v>10</v>
      </c>
      <c r="P49" s="42" t="s">
        <v>216</v>
      </c>
    </row>
    <row r="50" spans="1:16" ht="75" customHeight="1" x14ac:dyDescent="0.2">
      <c r="A50" s="42">
        <v>49</v>
      </c>
      <c r="B50" s="42" t="s">
        <v>217</v>
      </c>
      <c r="C50" s="42" t="s">
        <v>17</v>
      </c>
      <c r="D50" s="42" t="s">
        <v>218</v>
      </c>
      <c r="E50" s="42">
        <v>3</v>
      </c>
      <c r="F50" s="42" t="s">
        <v>19</v>
      </c>
      <c r="G50" s="42" t="s">
        <v>20</v>
      </c>
      <c r="H50" s="42" t="s">
        <v>79</v>
      </c>
      <c r="I50" s="42" t="s">
        <v>111</v>
      </c>
      <c r="J50" s="42" t="s">
        <v>112</v>
      </c>
      <c r="K50" s="42" t="s">
        <v>24</v>
      </c>
      <c r="L50" s="42" t="s">
        <v>219</v>
      </c>
      <c r="M50" s="42">
        <f t="shared" si="4"/>
        <v>129</v>
      </c>
      <c r="N50" s="42" t="str">
        <f t="shared" si="5"/>
        <v>Uygun</v>
      </c>
      <c r="O50" s="42">
        <v>10</v>
      </c>
      <c r="P50" s="42" t="s">
        <v>220</v>
      </c>
    </row>
    <row r="51" spans="1:16" ht="60" customHeight="1" x14ac:dyDescent="0.2">
      <c r="A51" s="42">
        <v>50</v>
      </c>
      <c r="B51" s="42" t="s">
        <v>221</v>
      </c>
      <c r="C51" s="42" t="s">
        <v>17</v>
      </c>
      <c r="D51" s="42" t="s">
        <v>218</v>
      </c>
      <c r="E51" s="42">
        <v>3</v>
      </c>
      <c r="F51" s="42" t="s">
        <v>19</v>
      </c>
      <c r="G51" s="42" t="s">
        <v>28</v>
      </c>
      <c r="H51" s="42" t="s">
        <v>79</v>
      </c>
      <c r="I51" s="42" t="s">
        <v>68</v>
      </c>
      <c r="J51" s="42" t="s">
        <v>69</v>
      </c>
      <c r="K51" s="42" t="s">
        <v>24</v>
      </c>
      <c r="L51" s="42" t="s">
        <v>222</v>
      </c>
      <c r="M51" s="42">
        <f t="shared" si="4"/>
        <v>126</v>
      </c>
      <c r="N51" s="42" t="str">
        <f t="shared" si="5"/>
        <v>Uygun</v>
      </c>
      <c r="O51" s="42">
        <v>10</v>
      </c>
      <c r="P51" s="42" t="s">
        <v>223</v>
      </c>
    </row>
    <row r="52" spans="1:16" ht="60" customHeight="1" x14ac:dyDescent="0.2">
      <c r="A52" s="42">
        <v>51</v>
      </c>
      <c r="B52" s="42" t="s">
        <v>224</v>
      </c>
      <c r="C52" s="42" t="s">
        <v>17</v>
      </c>
      <c r="D52" s="42" t="s">
        <v>218</v>
      </c>
      <c r="E52" s="42">
        <v>3</v>
      </c>
      <c r="F52" s="42" t="s">
        <v>19</v>
      </c>
      <c r="G52" s="42" t="s">
        <v>20</v>
      </c>
      <c r="H52" s="42" t="s">
        <v>123</v>
      </c>
      <c r="I52" s="42" t="s">
        <v>54</v>
      </c>
      <c r="J52" s="42" t="s">
        <v>55</v>
      </c>
      <c r="K52" s="42" t="s">
        <v>24</v>
      </c>
      <c r="L52" s="42" t="s">
        <v>225</v>
      </c>
      <c r="M52" s="42">
        <f t="shared" si="4"/>
        <v>130</v>
      </c>
      <c r="N52" s="42" t="str">
        <f t="shared" si="5"/>
        <v>Uygun</v>
      </c>
      <c r="O52" s="42">
        <v>10</v>
      </c>
      <c r="P52" s="42" t="s">
        <v>226</v>
      </c>
    </row>
    <row r="53" spans="1:16" ht="60" customHeight="1" x14ac:dyDescent="0.2">
      <c r="A53" s="42">
        <v>52</v>
      </c>
      <c r="B53" s="42" t="s">
        <v>227</v>
      </c>
      <c r="C53" s="42" t="s">
        <v>17</v>
      </c>
      <c r="D53" s="42" t="s">
        <v>218</v>
      </c>
      <c r="E53" s="42">
        <v>3</v>
      </c>
      <c r="F53" s="42" t="s">
        <v>19</v>
      </c>
      <c r="G53" s="42" t="s">
        <v>28</v>
      </c>
      <c r="H53" s="42" t="s">
        <v>123</v>
      </c>
      <c r="I53" s="42" t="s">
        <v>155</v>
      </c>
      <c r="J53" s="42" t="s">
        <v>156</v>
      </c>
      <c r="K53" s="42" t="s">
        <v>24</v>
      </c>
      <c r="L53" s="42" t="s">
        <v>228</v>
      </c>
      <c r="M53" s="42">
        <f t="shared" si="4"/>
        <v>124</v>
      </c>
      <c r="N53" s="42" t="str">
        <f t="shared" si="5"/>
        <v>Uygun</v>
      </c>
      <c r="O53" s="42">
        <v>10</v>
      </c>
      <c r="P53" s="42" t="s">
        <v>229</v>
      </c>
    </row>
    <row r="54" spans="1:16" ht="60" customHeight="1" x14ac:dyDescent="0.2">
      <c r="A54" s="42">
        <v>53</v>
      </c>
      <c r="B54" s="42" t="s">
        <v>230</v>
      </c>
      <c r="C54" s="42" t="s">
        <v>17</v>
      </c>
      <c r="D54" s="42" t="s">
        <v>218</v>
      </c>
      <c r="E54" s="42">
        <v>3</v>
      </c>
      <c r="F54" s="42" t="s">
        <v>40</v>
      </c>
      <c r="G54" s="42" t="s">
        <v>28</v>
      </c>
      <c r="H54" s="42" t="s">
        <v>231</v>
      </c>
      <c r="I54" s="42" t="s">
        <v>42</v>
      </c>
      <c r="J54" s="42" t="s">
        <v>43</v>
      </c>
      <c r="K54" s="42" t="s">
        <v>24</v>
      </c>
      <c r="L54" s="42" t="s">
        <v>232</v>
      </c>
      <c r="M54" s="42">
        <f t="shared" si="4"/>
        <v>124</v>
      </c>
      <c r="N54" s="42" t="str">
        <f t="shared" si="5"/>
        <v>Uygun</v>
      </c>
      <c r="O54" s="42">
        <v>10</v>
      </c>
      <c r="P54" s="42" t="s">
        <v>233</v>
      </c>
    </row>
    <row r="55" spans="1:16" ht="45" customHeight="1" x14ac:dyDescent="0.2">
      <c r="A55" s="42">
        <v>54</v>
      </c>
      <c r="B55" s="42" t="s">
        <v>234</v>
      </c>
      <c r="C55" s="42" t="s">
        <v>17</v>
      </c>
      <c r="D55" s="42" t="s">
        <v>218</v>
      </c>
      <c r="E55" s="42">
        <v>3</v>
      </c>
      <c r="F55" s="42" t="s">
        <v>59</v>
      </c>
      <c r="G55" s="42" t="s">
        <v>20</v>
      </c>
      <c r="H55" s="42" t="s">
        <v>47</v>
      </c>
      <c r="I55" s="42" t="s">
        <v>35</v>
      </c>
      <c r="J55" s="42" t="s">
        <v>36</v>
      </c>
      <c r="K55" s="42" t="s">
        <v>24</v>
      </c>
      <c r="L55" s="42" t="s">
        <v>235</v>
      </c>
      <c r="M55" s="42">
        <f t="shared" si="4"/>
        <v>128</v>
      </c>
      <c r="N55" s="42" t="str">
        <f t="shared" si="5"/>
        <v>Uygun</v>
      </c>
      <c r="O55" s="42">
        <v>9</v>
      </c>
      <c r="P55" s="42" t="s">
        <v>236</v>
      </c>
    </row>
    <row r="56" spans="1:16" ht="60" customHeight="1" x14ac:dyDescent="0.2">
      <c r="A56" s="42">
        <v>55</v>
      </c>
      <c r="B56" s="42" t="s">
        <v>237</v>
      </c>
      <c r="C56" s="42" t="s">
        <v>17</v>
      </c>
      <c r="D56" s="42" t="s">
        <v>218</v>
      </c>
      <c r="E56" s="42">
        <v>3</v>
      </c>
      <c r="F56" s="42" t="s">
        <v>64</v>
      </c>
      <c r="G56" s="42" t="s">
        <v>213</v>
      </c>
      <c r="H56" s="42" t="s">
        <v>231</v>
      </c>
      <c r="I56" s="42" t="s">
        <v>54</v>
      </c>
      <c r="J56" s="42" t="s">
        <v>55</v>
      </c>
      <c r="K56" s="42" t="s">
        <v>24</v>
      </c>
      <c r="L56" s="42" t="s">
        <v>238</v>
      </c>
      <c r="M56" s="42">
        <f t="shared" si="4"/>
        <v>129</v>
      </c>
      <c r="N56" s="42" t="str">
        <f t="shared" si="5"/>
        <v>Uygun</v>
      </c>
      <c r="O56" s="42">
        <v>10</v>
      </c>
      <c r="P56" s="42" t="s">
        <v>239</v>
      </c>
    </row>
    <row r="57" spans="1:16" ht="60" customHeight="1" x14ac:dyDescent="0.2">
      <c r="A57" s="42">
        <v>56</v>
      </c>
      <c r="B57" s="42" t="s">
        <v>240</v>
      </c>
      <c r="C57" s="42" t="s">
        <v>17</v>
      </c>
      <c r="D57" s="42" t="s">
        <v>218</v>
      </c>
      <c r="E57" s="42">
        <v>3</v>
      </c>
      <c r="F57" s="42" t="s">
        <v>212</v>
      </c>
      <c r="G57" s="42" t="s">
        <v>28</v>
      </c>
      <c r="H57" s="42" t="s">
        <v>79</v>
      </c>
      <c r="I57" s="42" t="s">
        <v>42</v>
      </c>
      <c r="J57" s="42" t="s">
        <v>43</v>
      </c>
      <c r="K57" s="42" t="s">
        <v>24</v>
      </c>
      <c r="L57" s="42" t="s">
        <v>241</v>
      </c>
      <c r="M57" s="42">
        <f t="shared" si="4"/>
        <v>124</v>
      </c>
      <c r="N57" s="42" t="str">
        <f t="shared" si="5"/>
        <v>Uygun</v>
      </c>
      <c r="O57" s="42">
        <v>10</v>
      </c>
      <c r="P57" s="42" t="s">
        <v>242</v>
      </c>
    </row>
    <row r="58" spans="1:16" ht="60" customHeight="1" x14ac:dyDescent="0.2">
      <c r="A58" s="42">
        <v>57</v>
      </c>
      <c r="B58" s="42" t="s">
        <v>243</v>
      </c>
      <c r="C58" s="42" t="s">
        <v>17</v>
      </c>
      <c r="D58" s="42" t="s">
        <v>244</v>
      </c>
      <c r="E58" s="42">
        <v>4</v>
      </c>
      <c r="F58" s="42" t="s">
        <v>245</v>
      </c>
      <c r="G58" s="42" t="s">
        <v>20</v>
      </c>
      <c r="H58" s="42" t="s">
        <v>79</v>
      </c>
      <c r="I58" s="42" t="s">
        <v>54</v>
      </c>
      <c r="J58" s="42" t="s">
        <v>55</v>
      </c>
      <c r="K58" s="42" t="s">
        <v>24</v>
      </c>
      <c r="L58" s="42" t="s">
        <v>246</v>
      </c>
      <c r="M58" s="42">
        <f t="shared" si="4"/>
        <v>126</v>
      </c>
      <c r="N58" s="42" t="str">
        <f t="shared" si="5"/>
        <v>Uygun</v>
      </c>
      <c r="O58" s="42">
        <v>10</v>
      </c>
      <c r="P58" s="42" t="s">
        <v>247</v>
      </c>
    </row>
    <row r="59" spans="1:16" ht="60" customHeight="1" x14ac:dyDescent="0.2">
      <c r="A59" s="42">
        <v>58</v>
      </c>
      <c r="B59" s="42" t="s">
        <v>248</v>
      </c>
      <c r="C59" s="42" t="s">
        <v>17</v>
      </c>
      <c r="D59" s="42" t="s">
        <v>244</v>
      </c>
      <c r="E59" s="42">
        <v>4</v>
      </c>
      <c r="F59" s="42" t="s">
        <v>59</v>
      </c>
      <c r="G59" s="42" t="s">
        <v>28</v>
      </c>
      <c r="H59" s="42" t="s">
        <v>60</v>
      </c>
      <c r="I59" s="42" t="s">
        <v>68</v>
      </c>
      <c r="J59" s="42" t="s">
        <v>69</v>
      </c>
      <c r="K59" s="42" t="s">
        <v>24</v>
      </c>
      <c r="L59" s="42" t="s">
        <v>249</v>
      </c>
      <c r="M59" s="42">
        <f t="shared" si="4"/>
        <v>129</v>
      </c>
      <c r="N59" s="42" t="str">
        <f t="shared" si="5"/>
        <v>Uygun</v>
      </c>
      <c r="O59" s="42">
        <v>10</v>
      </c>
      <c r="P59" s="42" t="s">
        <v>250</v>
      </c>
    </row>
    <row r="60" spans="1:16" ht="60" customHeight="1" x14ac:dyDescent="0.2">
      <c r="A60" s="42">
        <v>59</v>
      </c>
      <c r="B60" s="42" t="s">
        <v>251</v>
      </c>
      <c r="C60" s="42" t="s">
        <v>17</v>
      </c>
      <c r="D60" s="42" t="s">
        <v>244</v>
      </c>
      <c r="E60" s="42">
        <v>4</v>
      </c>
      <c r="F60" s="42" t="s">
        <v>41</v>
      </c>
      <c r="G60" s="42" t="s">
        <v>20</v>
      </c>
      <c r="H60" s="42" t="s">
        <v>231</v>
      </c>
      <c r="I60" s="42" t="s">
        <v>54</v>
      </c>
      <c r="J60" s="42" t="s">
        <v>55</v>
      </c>
      <c r="K60" s="42" t="s">
        <v>24</v>
      </c>
      <c r="L60" s="42" t="s">
        <v>252</v>
      </c>
      <c r="M60" s="42">
        <f t="shared" si="4"/>
        <v>127</v>
      </c>
      <c r="N60" s="42" t="str">
        <f t="shared" si="5"/>
        <v>Uygun</v>
      </c>
      <c r="O60" s="42">
        <v>10</v>
      </c>
      <c r="P60" s="42" t="s">
        <v>253</v>
      </c>
    </row>
    <row r="61" spans="1:16" ht="60" customHeight="1" x14ac:dyDescent="0.2">
      <c r="A61" s="42">
        <v>60</v>
      </c>
      <c r="B61" s="42" t="s">
        <v>254</v>
      </c>
      <c r="C61" s="42" t="s">
        <v>17</v>
      </c>
      <c r="D61" s="42" t="s">
        <v>244</v>
      </c>
      <c r="E61" s="42">
        <v>4</v>
      </c>
      <c r="F61" s="42" t="s">
        <v>245</v>
      </c>
      <c r="G61" s="42" t="s">
        <v>213</v>
      </c>
      <c r="H61" s="42" t="s">
        <v>110</v>
      </c>
      <c r="I61" s="42" t="s">
        <v>155</v>
      </c>
      <c r="J61" s="42" t="s">
        <v>156</v>
      </c>
      <c r="K61" s="42" t="s">
        <v>24</v>
      </c>
      <c r="L61" s="42" t="s">
        <v>255</v>
      </c>
      <c r="M61" s="42">
        <f t="shared" si="4"/>
        <v>116</v>
      </c>
      <c r="N61" s="42" t="str">
        <f t="shared" si="5"/>
        <v>Uygun</v>
      </c>
      <c r="O61" s="42">
        <v>10</v>
      </c>
      <c r="P61" s="42" t="s">
        <v>256</v>
      </c>
    </row>
    <row r="62" spans="1:16" ht="60" customHeight="1" x14ac:dyDescent="0.2">
      <c r="A62" s="42">
        <v>61</v>
      </c>
      <c r="B62" s="42" t="s">
        <v>257</v>
      </c>
      <c r="C62" s="42" t="s">
        <v>17</v>
      </c>
      <c r="D62" s="42" t="s">
        <v>258</v>
      </c>
      <c r="E62" s="42">
        <v>5</v>
      </c>
      <c r="F62" s="42" t="s">
        <v>212</v>
      </c>
      <c r="G62" s="42" t="s">
        <v>213</v>
      </c>
      <c r="H62" s="42" t="s">
        <v>53</v>
      </c>
      <c r="I62" s="42" t="s">
        <v>54</v>
      </c>
      <c r="J62" s="42" t="s">
        <v>55</v>
      </c>
      <c r="K62" s="42" t="s">
        <v>24</v>
      </c>
      <c r="L62" s="42" t="s">
        <v>259</v>
      </c>
      <c r="M62" s="42">
        <f t="shared" si="4"/>
        <v>126</v>
      </c>
      <c r="N62" s="42" t="str">
        <f t="shared" si="5"/>
        <v>Uygun</v>
      </c>
      <c r="O62" s="42">
        <v>10</v>
      </c>
      <c r="P62" s="42" t="s">
        <v>260</v>
      </c>
    </row>
    <row r="63" spans="1:16" ht="60" customHeight="1" x14ac:dyDescent="0.2">
      <c r="A63" s="42">
        <v>62</v>
      </c>
      <c r="B63" s="42" t="s">
        <v>261</v>
      </c>
      <c r="C63" s="42" t="s">
        <v>17</v>
      </c>
      <c r="D63" s="42" t="s">
        <v>258</v>
      </c>
      <c r="E63" s="42">
        <v>5</v>
      </c>
      <c r="F63" s="42" t="s">
        <v>212</v>
      </c>
      <c r="G63" s="42" t="s">
        <v>213</v>
      </c>
      <c r="H63" s="42" t="s">
        <v>231</v>
      </c>
      <c r="I63" s="42" t="s">
        <v>42</v>
      </c>
      <c r="J63" s="42" t="s">
        <v>43</v>
      </c>
      <c r="K63" s="42" t="s">
        <v>24</v>
      </c>
      <c r="L63" s="42" t="s">
        <v>262</v>
      </c>
      <c r="M63" s="42">
        <f t="shared" si="4"/>
        <v>127</v>
      </c>
      <c r="N63" s="42" t="str">
        <f t="shared" si="5"/>
        <v>Uygun</v>
      </c>
      <c r="O63" s="42">
        <v>10</v>
      </c>
      <c r="P63" s="42" t="s">
        <v>263</v>
      </c>
    </row>
    <row r="64" spans="1:16" ht="75" customHeight="1" x14ac:dyDescent="0.2">
      <c r="A64" s="42">
        <v>63</v>
      </c>
      <c r="B64" s="42" t="s">
        <v>264</v>
      </c>
      <c r="C64" s="42" t="s">
        <v>17</v>
      </c>
      <c r="D64" s="42" t="s">
        <v>258</v>
      </c>
      <c r="E64" s="42">
        <v>5</v>
      </c>
      <c r="F64" s="42" t="s">
        <v>212</v>
      </c>
      <c r="G64" s="42" t="s">
        <v>213</v>
      </c>
      <c r="H64" s="42" t="s">
        <v>132</v>
      </c>
      <c r="I64" s="42" t="s">
        <v>111</v>
      </c>
      <c r="J64" s="42" t="s">
        <v>112</v>
      </c>
      <c r="K64" s="42" t="s">
        <v>24</v>
      </c>
      <c r="L64" s="42" t="s">
        <v>265</v>
      </c>
      <c r="M64" s="42">
        <f t="shared" si="4"/>
        <v>128</v>
      </c>
      <c r="N64" s="42" t="str">
        <f t="shared" si="5"/>
        <v>Uygun</v>
      </c>
      <c r="O64" s="42">
        <v>10</v>
      </c>
      <c r="P64" s="42" t="s">
        <v>266</v>
      </c>
    </row>
  </sheetData>
  <pageMargins left="0.7" right="0.7" top="0.75" bottom="0.75" header="0.511811023622047" footer="0.511811023622047"/>
  <pageSetup paperSize="9" orientation="portrait" horizontalDpi="300" verticalDpi="300"/>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63"/>
  <sheetViews>
    <sheetView showGridLines="0" zoomScale="80" zoomScaleNormal="80" workbookViewId="0">
      <pane ySplit="1" topLeftCell="A2" activePane="bottomLeft" state="frozen"/>
      <selection pane="bottomLeft" activeCell="A2" sqref="A2"/>
    </sheetView>
  </sheetViews>
  <sheetFormatPr defaultColWidth="8.7109375" defaultRowHeight="12.75" x14ac:dyDescent="0.2"/>
  <cols>
    <col min="1" max="1" width="8" customWidth="1"/>
    <col min="2" max="2" width="28" customWidth="1"/>
    <col min="3" max="3" width="14" customWidth="1"/>
    <col min="4" max="4" width="12" customWidth="1"/>
    <col min="5" max="5" width="14" customWidth="1"/>
    <col min="6" max="6" width="24" customWidth="1"/>
    <col min="7" max="7" width="12" customWidth="1"/>
    <col min="8" max="8" width="14" customWidth="1"/>
    <col min="9" max="9" width="24" customWidth="1"/>
    <col min="10" max="10" width="52" customWidth="1"/>
    <col min="11" max="11" width="18" customWidth="1"/>
    <col min="12" max="12" width="58" customWidth="1"/>
    <col min="13" max="13" width="14" customWidth="1"/>
    <col min="14" max="14" width="12" customWidth="1"/>
    <col min="15" max="15" width="14" customWidth="1"/>
    <col min="16" max="16" width="45" customWidth="1"/>
  </cols>
  <sheetData>
    <row r="1" spans="1:16" ht="30" customHeight="1" x14ac:dyDescent="0.25">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row>
    <row r="2" spans="1:16" ht="45" customHeight="1" x14ac:dyDescent="0.2">
      <c r="A2" s="42">
        <v>64</v>
      </c>
      <c r="B2" s="42" t="s">
        <v>267</v>
      </c>
      <c r="C2" s="42" t="s">
        <v>268</v>
      </c>
      <c r="D2" s="42" t="s">
        <v>18</v>
      </c>
      <c r="E2" s="42">
        <v>1</v>
      </c>
      <c r="F2" s="42" t="s">
        <v>79</v>
      </c>
      <c r="G2" s="42" t="s">
        <v>269</v>
      </c>
      <c r="H2" s="42" t="s">
        <v>79</v>
      </c>
      <c r="I2" s="42" t="s">
        <v>270</v>
      </c>
      <c r="J2" s="42" t="s">
        <v>271</v>
      </c>
      <c r="K2" s="42" t="s">
        <v>272</v>
      </c>
      <c r="L2" s="42" t="s">
        <v>273</v>
      </c>
      <c r="M2" s="42">
        <f t="shared" ref="M2:M17" si="0">LEN(L2)</f>
        <v>126</v>
      </c>
      <c r="N2" s="42" t="str">
        <f t="shared" ref="N2:N17" si="1">IF(L2="","Eksik",IF(M2&lt;=130,"Uygun","130 karakteri aşıyor"))</f>
        <v>Uygun</v>
      </c>
      <c r="O2" s="42">
        <v>4</v>
      </c>
      <c r="P2" s="42" t="s">
        <v>274</v>
      </c>
    </row>
    <row r="3" spans="1:16" ht="45" customHeight="1" x14ac:dyDescent="0.2">
      <c r="A3" s="42">
        <v>65</v>
      </c>
      <c r="B3" s="42" t="s">
        <v>275</v>
      </c>
      <c r="C3" s="42" t="s">
        <v>268</v>
      </c>
      <c r="D3" s="42" t="s">
        <v>18</v>
      </c>
      <c r="E3" s="42">
        <v>1</v>
      </c>
      <c r="F3" s="42" t="s">
        <v>79</v>
      </c>
      <c r="G3" s="42" t="s">
        <v>28</v>
      </c>
      <c r="H3" s="42" t="s">
        <v>116</v>
      </c>
      <c r="I3" s="42" t="s">
        <v>276</v>
      </c>
      <c r="J3" s="42" t="s">
        <v>277</v>
      </c>
      <c r="K3" s="42" t="s">
        <v>278</v>
      </c>
      <c r="L3" s="42" t="s">
        <v>279</v>
      </c>
      <c r="M3" s="42">
        <f t="shared" si="0"/>
        <v>123</v>
      </c>
      <c r="N3" s="42" t="str">
        <f t="shared" si="1"/>
        <v>Uygun</v>
      </c>
      <c r="O3" s="42">
        <v>3</v>
      </c>
      <c r="P3" s="42" t="s">
        <v>280</v>
      </c>
    </row>
    <row r="4" spans="1:16" ht="45" customHeight="1" x14ac:dyDescent="0.2">
      <c r="A4" s="42">
        <v>66</v>
      </c>
      <c r="B4" s="42" t="s">
        <v>281</v>
      </c>
      <c r="C4" s="42" t="s">
        <v>268</v>
      </c>
      <c r="D4" s="42" t="s">
        <v>18</v>
      </c>
      <c r="E4" s="42">
        <v>1</v>
      </c>
      <c r="F4" s="42" t="s">
        <v>79</v>
      </c>
      <c r="G4" s="42" t="s">
        <v>28</v>
      </c>
      <c r="H4" s="42" t="s">
        <v>47</v>
      </c>
      <c r="I4" s="42" t="s">
        <v>270</v>
      </c>
      <c r="J4" s="42" t="s">
        <v>282</v>
      </c>
      <c r="K4" s="42" t="s">
        <v>283</v>
      </c>
      <c r="L4" s="42" t="s">
        <v>284</v>
      </c>
      <c r="M4" s="42">
        <f t="shared" si="0"/>
        <v>126</v>
      </c>
      <c r="N4" s="42" t="str">
        <f t="shared" si="1"/>
        <v>Uygun</v>
      </c>
      <c r="O4" s="42">
        <v>4</v>
      </c>
      <c r="P4" s="42" t="s">
        <v>274</v>
      </c>
    </row>
    <row r="5" spans="1:16" ht="45" customHeight="1" x14ac:dyDescent="0.2">
      <c r="A5" s="42">
        <v>67</v>
      </c>
      <c r="B5" s="42" t="s">
        <v>285</v>
      </c>
      <c r="C5" s="42" t="s">
        <v>268</v>
      </c>
      <c r="D5" s="42" t="s">
        <v>18</v>
      </c>
      <c r="E5" s="42">
        <v>1</v>
      </c>
      <c r="F5" s="42" t="s">
        <v>79</v>
      </c>
      <c r="G5" s="42" t="s">
        <v>269</v>
      </c>
      <c r="H5" s="42" t="s">
        <v>41</v>
      </c>
      <c r="I5" s="42" t="s">
        <v>270</v>
      </c>
      <c r="J5" s="42" t="s">
        <v>286</v>
      </c>
      <c r="K5" s="42" t="s">
        <v>287</v>
      </c>
      <c r="L5" s="42" t="s">
        <v>288</v>
      </c>
      <c r="M5" s="42">
        <f t="shared" si="0"/>
        <v>120</v>
      </c>
      <c r="N5" s="42" t="str">
        <f t="shared" si="1"/>
        <v>Uygun</v>
      </c>
      <c r="O5" s="42">
        <v>3</v>
      </c>
      <c r="P5" s="42" t="s">
        <v>274</v>
      </c>
    </row>
    <row r="6" spans="1:16" ht="45" customHeight="1" x14ac:dyDescent="0.2">
      <c r="A6" s="42">
        <v>68</v>
      </c>
      <c r="B6" s="42" t="s">
        <v>289</v>
      </c>
      <c r="C6" s="42" t="s">
        <v>268</v>
      </c>
      <c r="D6" s="42" t="s">
        <v>18</v>
      </c>
      <c r="E6" s="42">
        <v>1</v>
      </c>
      <c r="F6" s="42" t="s">
        <v>79</v>
      </c>
      <c r="G6" s="42" t="s">
        <v>269</v>
      </c>
      <c r="H6" s="42" t="s">
        <v>116</v>
      </c>
      <c r="I6" s="42" t="s">
        <v>270</v>
      </c>
      <c r="J6" s="42" t="s">
        <v>290</v>
      </c>
      <c r="K6" s="42" t="s">
        <v>272</v>
      </c>
      <c r="L6" s="42" t="s">
        <v>291</v>
      </c>
      <c r="M6" s="42">
        <f t="shared" si="0"/>
        <v>123</v>
      </c>
      <c r="N6" s="42" t="str">
        <f t="shared" si="1"/>
        <v>Uygun</v>
      </c>
      <c r="O6" s="42">
        <v>4</v>
      </c>
      <c r="P6" s="42" t="s">
        <v>274</v>
      </c>
    </row>
    <row r="7" spans="1:16" ht="45" customHeight="1" x14ac:dyDescent="0.2">
      <c r="A7" s="42">
        <v>69</v>
      </c>
      <c r="B7" s="42" t="s">
        <v>292</v>
      </c>
      <c r="C7" s="42" t="s">
        <v>268</v>
      </c>
      <c r="D7" s="42" t="s">
        <v>18</v>
      </c>
      <c r="E7" s="42">
        <v>1</v>
      </c>
      <c r="F7" s="42" t="s">
        <v>79</v>
      </c>
      <c r="G7" s="42" t="s">
        <v>269</v>
      </c>
      <c r="H7" s="42" t="s">
        <v>132</v>
      </c>
      <c r="I7" s="42" t="s">
        <v>270</v>
      </c>
      <c r="J7" s="42" t="s">
        <v>293</v>
      </c>
      <c r="K7" s="42" t="s">
        <v>278</v>
      </c>
      <c r="L7" s="42" t="s">
        <v>294</v>
      </c>
      <c r="M7" s="42">
        <f t="shared" si="0"/>
        <v>128</v>
      </c>
      <c r="N7" s="42" t="str">
        <f t="shared" si="1"/>
        <v>Uygun</v>
      </c>
      <c r="O7" s="42">
        <v>3</v>
      </c>
      <c r="P7" s="42" t="s">
        <v>274</v>
      </c>
    </row>
    <row r="8" spans="1:16" ht="45" customHeight="1" x14ac:dyDescent="0.2">
      <c r="A8" s="42">
        <v>70</v>
      </c>
      <c r="B8" s="42" t="s">
        <v>295</v>
      </c>
      <c r="C8" s="42" t="s">
        <v>268</v>
      </c>
      <c r="D8" s="42" t="s">
        <v>18</v>
      </c>
      <c r="E8" s="42">
        <v>1</v>
      </c>
      <c r="F8" s="42" t="s">
        <v>79</v>
      </c>
      <c r="G8" s="42" t="s">
        <v>269</v>
      </c>
      <c r="H8" s="42" t="s">
        <v>79</v>
      </c>
      <c r="I8" s="42" t="s">
        <v>270</v>
      </c>
      <c r="J8" s="42" t="s">
        <v>296</v>
      </c>
      <c r="K8" s="42" t="s">
        <v>283</v>
      </c>
      <c r="L8" s="42" t="s">
        <v>297</v>
      </c>
      <c r="M8" s="42">
        <f t="shared" si="0"/>
        <v>126</v>
      </c>
      <c r="N8" s="42" t="str">
        <f t="shared" si="1"/>
        <v>Uygun</v>
      </c>
      <c r="O8" s="42">
        <v>4</v>
      </c>
      <c r="P8" s="42" t="s">
        <v>274</v>
      </c>
    </row>
    <row r="9" spans="1:16" ht="45" customHeight="1" x14ac:dyDescent="0.2">
      <c r="A9" s="42">
        <v>71</v>
      </c>
      <c r="B9" s="42" t="s">
        <v>298</v>
      </c>
      <c r="C9" s="42" t="s">
        <v>268</v>
      </c>
      <c r="D9" s="42" t="s">
        <v>18</v>
      </c>
      <c r="E9" s="42">
        <v>1</v>
      </c>
      <c r="F9" s="42" t="s">
        <v>299</v>
      </c>
      <c r="G9" s="42" t="s">
        <v>20</v>
      </c>
      <c r="H9" s="42" t="s">
        <v>123</v>
      </c>
      <c r="I9" s="42" t="s">
        <v>270</v>
      </c>
      <c r="J9" s="42" t="s">
        <v>300</v>
      </c>
      <c r="K9" s="42" t="s">
        <v>287</v>
      </c>
      <c r="L9" s="42" t="s">
        <v>301</v>
      </c>
      <c r="M9" s="42">
        <f t="shared" si="0"/>
        <v>120</v>
      </c>
      <c r="N9" s="42" t="str">
        <f t="shared" si="1"/>
        <v>Uygun</v>
      </c>
      <c r="O9" s="42">
        <v>3</v>
      </c>
      <c r="P9" s="42" t="s">
        <v>274</v>
      </c>
    </row>
    <row r="10" spans="1:16" ht="30" customHeight="1" x14ac:dyDescent="0.2">
      <c r="A10" s="42">
        <v>72</v>
      </c>
      <c r="B10" s="42" t="s">
        <v>302</v>
      </c>
      <c r="C10" s="42" t="s">
        <v>268</v>
      </c>
      <c r="D10" s="42" t="s">
        <v>18</v>
      </c>
      <c r="E10" s="42">
        <v>1</v>
      </c>
      <c r="F10" s="42" t="s">
        <v>79</v>
      </c>
      <c r="G10" s="42" t="s">
        <v>269</v>
      </c>
      <c r="H10" s="42" t="s">
        <v>79</v>
      </c>
      <c r="I10" s="42" t="s">
        <v>270</v>
      </c>
      <c r="J10" s="42" t="s">
        <v>303</v>
      </c>
      <c r="K10" s="42" t="s">
        <v>272</v>
      </c>
      <c r="L10" s="42" t="s">
        <v>304</v>
      </c>
      <c r="M10" s="42">
        <f t="shared" si="0"/>
        <v>114</v>
      </c>
      <c r="N10" s="42" t="str">
        <f t="shared" si="1"/>
        <v>Uygun</v>
      </c>
      <c r="O10" s="42">
        <v>4</v>
      </c>
      <c r="P10" s="42" t="s">
        <v>274</v>
      </c>
    </row>
    <row r="11" spans="1:16" ht="45" customHeight="1" x14ac:dyDescent="0.2">
      <c r="A11" s="42">
        <v>73</v>
      </c>
      <c r="B11" s="42" t="s">
        <v>305</v>
      </c>
      <c r="C11" s="42" t="s">
        <v>268</v>
      </c>
      <c r="D11" s="42" t="s">
        <v>18</v>
      </c>
      <c r="E11" s="42">
        <v>1</v>
      </c>
      <c r="F11" s="42" t="s">
        <v>79</v>
      </c>
      <c r="G11" s="42" t="s">
        <v>20</v>
      </c>
      <c r="H11" s="42" t="s">
        <v>60</v>
      </c>
      <c r="I11" s="42" t="s">
        <v>270</v>
      </c>
      <c r="J11" s="42" t="s">
        <v>306</v>
      </c>
      <c r="K11" s="42" t="s">
        <v>278</v>
      </c>
      <c r="L11" s="42" t="s">
        <v>307</v>
      </c>
      <c r="M11" s="42">
        <f t="shared" si="0"/>
        <v>128</v>
      </c>
      <c r="N11" s="42" t="str">
        <f t="shared" si="1"/>
        <v>Uygun</v>
      </c>
      <c r="O11" s="42">
        <v>3</v>
      </c>
      <c r="P11" s="42" t="s">
        <v>274</v>
      </c>
    </row>
    <row r="12" spans="1:16" ht="45" customHeight="1" x14ac:dyDescent="0.2">
      <c r="A12" s="42">
        <v>74</v>
      </c>
      <c r="B12" s="42" t="s">
        <v>308</v>
      </c>
      <c r="C12" s="42" t="s">
        <v>268</v>
      </c>
      <c r="D12" s="42" t="s">
        <v>18</v>
      </c>
      <c r="E12" s="42">
        <v>1</v>
      </c>
      <c r="F12" s="42" t="s">
        <v>79</v>
      </c>
      <c r="G12" s="42" t="s">
        <v>20</v>
      </c>
      <c r="H12" s="42" t="s">
        <v>53</v>
      </c>
      <c r="I12" s="42" t="s">
        <v>270</v>
      </c>
      <c r="J12" s="42" t="s">
        <v>309</v>
      </c>
      <c r="K12" s="42" t="s">
        <v>283</v>
      </c>
      <c r="L12" s="42" t="s">
        <v>310</v>
      </c>
      <c r="M12" s="42">
        <f t="shared" si="0"/>
        <v>128</v>
      </c>
      <c r="N12" s="42" t="str">
        <f t="shared" si="1"/>
        <v>Uygun</v>
      </c>
      <c r="O12" s="42">
        <v>4</v>
      </c>
      <c r="P12" s="42" t="s">
        <v>274</v>
      </c>
    </row>
    <row r="13" spans="1:16" ht="45" customHeight="1" x14ac:dyDescent="0.2">
      <c r="A13" s="42">
        <v>75</v>
      </c>
      <c r="B13" s="42" t="s">
        <v>311</v>
      </c>
      <c r="C13" s="42" t="s">
        <v>268</v>
      </c>
      <c r="D13" s="42" t="s">
        <v>18</v>
      </c>
      <c r="E13" s="42">
        <v>1</v>
      </c>
      <c r="F13" s="42" t="s">
        <v>79</v>
      </c>
      <c r="G13" s="42" t="s">
        <v>269</v>
      </c>
      <c r="H13" s="42" t="s">
        <v>231</v>
      </c>
      <c r="I13" s="42" t="s">
        <v>270</v>
      </c>
      <c r="J13" s="42" t="s">
        <v>312</v>
      </c>
      <c r="K13" s="42" t="s">
        <v>287</v>
      </c>
      <c r="L13" s="42" t="s">
        <v>313</v>
      </c>
      <c r="M13" s="42">
        <f t="shared" si="0"/>
        <v>129</v>
      </c>
      <c r="N13" s="42" t="str">
        <f t="shared" si="1"/>
        <v>Uygun</v>
      </c>
      <c r="O13" s="42">
        <v>3</v>
      </c>
      <c r="P13" s="42" t="s">
        <v>274</v>
      </c>
    </row>
    <row r="14" spans="1:16" ht="30" customHeight="1" x14ac:dyDescent="0.2">
      <c r="A14" s="42">
        <v>76</v>
      </c>
      <c r="B14" s="42" t="s">
        <v>314</v>
      </c>
      <c r="C14" s="42" t="s">
        <v>268</v>
      </c>
      <c r="D14" s="42" t="s">
        <v>18</v>
      </c>
      <c r="E14" s="42">
        <v>1</v>
      </c>
      <c r="F14" s="42" t="s">
        <v>64</v>
      </c>
      <c r="G14" s="42" t="s">
        <v>269</v>
      </c>
      <c r="H14" s="42" t="s">
        <v>231</v>
      </c>
      <c r="I14" s="42" t="s">
        <v>270</v>
      </c>
      <c r="J14" s="42" t="s">
        <v>315</v>
      </c>
      <c r="K14" s="42" t="s">
        <v>272</v>
      </c>
      <c r="L14" s="42" t="s">
        <v>316</v>
      </c>
      <c r="M14" s="42">
        <f t="shared" si="0"/>
        <v>117</v>
      </c>
      <c r="N14" s="42" t="str">
        <f t="shared" si="1"/>
        <v>Uygun</v>
      </c>
      <c r="O14" s="42">
        <v>4</v>
      </c>
      <c r="P14" s="42" t="s">
        <v>274</v>
      </c>
    </row>
    <row r="15" spans="1:16" ht="45" customHeight="1" x14ac:dyDescent="0.2">
      <c r="A15" s="42">
        <v>77</v>
      </c>
      <c r="B15" s="42" t="s">
        <v>317</v>
      </c>
      <c r="C15" s="42" t="s">
        <v>268</v>
      </c>
      <c r="D15" s="42" t="s">
        <v>18</v>
      </c>
      <c r="E15" s="42">
        <v>1</v>
      </c>
      <c r="F15" s="42" t="s">
        <v>19</v>
      </c>
      <c r="G15" s="42" t="s">
        <v>28</v>
      </c>
      <c r="H15" s="42" t="s">
        <v>21</v>
      </c>
      <c r="I15" s="42" t="s">
        <v>270</v>
      </c>
      <c r="J15" s="42" t="s">
        <v>318</v>
      </c>
      <c r="K15" s="42" t="s">
        <v>278</v>
      </c>
      <c r="L15" s="42" t="s">
        <v>319</v>
      </c>
      <c r="M15" s="42">
        <f t="shared" si="0"/>
        <v>126</v>
      </c>
      <c r="N15" s="42" t="str">
        <f t="shared" si="1"/>
        <v>Uygun</v>
      </c>
      <c r="O15" s="42">
        <v>3</v>
      </c>
      <c r="P15" s="42" t="s">
        <v>274</v>
      </c>
    </row>
    <row r="16" spans="1:16" ht="45" customHeight="1" x14ac:dyDescent="0.2">
      <c r="A16" s="42">
        <v>78</v>
      </c>
      <c r="B16" s="42" t="s">
        <v>320</v>
      </c>
      <c r="C16" s="42" t="s">
        <v>268</v>
      </c>
      <c r="D16" s="42" t="s">
        <v>18</v>
      </c>
      <c r="E16" s="42">
        <v>1</v>
      </c>
      <c r="F16" s="42" t="s">
        <v>299</v>
      </c>
      <c r="G16" s="42" t="s">
        <v>269</v>
      </c>
      <c r="H16" s="42" t="s">
        <v>110</v>
      </c>
      <c r="I16" s="42" t="s">
        <v>270</v>
      </c>
      <c r="J16" s="42" t="s">
        <v>321</v>
      </c>
      <c r="K16" s="42" t="s">
        <v>283</v>
      </c>
      <c r="L16" s="42" t="s">
        <v>322</v>
      </c>
      <c r="M16" s="42">
        <f t="shared" si="0"/>
        <v>130</v>
      </c>
      <c r="N16" s="42" t="str">
        <f t="shared" si="1"/>
        <v>Uygun</v>
      </c>
      <c r="O16" s="42">
        <v>4</v>
      </c>
      <c r="P16" s="42" t="s">
        <v>274</v>
      </c>
    </row>
    <row r="17" spans="1:16" ht="45" customHeight="1" x14ac:dyDescent="0.2">
      <c r="A17" s="42">
        <v>79</v>
      </c>
      <c r="B17" s="42" t="s">
        <v>323</v>
      </c>
      <c r="C17" s="42" t="s">
        <v>268</v>
      </c>
      <c r="D17" s="42" t="s">
        <v>18</v>
      </c>
      <c r="E17" s="42">
        <v>1</v>
      </c>
      <c r="F17" s="42" t="s">
        <v>79</v>
      </c>
      <c r="G17" s="42" t="s">
        <v>269</v>
      </c>
      <c r="H17" s="42" t="s">
        <v>174</v>
      </c>
      <c r="I17" s="42" t="s">
        <v>270</v>
      </c>
      <c r="J17" s="42" t="s">
        <v>324</v>
      </c>
      <c r="K17" s="42" t="s">
        <v>287</v>
      </c>
      <c r="L17" s="42" t="s">
        <v>325</v>
      </c>
      <c r="M17" s="42">
        <f t="shared" si="0"/>
        <v>130</v>
      </c>
      <c r="N17" s="42" t="str">
        <f t="shared" si="1"/>
        <v>Uygun</v>
      </c>
      <c r="O17" s="42">
        <v>3</v>
      </c>
      <c r="P17" s="42" t="s">
        <v>274</v>
      </c>
    </row>
    <row r="18" spans="1:16" ht="45" customHeight="1" x14ac:dyDescent="0.2">
      <c r="A18" s="42">
        <v>80</v>
      </c>
      <c r="B18" s="42" t="s">
        <v>326</v>
      </c>
      <c r="C18" s="42" t="s">
        <v>268</v>
      </c>
      <c r="D18" s="42" t="s">
        <v>18</v>
      </c>
      <c r="E18" s="42">
        <v>1</v>
      </c>
      <c r="F18" s="42" t="s">
        <v>79</v>
      </c>
      <c r="G18" s="42" t="s">
        <v>20</v>
      </c>
      <c r="H18" s="42" t="s">
        <v>34</v>
      </c>
      <c r="I18" s="42" t="s">
        <v>270</v>
      </c>
      <c r="J18" s="42" t="s">
        <v>327</v>
      </c>
      <c r="K18" s="42" t="s">
        <v>272</v>
      </c>
      <c r="L18" s="42" t="s">
        <v>328</v>
      </c>
      <c r="M18" s="42">
        <v>128</v>
      </c>
      <c r="N18" s="42" t="s">
        <v>101</v>
      </c>
      <c r="O18" s="42">
        <v>4</v>
      </c>
      <c r="P18" s="42" t="s">
        <v>274</v>
      </c>
    </row>
    <row r="19" spans="1:16" ht="45" customHeight="1" x14ac:dyDescent="0.2">
      <c r="A19" s="42">
        <v>81</v>
      </c>
      <c r="B19" s="42" t="s">
        <v>329</v>
      </c>
      <c r="C19" s="42" t="s">
        <v>268</v>
      </c>
      <c r="D19" s="42" t="s">
        <v>18</v>
      </c>
      <c r="E19" s="42">
        <v>1</v>
      </c>
      <c r="F19" s="42" t="s">
        <v>19</v>
      </c>
      <c r="G19" s="42" t="s">
        <v>28</v>
      </c>
      <c r="H19" s="42" t="s">
        <v>53</v>
      </c>
      <c r="I19" s="42" t="s">
        <v>330</v>
      </c>
      <c r="J19" s="42" t="s">
        <v>331</v>
      </c>
      <c r="K19" s="42" t="s">
        <v>278</v>
      </c>
      <c r="L19" s="42" t="s">
        <v>332</v>
      </c>
      <c r="M19" s="42">
        <f t="shared" ref="M19:M63" si="2">LEN(L19)</f>
        <v>128</v>
      </c>
      <c r="N19" s="42" t="str">
        <f t="shared" ref="N19:N63" si="3">IF(L19="","Eksik",IF(M19&lt;=130,"Uygun","130 karakteri aşıyor"))</f>
        <v>Uygun</v>
      </c>
      <c r="O19" s="42">
        <v>3</v>
      </c>
      <c r="P19" s="42" t="s">
        <v>333</v>
      </c>
    </row>
    <row r="20" spans="1:16" ht="45" customHeight="1" x14ac:dyDescent="0.2">
      <c r="A20" s="42">
        <v>82</v>
      </c>
      <c r="B20" s="42" t="s">
        <v>334</v>
      </c>
      <c r="C20" s="42" t="s">
        <v>268</v>
      </c>
      <c r="D20" s="42" t="s">
        <v>18</v>
      </c>
      <c r="E20" s="42">
        <v>1</v>
      </c>
      <c r="F20" s="42" t="s">
        <v>40</v>
      </c>
      <c r="G20" s="42" t="s">
        <v>269</v>
      </c>
      <c r="H20" s="42" t="s">
        <v>79</v>
      </c>
      <c r="I20" s="42" t="s">
        <v>270</v>
      </c>
      <c r="J20" s="42" t="s">
        <v>335</v>
      </c>
      <c r="K20" s="42" t="s">
        <v>283</v>
      </c>
      <c r="L20" s="42" t="s">
        <v>336</v>
      </c>
      <c r="M20" s="42">
        <f t="shared" si="2"/>
        <v>129</v>
      </c>
      <c r="N20" s="42" t="str">
        <f t="shared" si="3"/>
        <v>Uygun</v>
      </c>
      <c r="O20" s="42">
        <v>4</v>
      </c>
      <c r="P20" s="42" t="s">
        <v>274</v>
      </c>
    </row>
    <row r="21" spans="1:16" ht="30" customHeight="1" x14ac:dyDescent="0.2">
      <c r="A21" s="42">
        <v>83</v>
      </c>
      <c r="B21" s="42" t="s">
        <v>337</v>
      </c>
      <c r="C21" s="42" t="s">
        <v>268</v>
      </c>
      <c r="D21" s="42" t="s">
        <v>18</v>
      </c>
      <c r="E21" s="42">
        <v>1</v>
      </c>
      <c r="F21" s="42" t="s">
        <v>79</v>
      </c>
      <c r="G21" s="42" t="s">
        <v>269</v>
      </c>
      <c r="H21" s="42" t="s">
        <v>231</v>
      </c>
      <c r="I21" s="42" t="s">
        <v>270</v>
      </c>
      <c r="J21" s="42" t="s">
        <v>338</v>
      </c>
      <c r="K21" s="42" t="s">
        <v>287</v>
      </c>
      <c r="L21" s="42" t="s">
        <v>339</v>
      </c>
      <c r="M21" s="42">
        <f t="shared" si="2"/>
        <v>116</v>
      </c>
      <c r="N21" s="42" t="str">
        <f t="shared" si="3"/>
        <v>Uygun</v>
      </c>
      <c r="O21" s="42">
        <v>3</v>
      </c>
      <c r="P21" s="42" t="s">
        <v>274</v>
      </c>
    </row>
    <row r="22" spans="1:16" ht="45" customHeight="1" x14ac:dyDescent="0.2">
      <c r="A22" s="42">
        <v>84</v>
      </c>
      <c r="B22" s="42" t="s">
        <v>340</v>
      </c>
      <c r="C22" s="42" t="s">
        <v>268</v>
      </c>
      <c r="D22" s="42" t="s">
        <v>18</v>
      </c>
      <c r="E22" s="42">
        <v>1</v>
      </c>
      <c r="F22" s="42" t="s">
        <v>299</v>
      </c>
      <c r="G22" s="42" t="s">
        <v>28</v>
      </c>
      <c r="H22" s="42" t="s">
        <v>178</v>
      </c>
      <c r="I22" s="42" t="s">
        <v>270</v>
      </c>
      <c r="J22" s="42" t="s">
        <v>341</v>
      </c>
      <c r="K22" s="42" t="s">
        <v>272</v>
      </c>
      <c r="L22" s="42" t="s">
        <v>342</v>
      </c>
      <c r="M22" s="42">
        <f t="shared" si="2"/>
        <v>127</v>
      </c>
      <c r="N22" s="42" t="str">
        <f t="shared" si="3"/>
        <v>Uygun</v>
      </c>
      <c r="O22" s="42">
        <v>4</v>
      </c>
      <c r="P22" s="42" t="s">
        <v>274</v>
      </c>
    </row>
    <row r="23" spans="1:16" ht="30" customHeight="1" x14ac:dyDescent="0.2">
      <c r="A23" s="42">
        <v>85</v>
      </c>
      <c r="B23" s="42" t="s">
        <v>343</v>
      </c>
      <c r="C23" s="42" t="s">
        <v>268</v>
      </c>
      <c r="D23" s="42" t="s">
        <v>18</v>
      </c>
      <c r="E23" s="42">
        <v>1</v>
      </c>
      <c r="F23" s="42" t="s">
        <v>79</v>
      </c>
      <c r="G23" s="42" t="s">
        <v>269</v>
      </c>
      <c r="H23" s="42" t="s">
        <v>47</v>
      </c>
      <c r="I23" s="42" t="s">
        <v>270</v>
      </c>
      <c r="J23" s="42" t="s">
        <v>344</v>
      </c>
      <c r="K23" s="42" t="s">
        <v>278</v>
      </c>
      <c r="L23" s="42" t="s">
        <v>345</v>
      </c>
      <c r="M23" s="42">
        <f t="shared" si="2"/>
        <v>121</v>
      </c>
      <c r="N23" s="42" t="str">
        <f t="shared" si="3"/>
        <v>Uygun</v>
      </c>
      <c r="O23" s="42">
        <v>3</v>
      </c>
      <c r="P23" s="42" t="s">
        <v>274</v>
      </c>
    </row>
    <row r="24" spans="1:16" ht="45" customHeight="1" x14ac:dyDescent="0.2">
      <c r="A24" s="42">
        <v>86</v>
      </c>
      <c r="B24" s="42" t="s">
        <v>346</v>
      </c>
      <c r="C24" s="42" t="s">
        <v>268</v>
      </c>
      <c r="D24" s="42" t="s">
        <v>18</v>
      </c>
      <c r="E24" s="42">
        <v>1</v>
      </c>
      <c r="F24" s="42" t="s">
        <v>79</v>
      </c>
      <c r="G24" s="42" t="s">
        <v>28</v>
      </c>
      <c r="H24" s="42" t="s">
        <v>214</v>
      </c>
      <c r="I24" s="42" t="s">
        <v>270</v>
      </c>
      <c r="J24" s="42" t="s">
        <v>347</v>
      </c>
      <c r="K24" s="42" t="s">
        <v>283</v>
      </c>
      <c r="L24" s="42" t="s">
        <v>348</v>
      </c>
      <c r="M24" s="42">
        <f t="shared" si="2"/>
        <v>130</v>
      </c>
      <c r="N24" s="42" t="str">
        <f t="shared" si="3"/>
        <v>Uygun</v>
      </c>
      <c r="O24" s="42">
        <v>4</v>
      </c>
      <c r="P24" s="42" t="s">
        <v>274</v>
      </c>
    </row>
    <row r="25" spans="1:16" ht="30" customHeight="1" x14ac:dyDescent="0.2">
      <c r="A25" s="42">
        <v>87</v>
      </c>
      <c r="B25" s="42" t="s">
        <v>349</v>
      </c>
      <c r="C25" s="42" t="s">
        <v>268</v>
      </c>
      <c r="D25" s="42" t="s">
        <v>18</v>
      </c>
      <c r="E25" s="42">
        <v>1</v>
      </c>
      <c r="F25" s="42" t="s">
        <v>79</v>
      </c>
      <c r="G25" s="42" t="s">
        <v>28</v>
      </c>
      <c r="H25" s="42" t="s">
        <v>47</v>
      </c>
      <c r="I25" s="42" t="s">
        <v>270</v>
      </c>
      <c r="J25" s="42" t="s">
        <v>350</v>
      </c>
      <c r="K25" s="42" t="s">
        <v>287</v>
      </c>
      <c r="L25" s="42" t="s">
        <v>351</v>
      </c>
      <c r="M25" s="42">
        <f t="shared" si="2"/>
        <v>126</v>
      </c>
      <c r="N25" s="42" t="str">
        <f t="shared" si="3"/>
        <v>Uygun</v>
      </c>
      <c r="O25" s="42">
        <v>3</v>
      </c>
      <c r="P25" s="42" t="s">
        <v>274</v>
      </c>
    </row>
    <row r="26" spans="1:16" ht="45" customHeight="1" x14ac:dyDescent="0.2">
      <c r="A26" s="42">
        <v>88</v>
      </c>
      <c r="B26" s="42" t="s">
        <v>352</v>
      </c>
      <c r="C26" s="42" t="s">
        <v>268</v>
      </c>
      <c r="D26" s="42" t="s">
        <v>18</v>
      </c>
      <c r="E26" s="42">
        <v>1</v>
      </c>
      <c r="F26" s="42" t="s">
        <v>79</v>
      </c>
      <c r="G26" s="42" t="s">
        <v>28</v>
      </c>
      <c r="H26" s="42" t="s">
        <v>132</v>
      </c>
      <c r="I26" s="42" t="s">
        <v>270</v>
      </c>
      <c r="J26" s="42" t="s">
        <v>353</v>
      </c>
      <c r="K26" s="42" t="s">
        <v>272</v>
      </c>
      <c r="L26" s="42" t="s">
        <v>354</v>
      </c>
      <c r="M26" s="42">
        <f t="shared" si="2"/>
        <v>128</v>
      </c>
      <c r="N26" s="42" t="str">
        <f t="shared" si="3"/>
        <v>Uygun</v>
      </c>
      <c r="O26" s="42">
        <v>4</v>
      </c>
      <c r="P26" s="42" t="s">
        <v>274</v>
      </c>
    </row>
    <row r="27" spans="1:16" ht="30" customHeight="1" x14ac:dyDescent="0.2">
      <c r="A27" s="42">
        <v>89</v>
      </c>
      <c r="B27" s="42" t="s">
        <v>355</v>
      </c>
      <c r="C27" s="42" t="s">
        <v>268</v>
      </c>
      <c r="D27" s="42" t="s">
        <v>18</v>
      </c>
      <c r="E27" s="42">
        <v>1</v>
      </c>
      <c r="F27" s="42" t="s">
        <v>356</v>
      </c>
      <c r="G27" s="42" t="s">
        <v>28</v>
      </c>
      <c r="H27" s="42" t="s">
        <v>60</v>
      </c>
      <c r="I27" s="42" t="s">
        <v>270</v>
      </c>
      <c r="J27" s="42" t="s">
        <v>357</v>
      </c>
      <c r="K27" s="42" t="s">
        <v>278</v>
      </c>
      <c r="L27" s="42" t="s">
        <v>358</v>
      </c>
      <c r="M27" s="42">
        <f t="shared" si="2"/>
        <v>128</v>
      </c>
      <c r="N27" s="42" t="str">
        <f t="shared" si="3"/>
        <v>Uygun</v>
      </c>
      <c r="O27" s="42">
        <v>3</v>
      </c>
      <c r="P27" s="42" t="s">
        <v>274</v>
      </c>
    </row>
    <row r="28" spans="1:16" ht="45" customHeight="1" x14ac:dyDescent="0.2">
      <c r="A28" s="42">
        <v>90</v>
      </c>
      <c r="B28" s="42" t="s">
        <v>359</v>
      </c>
      <c r="C28" s="42" t="s">
        <v>268</v>
      </c>
      <c r="D28" s="42" t="s">
        <v>18</v>
      </c>
      <c r="E28" s="42">
        <v>1</v>
      </c>
      <c r="F28" s="42" t="s">
        <v>79</v>
      </c>
      <c r="G28" s="42" t="s">
        <v>269</v>
      </c>
      <c r="H28" s="42" t="s">
        <v>79</v>
      </c>
      <c r="I28" s="42" t="s">
        <v>270</v>
      </c>
      <c r="J28" s="42" t="s">
        <v>360</v>
      </c>
      <c r="K28" s="42" t="s">
        <v>283</v>
      </c>
      <c r="L28" s="42" t="s">
        <v>361</v>
      </c>
      <c r="M28" s="42">
        <f t="shared" si="2"/>
        <v>126</v>
      </c>
      <c r="N28" s="42" t="str">
        <f t="shared" si="3"/>
        <v>Uygun</v>
      </c>
      <c r="O28" s="42">
        <v>4</v>
      </c>
      <c r="P28" s="42" t="s">
        <v>274</v>
      </c>
    </row>
    <row r="29" spans="1:16" ht="45" customHeight="1" x14ac:dyDescent="0.2">
      <c r="A29" s="42">
        <v>91</v>
      </c>
      <c r="B29" s="42" t="s">
        <v>362</v>
      </c>
      <c r="C29" s="42" t="s">
        <v>268</v>
      </c>
      <c r="D29" s="42" t="s">
        <v>18</v>
      </c>
      <c r="E29" s="42">
        <v>1</v>
      </c>
      <c r="F29" s="42" t="s">
        <v>79</v>
      </c>
      <c r="G29" s="42" t="s">
        <v>269</v>
      </c>
      <c r="H29" s="42" t="s">
        <v>79</v>
      </c>
      <c r="I29" s="42" t="s">
        <v>270</v>
      </c>
      <c r="J29" s="42" t="s">
        <v>363</v>
      </c>
      <c r="K29" s="42" t="s">
        <v>287</v>
      </c>
      <c r="L29" s="42" t="s">
        <v>364</v>
      </c>
      <c r="M29" s="42">
        <f t="shared" si="2"/>
        <v>130</v>
      </c>
      <c r="N29" s="42" t="str">
        <f t="shared" si="3"/>
        <v>Uygun</v>
      </c>
      <c r="O29" s="42">
        <v>3</v>
      </c>
      <c r="P29" s="42" t="s">
        <v>274</v>
      </c>
    </row>
    <row r="30" spans="1:16" ht="30" customHeight="1" x14ac:dyDescent="0.2">
      <c r="A30" s="42">
        <v>92</v>
      </c>
      <c r="B30" s="42" t="s">
        <v>365</v>
      </c>
      <c r="C30" s="42" t="s">
        <v>268</v>
      </c>
      <c r="D30" s="42" t="s">
        <v>18</v>
      </c>
      <c r="E30" s="42">
        <v>1</v>
      </c>
      <c r="F30" s="42" t="s">
        <v>79</v>
      </c>
      <c r="G30" s="42" t="s">
        <v>269</v>
      </c>
      <c r="H30" s="42" t="s">
        <v>73</v>
      </c>
      <c r="I30" s="42" t="s">
        <v>270</v>
      </c>
      <c r="J30" s="42" t="s">
        <v>366</v>
      </c>
      <c r="K30" s="42" t="s">
        <v>272</v>
      </c>
      <c r="L30" s="42" t="s">
        <v>367</v>
      </c>
      <c r="M30" s="42">
        <f t="shared" si="2"/>
        <v>122</v>
      </c>
      <c r="N30" s="42" t="str">
        <f t="shared" si="3"/>
        <v>Uygun</v>
      </c>
      <c r="O30" s="42">
        <v>4</v>
      </c>
      <c r="P30" s="42" t="s">
        <v>274</v>
      </c>
    </row>
    <row r="31" spans="1:16" ht="30" customHeight="1" x14ac:dyDescent="0.2">
      <c r="A31" s="42">
        <v>93</v>
      </c>
      <c r="B31" s="42" t="s">
        <v>368</v>
      </c>
      <c r="C31" s="42" t="s">
        <v>268</v>
      </c>
      <c r="D31" s="42" t="s">
        <v>18</v>
      </c>
      <c r="E31" s="42">
        <v>1</v>
      </c>
      <c r="F31" s="42" t="s">
        <v>79</v>
      </c>
      <c r="G31" s="42" t="s">
        <v>269</v>
      </c>
      <c r="H31" s="42" t="s">
        <v>21</v>
      </c>
      <c r="I31" s="42" t="s">
        <v>270</v>
      </c>
      <c r="J31" s="42" t="s">
        <v>369</v>
      </c>
      <c r="K31" s="42" t="s">
        <v>278</v>
      </c>
      <c r="L31" s="42" t="s">
        <v>370</v>
      </c>
      <c r="M31" s="42">
        <f t="shared" si="2"/>
        <v>117</v>
      </c>
      <c r="N31" s="42" t="str">
        <f t="shared" si="3"/>
        <v>Uygun</v>
      </c>
      <c r="O31" s="42">
        <v>3</v>
      </c>
      <c r="P31" s="42" t="s">
        <v>274</v>
      </c>
    </row>
    <row r="32" spans="1:16" ht="45" customHeight="1" x14ac:dyDescent="0.2">
      <c r="A32" s="42">
        <v>94</v>
      </c>
      <c r="B32" s="42" t="s">
        <v>371</v>
      </c>
      <c r="C32" s="42" t="s">
        <v>268</v>
      </c>
      <c r="D32" s="42" t="s">
        <v>18</v>
      </c>
      <c r="E32" s="42">
        <v>1</v>
      </c>
      <c r="F32" s="42" t="s">
        <v>19</v>
      </c>
      <c r="G32" s="42" t="s">
        <v>28</v>
      </c>
      <c r="H32" s="42" t="s">
        <v>21</v>
      </c>
      <c r="I32" s="42" t="s">
        <v>276</v>
      </c>
      <c r="J32" s="42" t="s">
        <v>372</v>
      </c>
      <c r="K32" s="42" t="s">
        <v>283</v>
      </c>
      <c r="L32" s="42" t="s">
        <v>373</v>
      </c>
      <c r="M32" s="42">
        <f t="shared" si="2"/>
        <v>127</v>
      </c>
      <c r="N32" s="42" t="str">
        <f t="shared" si="3"/>
        <v>Uygun</v>
      </c>
      <c r="O32" s="42">
        <v>4</v>
      </c>
      <c r="P32" s="42" t="s">
        <v>280</v>
      </c>
    </row>
    <row r="33" spans="1:16" ht="45" customHeight="1" x14ac:dyDescent="0.2">
      <c r="A33" s="42">
        <v>95</v>
      </c>
      <c r="B33" s="42" t="s">
        <v>374</v>
      </c>
      <c r="C33" s="42" t="s">
        <v>268</v>
      </c>
      <c r="D33" s="42" t="s">
        <v>18</v>
      </c>
      <c r="E33" s="42">
        <v>1</v>
      </c>
      <c r="F33" s="42" t="s">
        <v>79</v>
      </c>
      <c r="G33" s="42" t="s">
        <v>269</v>
      </c>
      <c r="H33" s="42" t="s">
        <v>53</v>
      </c>
      <c r="I33" s="42" t="s">
        <v>330</v>
      </c>
      <c r="J33" s="42" t="s">
        <v>375</v>
      </c>
      <c r="K33" s="42" t="s">
        <v>287</v>
      </c>
      <c r="L33" s="42" t="s">
        <v>376</v>
      </c>
      <c r="M33" s="42">
        <f t="shared" si="2"/>
        <v>129</v>
      </c>
      <c r="N33" s="42" t="str">
        <f t="shared" si="3"/>
        <v>Uygun</v>
      </c>
      <c r="O33" s="42">
        <v>3</v>
      </c>
      <c r="P33" s="42" t="s">
        <v>333</v>
      </c>
    </row>
    <row r="34" spans="1:16" ht="45" customHeight="1" x14ac:dyDescent="0.2">
      <c r="A34" s="42">
        <v>96</v>
      </c>
      <c r="B34" s="42" t="s">
        <v>377</v>
      </c>
      <c r="C34" s="42" t="s">
        <v>268</v>
      </c>
      <c r="D34" s="42" t="s">
        <v>163</v>
      </c>
      <c r="E34" s="42">
        <v>2</v>
      </c>
      <c r="F34" s="42" t="s">
        <v>79</v>
      </c>
      <c r="G34" s="42" t="s">
        <v>269</v>
      </c>
      <c r="H34" s="42" t="s">
        <v>47</v>
      </c>
      <c r="I34" s="42" t="s">
        <v>378</v>
      </c>
      <c r="J34" s="42" t="s">
        <v>379</v>
      </c>
      <c r="K34" s="42" t="s">
        <v>380</v>
      </c>
      <c r="L34" s="42" t="s">
        <v>381</v>
      </c>
      <c r="M34" s="42">
        <f t="shared" si="2"/>
        <v>123</v>
      </c>
      <c r="N34" s="42" t="str">
        <f t="shared" si="3"/>
        <v>Uygun</v>
      </c>
      <c r="O34" s="42">
        <v>5</v>
      </c>
      <c r="P34" s="42" t="s">
        <v>382</v>
      </c>
    </row>
    <row r="35" spans="1:16" ht="45" customHeight="1" x14ac:dyDescent="0.2">
      <c r="A35" s="42">
        <v>97</v>
      </c>
      <c r="B35" s="42" t="s">
        <v>383</v>
      </c>
      <c r="C35" s="42" t="s">
        <v>268</v>
      </c>
      <c r="D35" s="42" t="s">
        <v>163</v>
      </c>
      <c r="E35" s="42">
        <v>2</v>
      </c>
      <c r="F35" s="42" t="s">
        <v>79</v>
      </c>
      <c r="G35" s="42" t="s">
        <v>28</v>
      </c>
      <c r="H35" s="42" t="s">
        <v>60</v>
      </c>
      <c r="I35" s="42" t="s">
        <v>378</v>
      </c>
      <c r="J35" s="42" t="s">
        <v>384</v>
      </c>
      <c r="K35" s="42" t="s">
        <v>385</v>
      </c>
      <c r="L35" s="42" t="s">
        <v>386</v>
      </c>
      <c r="M35" s="42">
        <f t="shared" si="2"/>
        <v>129</v>
      </c>
      <c r="N35" s="42" t="str">
        <f t="shared" si="3"/>
        <v>Uygun</v>
      </c>
      <c r="O35" s="42">
        <v>5</v>
      </c>
      <c r="P35" s="42" t="s">
        <v>382</v>
      </c>
    </row>
    <row r="36" spans="1:16" ht="45" customHeight="1" x14ac:dyDescent="0.2">
      <c r="A36" s="42">
        <v>98</v>
      </c>
      <c r="B36" s="42" t="s">
        <v>387</v>
      </c>
      <c r="C36" s="42" t="s">
        <v>268</v>
      </c>
      <c r="D36" s="42" t="s">
        <v>163</v>
      </c>
      <c r="E36" s="42">
        <v>2</v>
      </c>
      <c r="F36" s="42" t="s">
        <v>79</v>
      </c>
      <c r="G36" s="42" t="s">
        <v>28</v>
      </c>
      <c r="H36" s="42" t="s">
        <v>60</v>
      </c>
      <c r="I36" s="42" t="s">
        <v>378</v>
      </c>
      <c r="J36" s="42" t="s">
        <v>388</v>
      </c>
      <c r="K36" s="42" t="s">
        <v>389</v>
      </c>
      <c r="L36" s="42" t="s">
        <v>390</v>
      </c>
      <c r="M36" s="42">
        <f t="shared" si="2"/>
        <v>121</v>
      </c>
      <c r="N36" s="42" t="str">
        <f t="shared" si="3"/>
        <v>Uygun</v>
      </c>
      <c r="O36" s="42">
        <v>5</v>
      </c>
      <c r="P36" s="42" t="s">
        <v>382</v>
      </c>
    </row>
    <row r="37" spans="1:16" ht="30" customHeight="1" x14ac:dyDescent="0.2">
      <c r="A37" s="42">
        <v>99</v>
      </c>
      <c r="B37" s="42" t="s">
        <v>391</v>
      </c>
      <c r="C37" s="42" t="s">
        <v>268</v>
      </c>
      <c r="D37" s="42" t="s">
        <v>163</v>
      </c>
      <c r="E37" s="42">
        <v>2</v>
      </c>
      <c r="F37" s="42" t="s">
        <v>299</v>
      </c>
      <c r="G37" s="42" t="s">
        <v>28</v>
      </c>
      <c r="H37" s="42" t="s">
        <v>154</v>
      </c>
      <c r="I37" s="42" t="s">
        <v>392</v>
      </c>
      <c r="J37" s="42" t="s">
        <v>393</v>
      </c>
      <c r="K37" s="42" t="s">
        <v>394</v>
      </c>
      <c r="L37" s="42" t="s">
        <v>395</v>
      </c>
      <c r="M37" s="42">
        <f t="shared" si="2"/>
        <v>113</v>
      </c>
      <c r="N37" s="42" t="str">
        <f t="shared" si="3"/>
        <v>Uygun</v>
      </c>
      <c r="O37" s="42">
        <v>5</v>
      </c>
      <c r="P37" s="42" t="s">
        <v>396</v>
      </c>
    </row>
    <row r="38" spans="1:16" ht="45" customHeight="1" x14ac:dyDescent="0.2">
      <c r="A38" s="42">
        <v>100</v>
      </c>
      <c r="B38" s="42" t="s">
        <v>397</v>
      </c>
      <c r="C38" s="42" t="s">
        <v>268</v>
      </c>
      <c r="D38" s="42" t="s">
        <v>163</v>
      </c>
      <c r="E38" s="42">
        <v>2</v>
      </c>
      <c r="F38" s="42" t="s">
        <v>79</v>
      </c>
      <c r="G38" s="42" t="s">
        <v>28</v>
      </c>
      <c r="H38" s="42" t="s">
        <v>110</v>
      </c>
      <c r="I38" s="42" t="s">
        <v>398</v>
      </c>
      <c r="J38" s="42" t="s">
        <v>399</v>
      </c>
      <c r="K38" s="42" t="s">
        <v>380</v>
      </c>
      <c r="L38" s="42" t="s">
        <v>400</v>
      </c>
      <c r="M38" s="42">
        <f t="shared" si="2"/>
        <v>121</v>
      </c>
      <c r="N38" s="42" t="str">
        <f t="shared" si="3"/>
        <v>Uygun</v>
      </c>
      <c r="O38" s="42">
        <v>5</v>
      </c>
      <c r="P38" s="42" t="s">
        <v>401</v>
      </c>
    </row>
    <row r="39" spans="1:16" ht="30" customHeight="1" x14ac:dyDescent="0.2">
      <c r="A39" s="42">
        <v>101</v>
      </c>
      <c r="B39" s="42" t="s">
        <v>402</v>
      </c>
      <c r="C39" s="42" t="s">
        <v>268</v>
      </c>
      <c r="D39" s="42" t="s">
        <v>163</v>
      </c>
      <c r="E39" s="42">
        <v>2</v>
      </c>
      <c r="F39" s="42" t="s">
        <v>299</v>
      </c>
      <c r="G39" s="42" t="s">
        <v>28</v>
      </c>
      <c r="H39" s="42" t="s">
        <v>123</v>
      </c>
      <c r="I39" s="42" t="s">
        <v>378</v>
      </c>
      <c r="J39" s="42" t="s">
        <v>403</v>
      </c>
      <c r="K39" s="42" t="s">
        <v>385</v>
      </c>
      <c r="L39" s="42" t="s">
        <v>404</v>
      </c>
      <c r="M39" s="42">
        <f t="shared" si="2"/>
        <v>125</v>
      </c>
      <c r="N39" s="42" t="str">
        <f t="shared" si="3"/>
        <v>Uygun</v>
      </c>
      <c r="O39" s="42">
        <v>5</v>
      </c>
      <c r="P39" s="42" t="s">
        <v>382</v>
      </c>
    </row>
    <row r="40" spans="1:16" ht="45" customHeight="1" x14ac:dyDescent="0.2">
      <c r="A40" s="42">
        <v>102</v>
      </c>
      <c r="B40" s="42" t="s">
        <v>405</v>
      </c>
      <c r="C40" s="42" t="s">
        <v>268</v>
      </c>
      <c r="D40" s="42" t="s">
        <v>163</v>
      </c>
      <c r="E40" s="42">
        <v>2</v>
      </c>
      <c r="F40" s="42" t="s">
        <v>79</v>
      </c>
      <c r="G40" s="42" t="s">
        <v>28</v>
      </c>
      <c r="H40" s="42" t="s">
        <v>41</v>
      </c>
      <c r="I40" s="42" t="s">
        <v>378</v>
      </c>
      <c r="J40" s="42" t="s">
        <v>406</v>
      </c>
      <c r="K40" s="42" t="s">
        <v>389</v>
      </c>
      <c r="L40" s="42" t="s">
        <v>407</v>
      </c>
      <c r="M40" s="42">
        <f t="shared" si="2"/>
        <v>130</v>
      </c>
      <c r="N40" s="42" t="str">
        <f t="shared" si="3"/>
        <v>Uygun</v>
      </c>
      <c r="O40" s="42">
        <v>5</v>
      </c>
      <c r="P40" s="42" t="s">
        <v>382</v>
      </c>
    </row>
    <row r="41" spans="1:16" ht="45" customHeight="1" x14ac:dyDescent="0.2">
      <c r="A41" s="42">
        <v>103</v>
      </c>
      <c r="B41" s="42" t="s">
        <v>408</v>
      </c>
      <c r="C41" s="42" t="s">
        <v>268</v>
      </c>
      <c r="D41" s="42" t="s">
        <v>163</v>
      </c>
      <c r="E41" s="42">
        <v>2</v>
      </c>
      <c r="F41" s="42" t="s">
        <v>79</v>
      </c>
      <c r="G41" s="42" t="s">
        <v>269</v>
      </c>
      <c r="H41" s="42" t="s">
        <v>41</v>
      </c>
      <c r="I41" s="42" t="s">
        <v>378</v>
      </c>
      <c r="J41" s="42" t="s">
        <v>409</v>
      </c>
      <c r="K41" s="42" t="s">
        <v>394</v>
      </c>
      <c r="L41" s="42" t="s">
        <v>410</v>
      </c>
      <c r="M41" s="42">
        <f t="shared" si="2"/>
        <v>128</v>
      </c>
      <c r="N41" s="42" t="str">
        <f t="shared" si="3"/>
        <v>Uygun</v>
      </c>
      <c r="O41" s="42">
        <v>5</v>
      </c>
      <c r="P41" s="42" t="s">
        <v>382</v>
      </c>
    </row>
    <row r="42" spans="1:16" ht="45" customHeight="1" x14ac:dyDescent="0.2">
      <c r="A42" s="42">
        <v>104</v>
      </c>
      <c r="B42" s="42" t="s">
        <v>411</v>
      </c>
      <c r="C42" s="42" t="s">
        <v>268</v>
      </c>
      <c r="D42" s="42" t="s">
        <v>163</v>
      </c>
      <c r="E42" s="42">
        <v>2</v>
      </c>
      <c r="F42" s="42" t="s">
        <v>412</v>
      </c>
      <c r="G42" s="42" t="s">
        <v>28</v>
      </c>
      <c r="H42" s="42" t="s">
        <v>34</v>
      </c>
      <c r="I42" s="42" t="s">
        <v>378</v>
      </c>
      <c r="J42" s="42" t="s">
        <v>413</v>
      </c>
      <c r="K42" s="42" t="s">
        <v>380</v>
      </c>
      <c r="L42" s="42" t="s">
        <v>414</v>
      </c>
      <c r="M42" s="42">
        <f t="shared" si="2"/>
        <v>124</v>
      </c>
      <c r="N42" s="42" t="str">
        <f t="shared" si="3"/>
        <v>Uygun</v>
      </c>
      <c r="O42" s="42">
        <v>5</v>
      </c>
      <c r="P42" s="42" t="s">
        <v>382</v>
      </c>
    </row>
    <row r="43" spans="1:16" ht="45" customHeight="1" x14ac:dyDescent="0.2">
      <c r="A43" s="42">
        <v>105</v>
      </c>
      <c r="B43" s="42" t="s">
        <v>415</v>
      </c>
      <c r="C43" s="42" t="s">
        <v>268</v>
      </c>
      <c r="D43" s="42" t="s">
        <v>163</v>
      </c>
      <c r="E43" s="42">
        <v>2</v>
      </c>
      <c r="F43" s="42" t="s">
        <v>79</v>
      </c>
      <c r="G43" s="42" t="s">
        <v>28</v>
      </c>
      <c r="H43" s="42" t="s">
        <v>21</v>
      </c>
      <c r="I43" s="42" t="s">
        <v>378</v>
      </c>
      <c r="J43" s="42" t="s">
        <v>416</v>
      </c>
      <c r="K43" s="42" t="s">
        <v>385</v>
      </c>
      <c r="L43" s="42" t="s">
        <v>417</v>
      </c>
      <c r="M43" s="42">
        <f t="shared" si="2"/>
        <v>128</v>
      </c>
      <c r="N43" s="42" t="str">
        <f t="shared" si="3"/>
        <v>Uygun</v>
      </c>
      <c r="O43" s="42">
        <v>5</v>
      </c>
      <c r="P43" s="42" t="s">
        <v>382</v>
      </c>
    </row>
    <row r="44" spans="1:16" ht="30" customHeight="1" x14ac:dyDescent="0.2">
      <c r="A44" s="42">
        <v>106</v>
      </c>
      <c r="B44" s="42" t="s">
        <v>418</v>
      </c>
      <c r="C44" s="42" t="s">
        <v>268</v>
      </c>
      <c r="D44" s="42" t="s">
        <v>163</v>
      </c>
      <c r="E44" s="42">
        <v>2</v>
      </c>
      <c r="F44" s="42" t="s">
        <v>41</v>
      </c>
      <c r="G44" s="42" t="s">
        <v>28</v>
      </c>
      <c r="H44" s="42" t="s">
        <v>53</v>
      </c>
      <c r="I44" s="42" t="s">
        <v>419</v>
      </c>
      <c r="J44" s="42" t="s">
        <v>420</v>
      </c>
      <c r="K44" s="42" t="s">
        <v>389</v>
      </c>
      <c r="L44" s="42" t="s">
        <v>421</v>
      </c>
      <c r="M44" s="42">
        <f t="shared" si="2"/>
        <v>122</v>
      </c>
      <c r="N44" s="42" t="str">
        <f t="shared" si="3"/>
        <v>Uygun</v>
      </c>
      <c r="O44" s="42">
        <v>5</v>
      </c>
      <c r="P44" s="42" t="s">
        <v>422</v>
      </c>
    </row>
    <row r="45" spans="1:16" ht="45" customHeight="1" x14ac:dyDescent="0.2">
      <c r="A45" s="42">
        <v>107</v>
      </c>
      <c r="B45" s="42" t="s">
        <v>423</v>
      </c>
      <c r="C45" s="42" t="s">
        <v>268</v>
      </c>
      <c r="D45" s="42" t="s">
        <v>163</v>
      </c>
      <c r="E45" s="42">
        <v>2</v>
      </c>
      <c r="F45" s="42" t="s">
        <v>79</v>
      </c>
      <c r="G45" s="42" t="s">
        <v>28</v>
      </c>
      <c r="H45" s="42" t="s">
        <v>34</v>
      </c>
      <c r="I45" s="42" t="s">
        <v>378</v>
      </c>
      <c r="J45" s="42" t="s">
        <v>424</v>
      </c>
      <c r="K45" s="42" t="s">
        <v>394</v>
      </c>
      <c r="L45" s="42" t="s">
        <v>425</v>
      </c>
      <c r="M45" s="42">
        <f t="shared" si="2"/>
        <v>129</v>
      </c>
      <c r="N45" s="42" t="str">
        <f t="shared" si="3"/>
        <v>Uygun</v>
      </c>
      <c r="O45" s="42">
        <v>5</v>
      </c>
      <c r="P45" s="42" t="s">
        <v>382</v>
      </c>
    </row>
    <row r="46" spans="1:16" ht="45" customHeight="1" x14ac:dyDescent="0.2">
      <c r="A46" s="42">
        <v>108</v>
      </c>
      <c r="B46" s="42" t="s">
        <v>426</v>
      </c>
      <c r="C46" s="42" t="s">
        <v>268</v>
      </c>
      <c r="D46" s="42" t="s">
        <v>163</v>
      </c>
      <c r="E46" s="42">
        <v>2</v>
      </c>
      <c r="F46" s="42" t="s">
        <v>412</v>
      </c>
      <c r="G46" s="42" t="s">
        <v>28</v>
      </c>
      <c r="H46" s="42" t="s">
        <v>110</v>
      </c>
      <c r="I46" s="42" t="s">
        <v>392</v>
      </c>
      <c r="J46" s="42" t="s">
        <v>427</v>
      </c>
      <c r="K46" s="42" t="s">
        <v>380</v>
      </c>
      <c r="L46" s="42" t="s">
        <v>428</v>
      </c>
      <c r="M46" s="42">
        <f t="shared" si="2"/>
        <v>126</v>
      </c>
      <c r="N46" s="42" t="str">
        <f t="shared" si="3"/>
        <v>Uygun</v>
      </c>
      <c r="O46" s="42">
        <v>5</v>
      </c>
      <c r="P46" s="42" t="s">
        <v>396</v>
      </c>
    </row>
    <row r="47" spans="1:16" ht="45" customHeight="1" x14ac:dyDescent="0.2">
      <c r="A47" s="42">
        <v>109</v>
      </c>
      <c r="B47" s="42" t="s">
        <v>429</v>
      </c>
      <c r="C47" s="42" t="s">
        <v>268</v>
      </c>
      <c r="D47" s="42" t="s">
        <v>163</v>
      </c>
      <c r="E47" s="42">
        <v>2</v>
      </c>
      <c r="F47" s="42" t="s">
        <v>79</v>
      </c>
      <c r="G47" s="42" t="s">
        <v>28</v>
      </c>
      <c r="H47" s="42" t="s">
        <v>21</v>
      </c>
      <c r="I47" s="42" t="s">
        <v>378</v>
      </c>
      <c r="J47" s="42" t="s">
        <v>430</v>
      </c>
      <c r="K47" s="42" t="s">
        <v>385</v>
      </c>
      <c r="L47" s="42" t="s">
        <v>431</v>
      </c>
      <c r="M47" s="42">
        <f t="shared" si="2"/>
        <v>124</v>
      </c>
      <c r="N47" s="42" t="str">
        <f t="shared" si="3"/>
        <v>Uygun</v>
      </c>
      <c r="O47" s="42">
        <v>5</v>
      </c>
      <c r="P47" s="42" t="s">
        <v>382</v>
      </c>
    </row>
    <row r="48" spans="1:16" ht="45" customHeight="1" x14ac:dyDescent="0.2">
      <c r="A48" s="42">
        <v>110</v>
      </c>
      <c r="B48" s="42" t="s">
        <v>432</v>
      </c>
      <c r="C48" s="42" t="s">
        <v>268</v>
      </c>
      <c r="D48" s="42" t="s">
        <v>163</v>
      </c>
      <c r="E48" s="42">
        <v>2</v>
      </c>
      <c r="F48" s="42" t="s">
        <v>79</v>
      </c>
      <c r="G48" s="42" t="s">
        <v>28</v>
      </c>
      <c r="H48" s="42" t="s">
        <v>21</v>
      </c>
      <c r="I48" s="42" t="s">
        <v>378</v>
      </c>
      <c r="J48" s="42" t="s">
        <v>433</v>
      </c>
      <c r="K48" s="42" t="s">
        <v>389</v>
      </c>
      <c r="L48" s="42" t="s">
        <v>434</v>
      </c>
      <c r="M48" s="42">
        <f t="shared" si="2"/>
        <v>126</v>
      </c>
      <c r="N48" s="42" t="str">
        <f t="shared" si="3"/>
        <v>Uygun</v>
      </c>
      <c r="O48" s="42">
        <v>5</v>
      </c>
      <c r="P48" s="42" t="s">
        <v>382</v>
      </c>
    </row>
    <row r="49" spans="1:16" ht="45" customHeight="1" x14ac:dyDescent="0.2">
      <c r="A49" s="42">
        <v>111</v>
      </c>
      <c r="B49" s="42" t="s">
        <v>435</v>
      </c>
      <c r="C49" s="42" t="s">
        <v>268</v>
      </c>
      <c r="D49" s="42" t="s">
        <v>163</v>
      </c>
      <c r="E49" s="42">
        <v>2</v>
      </c>
      <c r="F49" s="42" t="s">
        <v>79</v>
      </c>
      <c r="G49" s="42" t="s">
        <v>269</v>
      </c>
      <c r="H49" s="42" t="s">
        <v>73</v>
      </c>
      <c r="I49" s="42" t="s">
        <v>378</v>
      </c>
      <c r="J49" s="42" t="s">
        <v>436</v>
      </c>
      <c r="K49" s="42" t="s">
        <v>394</v>
      </c>
      <c r="L49" s="42" t="s">
        <v>437</v>
      </c>
      <c r="M49" s="42">
        <f t="shared" si="2"/>
        <v>123</v>
      </c>
      <c r="N49" s="42" t="str">
        <f t="shared" si="3"/>
        <v>Uygun</v>
      </c>
      <c r="O49" s="42">
        <v>5</v>
      </c>
      <c r="P49" s="42" t="s">
        <v>382</v>
      </c>
    </row>
    <row r="50" spans="1:16" ht="45" customHeight="1" x14ac:dyDescent="0.2">
      <c r="A50" s="42">
        <v>112</v>
      </c>
      <c r="B50" s="42" t="s">
        <v>438</v>
      </c>
      <c r="C50" s="42" t="s">
        <v>268</v>
      </c>
      <c r="D50" s="42" t="s">
        <v>218</v>
      </c>
      <c r="E50" s="42">
        <v>3</v>
      </c>
      <c r="F50" s="42" t="s">
        <v>64</v>
      </c>
      <c r="G50" s="42" t="s">
        <v>28</v>
      </c>
      <c r="H50" s="42" t="s">
        <v>93</v>
      </c>
      <c r="I50" s="42" t="s">
        <v>439</v>
      </c>
      <c r="J50" s="42" t="s">
        <v>440</v>
      </c>
      <c r="K50" s="42" t="s">
        <v>441</v>
      </c>
      <c r="L50" s="42" t="s">
        <v>442</v>
      </c>
      <c r="M50" s="42">
        <f t="shared" si="2"/>
        <v>121</v>
      </c>
      <c r="N50" s="42" t="str">
        <f t="shared" si="3"/>
        <v>Uygun</v>
      </c>
      <c r="O50" s="42">
        <v>7</v>
      </c>
      <c r="P50" s="42" t="s">
        <v>443</v>
      </c>
    </row>
    <row r="51" spans="1:16" ht="45" customHeight="1" x14ac:dyDescent="0.2">
      <c r="A51" s="42">
        <v>113</v>
      </c>
      <c r="B51" s="42" t="s">
        <v>444</v>
      </c>
      <c r="C51" s="42" t="s">
        <v>268</v>
      </c>
      <c r="D51" s="42" t="s">
        <v>218</v>
      </c>
      <c r="E51" s="42">
        <v>3</v>
      </c>
      <c r="F51" s="42" t="s">
        <v>245</v>
      </c>
      <c r="G51" s="42" t="s">
        <v>269</v>
      </c>
      <c r="H51" s="42" t="s">
        <v>123</v>
      </c>
      <c r="I51" s="42" t="s">
        <v>445</v>
      </c>
      <c r="J51" s="42" t="s">
        <v>446</v>
      </c>
      <c r="K51" s="42" t="s">
        <v>447</v>
      </c>
      <c r="L51" s="42" t="s">
        <v>448</v>
      </c>
      <c r="M51" s="42">
        <f t="shared" si="2"/>
        <v>119</v>
      </c>
      <c r="N51" s="42" t="str">
        <f t="shared" si="3"/>
        <v>Uygun</v>
      </c>
      <c r="O51" s="42">
        <v>6</v>
      </c>
      <c r="P51" s="42" t="s">
        <v>449</v>
      </c>
    </row>
    <row r="52" spans="1:16" ht="45" customHeight="1" x14ac:dyDescent="0.2">
      <c r="A52" s="42">
        <v>114</v>
      </c>
      <c r="B52" s="42" t="s">
        <v>450</v>
      </c>
      <c r="C52" s="42" t="s">
        <v>268</v>
      </c>
      <c r="D52" s="42" t="s">
        <v>218</v>
      </c>
      <c r="E52" s="42">
        <v>3</v>
      </c>
      <c r="F52" s="42" t="s">
        <v>79</v>
      </c>
      <c r="G52" s="42" t="s">
        <v>269</v>
      </c>
      <c r="H52" s="42" t="s">
        <v>93</v>
      </c>
      <c r="I52" s="42" t="s">
        <v>451</v>
      </c>
      <c r="J52" s="42" t="s">
        <v>452</v>
      </c>
      <c r="K52" s="42" t="s">
        <v>453</v>
      </c>
      <c r="L52" s="42" t="s">
        <v>454</v>
      </c>
      <c r="M52" s="42">
        <f t="shared" si="2"/>
        <v>129</v>
      </c>
      <c r="N52" s="42" t="str">
        <f t="shared" si="3"/>
        <v>Uygun</v>
      </c>
      <c r="O52" s="42">
        <v>7</v>
      </c>
      <c r="P52" s="42" t="s">
        <v>455</v>
      </c>
    </row>
    <row r="53" spans="1:16" ht="45" customHeight="1" x14ac:dyDescent="0.2">
      <c r="A53" s="42">
        <v>115</v>
      </c>
      <c r="B53" s="42" t="s">
        <v>456</v>
      </c>
      <c r="C53" s="42" t="s">
        <v>268</v>
      </c>
      <c r="D53" s="42" t="s">
        <v>218</v>
      </c>
      <c r="E53" s="42">
        <v>3</v>
      </c>
      <c r="F53" s="42" t="s">
        <v>356</v>
      </c>
      <c r="G53" s="42" t="s">
        <v>28</v>
      </c>
      <c r="H53" s="42" t="s">
        <v>164</v>
      </c>
      <c r="I53" s="42" t="s">
        <v>445</v>
      </c>
      <c r="J53" s="42" t="s">
        <v>457</v>
      </c>
      <c r="K53" s="42" t="s">
        <v>458</v>
      </c>
      <c r="L53" s="42" t="s">
        <v>459</v>
      </c>
      <c r="M53" s="42">
        <f t="shared" si="2"/>
        <v>126</v>
      </c>
      <c r="N53" s="42" t="str">
        <f t="shared" si="3"/>
        <v>Uygun</v>
      </c>
      <c r="O53" s="42">
        <v>6</v>
      </c>
      <c r="P53" s="42" t="s">
        <v>449</v>
      </c>
    </row>
    <row r="54" spans="1:16" ht="45" customHeight="1" x14ac:dyDescent="0.2">
      <c r="A54" s="42">
        <v>116</v>
      </c>
      <c r="B54" s="42" t="s">
        <v>460</v>
      </c>
      <c r="C54" s="42" t="s">
        <v>268</v>
      </c>
      <c r="D54" s="42" t="s">
        <v>218</v>
      </c>
      <c r="E54" s="42">
        <v>3</v>
      </c>
      <c r="F54" s="42" t="s">
        <v>64</v>
      </c>
      <c r="G54" s="42" t="s">
        <v>269</v>
      </c>
      <c r="H54" s="42" t="s">
        <v>231</v>
      </c>
      <c r="I54" s="42" t="s">
        <v>445</v>
      </c>
      <c r="J54" s="42" t="s">
        <v>461</v>
      </c>
      <c r="K54" s="42" t="s">
        <v>441</v>
      </c>
      <c r="L54" s="42" t="s">
        <v>462</v>
      </c>
      <c r="M54" s="42">
        <f t="shared" si="2"/>
        <v>129</v>
      </c>
      <c r="N54" s="42" t="str">
        <f t="shared" si="3"/>
        <v>Uygun</v>
      </c>
      <c r="O54" s="42">
        <v>7</v>
      </c>
      <c r="P54" s="42" t="s">
        <v>449</v>
      </c>
    </row>
    <row r="55" spans="1:16" ht="45" customHeight="1" x14ac:dyDescent="0.2">
      <c r="A55" s="42">
        <v>117</v>
      </c>
      <c r="B55" s="42" t="s">
        <v>463</v>
      </c>
      <c r="C55" s="42" t="s">
        <v>268</v>
      </c>
      <c r="D55" s="42" t="s">
        <v>218</v>
      </c>
      <c r="E55" s="42">
        <v>3</v>
      </c>
      <c r="F55" s="42" t="s">
        <v>412</v>
      </c>
      <c r="G55" s="42" t="s">
        <v>28</v>
      </c>
      <c r="H55" s="42" t="s">
        <v>53</v>
      </c>
      <c r="I55" s="42" t="s">
        <v>445</v>
      </c>
      <c r="J55" s="42" t="s">
        <v>464</v>
      </c>
      <c r="K55" s="42" t="s">
        <v>447</v>
      </c>
      <c r="L55" s="42" t="s">
        <v>465</v>
      </c>
      <c r="M55" s="42">
        <f t="shared" si="2"/>
        <v>129</v>
      </c>
      <c r="N55" s="42" t="str">
        <f t="shared" si="3"/>
        <v>Uygun</v>
      </c>
      <c r="O55" s="42">
        <v>6</v>
      </c>
      <c r="P55" s="42" t="s">
        <v>449</v>
      </c>
    </row>
    <row r="56" spans="1:16" ht="45" customHeight="1" x14ac:dyDescent="0.2">
      <c r="A56" s="42">
        <v>118</v>
      </c>
      <c r="B56" s="42" t="s">
        <v>466</v>
      </c>
      <c r="C56" s="42" t="s">
        <v>268</v>
      </c>
      <c r="D56" s="42" t="s">
        <v>218</v>
      </c>
      <c r="E56" s="42">
        <v>3</v>
      </c>
      <c r="F56" s="42" t="s">
        <v>79</v>
      </c>
      <c r="G56" s="42" t="s">
        <v>28</v>
      </c>
      <c r="H56" s="42" t="s">
        <v>60</v>
      </c>
      <c r="I56" s="42" t="s">
        <v>445</v>
      </c>
      <c r="J56" s="42" t="s">
        <v>467</v>
      </c>
      <c r="K56" s="42" t="s">
        <v>453</v>
      </c>
      <c r="L56" s="42" t="s">
        <v>468</v>
      </c>
      <c r="M56" s="42">
        <f t="shared" si="2"/>
        <v>123</v>
      </c>
      <c r="N56" s="42" t="str">
        <f t="shared" si="3"/>
        <v>Uygun</v>
      </c>
      <c r="O56" s="42">
        <v>7</v>
      </c>
      <c r="P56" s="42" t="s">
        <v>449</v>
      </c>
    </row>
    <row r="57" spans="1:16" ht="45" customHeight="1" x14ac:dyDescent="0.2">
      <c r="A57" s="42">
        <v>119</v>
      </c>
      <c r="B57" s="42" t="s">
        <v>469</v>
      </c>
      <c r="C57" s="42" t="s">
        <v>268</v>
      </c>
      <c r="D57" s="42" t="s">
        <v>218</v>
      </c>
      <c r="E57" s="42">
        <v>3</v>
      </c>
      <c r="F57" s="42" t="s">
        <v>412</v>
      </c>
      <c r="G57" s="42" t="s">
        <v>28</v>
      </c>
      <c r="H57" s="42" t="s">
        <v>110</v>
      </c>
      <c r="I57" s="42" t="s">
        <v>445</v>
      </c>
      <c r="J57" s="42" t="s">
        <v>470</v>
      </c>
      <c r="K57" s="42" t="s">
        <v>458</v>
      </c>
      <c r="L57" s="42" t="s">
        <v>471</v>
      </c>
      <c r="M57" s="42">
        <f t="shared" si="2"/>
        <v>127</v>
      </c>
      <c r="N57" s="42" t="str">
        <f t="shared" si="3"/>
        <v>Uygun</v>
      </c>
      <c r="O57" s="42">
        <v>6</v>
      </c>
      <c r="P57" s="42" t="s">
        <v>449</v>
      </c>
    </row>
    <row r="58" spans="1:16" ht="45" customHeight="1" x14ac:dyDescent="0.2">
      <c r="A58" s="42">
        <v>120</v>
      </c>
      <c r="B58" s="42" t="s">
        <v>472</v>
      </c>
      <c r="C58" s="42" t="s">
        <v>268</v>
      </c>
      <c r="D58" s="42" t="s">
        <v>244</v>
      </c>
      <c r="E58" s="42">
        <v>4</v>
      </c>
      <c r="F58" s="42" t="s">
        <v>79</v>
      </c>
      <c r="G58" s="42" t="s">
        <v>269</v>
      </c>
      <c r="H58" s="42" t="s">
        <v>110</v>
      </c>
      <c r="I58" s="42" t="s">
        <v>473</v>
      </c>
      <c r="J58" s="42" t="s">
        <v>474</v>
      </c>
      <c r="K58" s="42" t="s">
        <v>475</v>
      </c>
      <c r="L58" s="42" t="s">
        <v>476</v>
      </c>
      <c r="M58" s="42">
        <f t="shared" si="2"/>
        <v>117</v>
      </c>
      <c r="N58" s="42" t="str">
        <f t="shared" si="3"/>
        <v>Uygun</v>
      </c>
      <c r="O58" s="42">
        <v>8</v>
      </c>
      <c r="P58" s="42" t="s">
        <v>477</v>
      </c>
    </row>
    <row r="59" spans="1:16" ht="45" customHeight="1" x14ac:dyDescent="0.2">
      <c r="A59" s="42">
        <v>121</v>
      </c>
      <c r="B59" s="42" t="s">
        <v>478</v>
      </c>
      <c r="C59" s="42" t="s">
        <v>268</v>
      </c>
      <c r="D59" s="42" t="s">
        <v>244</v>
      </c>
      <c r="E59" s="42">
        <v>4</v>
      </c>
      <c r="F59" s="42" t="s">
        <v>41</v>
      </c>
      <c r="G59" s="42" t="s">
        <v>28</v>
      </c>
      <c r="H59" s="42" t="s">
        <v>123</v>
      </c>
      <c r="I59" s="42" t="s">
        <v>479</v>
      </c>
      <c r="J59" s="42" t="s">
        <v>480</v>
      </c>
      <c r="K59" s="42" t="s">
        <v>481</v>
      </c>
      <c r="L59" s="42" t="s">
        <v>482</v>
      </c>
      <c r="M59" s="42">
        <f t="shared" si="2"/>
        <v>127</v>
      </c>
      <c r="N59" s="42" t="str">
        <f t="shared" si="3"/>
        <v>Uygun</v>
      </c>
      <c r="O59" s="42">
        <v>8</v>
      </c>
      <c r="P59" s="42" t="s">
        <v>483</v>
      </c>
    </row>
    <row r="60" spans="1:16" ht="60" customHeight="1" x14ac:dyDescent="0.2">
      <c r="A60" s="42">
        <v>122</v>
      </c>
      <c r="B60" s="42" t="s">
        <v>484</v>
      </c>
      <c r="C60" s="42" t="s">
        <v>268</v>
      </c>
      <c r="D60" s="42" t="s">
        <v>244</v>
      </c>
      <c r="E60" s="42">
        <v>4</v>
      </c>
      <c r="F60" s="42" t="s">
        <v>41</v>
      </c>
      <c r="G60" s="42" t="s">
        <v>28</v>
      </c>
      <c r="H60" s="42" t="s">
        <v>41</v>
      </c>
      <c r="I60" s="42" t="s">
        <v>485</v>
      </c>
      <c r="J60" s="42" t="s">
        <v>486</v>
      </c>
      <c r="K60" s="42" t="s">
        <v>487</v>
      </c>
      <c r="L60" s="42" t="s">
        <v>488</v>
      </c>
      <c r="M60" s="42">
        <f t="shared" si="2"/>
        <v>130</v>
      </c>
      <c r="N60" s="42" t="str">
        <f t="shared" si="3"/>
        <v>Uygun</v>
      </c>
      <c r="O60" s="42">
        <v>8</v>
      </c>
      <c r="P60" s="42" t="s">
        <v>489</v>
      </c>
    </row>
    <row r="61" spans="1:16" ht="45" customHeight="1" x14ac:dyDescent="0.2">
      <c r="A61" s="42">
        <v>123</v>
      </c>
      <c r="B61" s="42" t="s">
        <v>490</v>
      </c>
      <c r="C61" s="42" t="s">
        <v>268</v>
      </c>
      <c r="D61" s="42" t="s">
        <v>244</v>
      </c>
      <c r="E61" s="42">
        <v>4</v>
      </c>
      <c r="F61" s="42" t="s">
        <v>79</v>
      </c>
      <c r="G61" s="42" t="s">
        <v>269</v>
      </c>
      <c r="H61" s="42" t="s">
        <v>79</v>
      </c>
      <c r="I61" s="42" t="s">
        <v>473</v>
      </c>
      <c r="J61" s="42" t="s">
        <v>491</v>
      </c>
      <c r="K61" s="42" t="s">
        <v>492</v>
      </c>
      <c r="L61" s="42" t="s">
        <v>493</v>
      </c>
      <c r="M61" s="42">
        <f t="shared" si="2"/>
        <v>126</v>
      </c>
      <c r="N61" s="42" t="str">
        <f t="shared" si="3"/>
        <v>Uygun</v>
      </c>
      <c r="O61" s="42">
        <v>8</v>
      </c>
      <c r="P61" s="42" t="s">
        <v>477</v>
      </c>
    </row>
    <row r="62" spans="1:16" ht="60" customHeight="1" x14ac:dyDescent="0.2">
      <c r="A62" s="42">
        <v>124</v>
      </c>
      <c r="B62" s="42" t="s">
        <v>494</v>
      </c>
      <c r="C62" s="42" t="s">
        <v>268</v>
      </c>
      <c r="D62" s="42" t="s">
        <v>258</v>
      </c>
      <c r="E62" s="42">
        <v>5</v>
      </c>
      <c r="F62" s="42" t="s">
        <v>79</v>
      </c>
      <c r="G62" s="42" t="s">
        <v>269</v>
      </c>
      <c r="H62" s="42" t="s">
        <v>110</v>
      </c>
      <c r="I62" s="42" t="s">
        <v>495</v>
      </c>
      <c r="J62" s="42" t="s">
        <v>496</v>
      </c>
      <c r="K62" s="42" t="s">
        <v>497</v>
      </c>
      <c r="L62" s="42" t="s">
        <v>498</v>
      </c>
      <c r="M62" s="42">
        <f t="shared" si="2"/>
        <v>128</v>
      </c>
      <c r="N62" s="42" t="str">
        <f t="shared" si="3"/>
        <v>Uygun</v>
      </c>
      <c r="O62" s="42">
        <v>10</v>
      </c>
      <c r="P62" s="42" t="s">
        <v>499</v>
      </c>
    </row>
    <row r="63" spans="1:16" ht="60" customHeight="1" x14ac:dyDescent="0.2">
      <c r="A63" s="42">
        <v>125</v>
      </c>
      <c r="B63" s="42" t="s">
        <v>500</v>
      </c>
      <c r="C63" s="42" t="s">
        <v>268</v>
      </c>
      <c r="D63" s="42" t="s">
        <v>258</v>
      </c>
      <c r="E63" s="42">
        <v>5</v>
      </c>
      <c r="F63" s="42" t="s">
        <v>79</v>
      </c>
      <c r="G63" s="42" t="s">
        <v>269</v>
      </c>
      <c r="H63" s="42" t="s">
        <v>79</v>
      </c>
      <c r="I63" s="42" t="s">
        <v>501</v>
      </c>
      <c r="J63" s="42" t="s">
        <v>502</v>
      </c>
      <c r="K63" s="42" t="s">
        <v>503</v>
      </c>
      <c r="L63" s="42" t="s">
        <v>504</v>
      </c>
      <c r="M63" s="42">
        <f t="shared" si="2"/>
        <v>117</v>
      </c>
      <c r="N63" s="42" t="str">
        <f t="shared" si="3"/>
        <v>Uygun</v>
      </c>
      <c r="O63" s="42">
        <v>10</v>
      </c>
      <c r="P63" s="42" t="s">
        <v>505</v>
      </c>
    </row>
  </sheetData>
  <pageMargins left="0.7" right="0.7" top="0.75" bottom="0.75" header="0.511811023622047" footer="0.511811023622047"/>
  <pageSetup paperSize="9" orientation="portrait" horizontalDpi="300" verticalDpi="300"/>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3"/>
  <sheetViews>
    <sheetView showGridLines="0" zoomScale="80" zoomScaleNormal="80" workbookViewId="0">
      <pane ySplit="1" topLeftCell="A2" activePane="bottomLeft" state="frozen"/>
      <selection pane="bottomLeft" activeCell="A2" sqref="A2"/>
    </sheetView>
  </sheetViews>
  <sheetFormatPr defaultColWidth="8.7109375" defaultRowHeight="12.75" x14ac:dyDescent="0.2"/>
  <cols>
    <col min="1" max="1" width="8" customWidth="1"/>
    <col min="2" max="2" width="28" customWidth="1"/>
    <col min="3" max="3" width="14" customWidth="1"/>
    <col min="4" max="4" width="12" customWidth="1"/>
    <col min="5" max="5" width="14" customWidth="1"/>
    <col min="6" max="6" width="24" customWidth="1"/>
    <col min="7" max="7" width="12" customWidth="1"/>
    <col min="8" max="8" width="14" customWidth="1"/>
    <col min="9" max="9" width="24" customWidth="1"/>
    <col min="10" max="10" width="52" customWidth="1"/>
    <col min="11" max="11" width="18" customWidth="1"/>
    <col min="12" max="12" width="58" customWidth="1"/>
    <col min="13" max="13" width="14" customWidth="1"/>
    <col min="14" max="14" width="12" customWidth="1"/>
    <col min="15" max="15" width="14" customWidth="1"/>
    <col min="16" max="16" width="45" customWidth="1"/>
  </cols>
  <sheetData>
    <row r="1" spans="1:16" ht="30" customHeight="1" x14ac:dyDescent="0.25">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row>
    <row r="2" spans="1:16" ht="45" customHeight="1" x14ac:dyDescent="0.2">
      <c r="A2" s="42">
        <v>126</v>
      </c>
      <c r="B2" s="42" t="s">
        <v>506</v>
      </c>
      <c r="C2" s="42" t="s">
        <v>507</v>
      </c>
      <c r="D2" s="42" t="s">
        <v>18</v>
      </c>
      <c r="E2" s="42">
        <v>1</v>
      </c>
      <c r="F2" s="42" t="s">
        <v>19</v>
      </c>
      <c r="G2" s="42" t="s">
        <v>28</v>
      </c>
      <c r="H2" s="42" t="s">
        <v>21</v>
      </c>
      <c r="I2" s="42" t="s">
        <v>508</v>
      </c>
      <c r="J2" s="42" t="s">
        <v>509</v>
      </c>
      <c r="K2" s="42" t="s">
        <v>272</v>
      </c>
      <c r="L2" s="42" t="s">
        <v>510</v>
      </c>
      <c r="M2" s="42">
        <f t="shared" ref="M2:M18" si="0">LEN(L2)</f>
        <v>128</v>
      </c>
      <c r="N2" s="42" t="str">
        <f t="shared" ref="N2:N18" si="1">IF(L2="","Eksik",IF(M2&lt;=130,"Uygun","130 karakteri aşıyor"))</f>
        <v>Uygun</v>
      </c>
      <c r="O2" s="42">
        <v>4</v>
      </c>
      <c r="P2" s="42" t="s">
        <v>511</v>
      </c>
    </row>
    <row r="3" spans="1:16" ht="45" customHeight="1" x14ac:dyDescent="0.2">
      <c r="A3" s="42">
        <v>127</v>
      </c>
      <c r="B3" s="42" t="s">
        <v>512</v>
      </c>
      <c r="C3" s="42" t="s">
        <v>507</v>
      </c>
      <c r="D3" s="42" t="s">
        <v>18</v>
      </c>
      <c r="E3" s="42">
        <v>1</v>
      </c>
      <c r="F3" s="42" t="s">
        <v>513</v>
      </c>
      <c r="G3" s="42" t="s">
        <v>269</v>
      </c>
      <c r="H3" s="42" t="s">
        <v>178</v>
      </c>
      <c r="I3" s="42" t="s">
        <v>508</v>
      </c>
      <c r="J3" s="42" t="s">
        <v>514</v>
      </c>
      <c r="K3" s="42" t="s">
        <v>278</v>
      </c>
      <c r="L3" s="42" t="s">
        <v>515</v>
      </c>
      <c r="M3" s="42">
        <f t="shared" si="0"/>
        <v>123</v>
      </c>
      <c r="N3" s="42" t="str">
        <f t="shared" si="1"/>
        <v>Uygun</v>
      </c>
      <c r="O3" s="42">
        <v>3</v>
      </c>
      <c r="P3" s="42" t="s">
        <v>511</v>
      </c>
    </row>
    <row r="4" spans="1:16" ht="45" customHeight="1" x14ac:dyDescent="0.2">
      <c r="A4" s="42">
        <v>128</v>
      </c>
      <c r="B4" s="42" t="s">
        <v>516</v>
      </c>
      <c r="C4" s="42" t="s">
        <v>507</v>
      </c>
      <c r="D4" s="42" t="s">
        <v>18</v>
      </c>
      <c r="E4" s="42">
        <v>1</v>
      </c>
      <c r="F4" s="42" t="s">
        <v>19</v>
      </c>
      <c r="G4" s="42" t="s">
        <v>28</v>
      </c>
      <c r="H4" s="42" t="s">
        <v>21</v>
      </c>
      <c r="I4" s="42" t="s">
        <v>517</v>
      </c>
      <c r="J4" s="42" t="s">
        <v>518</v>
      </c>
      <c r="K4" s="42" t="s">
        <v>283</v>
      </c>
      <c r="L4" s="42" t="s">
        <v>519</v>
      </c>
      <c r="M4" s="42">
        <f t="shared" si="0"/>
        <v>126</v>
      </c>
      <c r="N4" s="42" t="str">
        <f t="shared" si="1"/>
        <v>Uygun</v>
      </c>
      <c r="O4" s="42">
        <v>4</v>
      </c>
      <c r="P4" s="42" t="s">
        <v>520</v>
      </c>
    </row>
    <row r="5" spans="1:16" ht="45" customHeight="1" x14ac:dyDescent="0.2">
      <c r="A5" s="42">
        <v>129</v>
      </c>
      <c r="B5" s="42" t="s">
        <v>521</v>
      </c>
      <c r="C5" s="42" t="s">
        <v>507</v>
      </c>
      <c r="D5" s="42" t="s">
        <v>18</v>
      </c>
      <c r="E5" s="42">
        <v>1</v>
      </c>
      <c r="F5" s="42" t="s">
        <v>356</v>
      </c>
      <c r="G5" s="42" t="s">
        <v>269</v>
      </c>
      <c r="H5" s="42" t="s">
        <v>47</v>
      </c>
      <c r="I5" s="42" t="s">
        <v>522</v>
      </c>
      <c r="J5" s="42" t="s">
        <v>523</v>
      </c>
      <c r="K5" s="42" t="s">
        <v>287</v>
      </c>
      <c r="L5" s="42" t="s">
        <v>524</v>
      </c>
      <c r="M5" s="42">
        <f t="shared" si="0"/>
        <v>127</v>
      </c>
      <c r="N5" s="42" t="str">
        <f t="shared" si="1"/>
        <v>Uygun</v>
      </c>
      <c r="O5" s="42">
        <v>3</v>
      </c>
      <c r="P5" s="42" t="s">
        <v>525</v>
      </c>
    </row>
    <row r="6" spans="1:16" ht="45" customHeight="1" x14ac:dyDescent="0.2">
      <c r="A6" s="42">
        <v>130</v>
      </c>
      <c r="B6" s="42" t="s">
        <v>526</v>
      </c>
      <c r="C6" s="42" t="s">
        <v>507</v>
      </c>
      <c r="D6" s="42" t="s">
        <v>18</v>
      </c>
      <c r="E6" s="42">
        <v>1</v>
      </c>
      <c r="F6" s="42" t="s">
        <v>64</v>
      </c>
      <c r="G6" s="42" t="s">
        <v>269</v>
      </c>
      <c r="H6" s="42" t="s">
        <v>34</v>
      </c>
      <c r="I6" s="42" t="s">
        <v>527</v>
      </c>
      <c r="J6" s="42" t="s">
        <v>528</v>
      </c>
      <c r="K6" s="42" t="s">
        <v>272</v>
      </c>
      <c r="L6" s="42" t="s">
        <v>529</v>
      </c>
      <c r="M6" s="42">
        <f t="shared" si="0"/>
        <v>130</v>
      </c>
      <c r="N6" s="42" t="str">
        <f t="shared" si="1"/>
        <v>Uygun</v>
      </c>
      <c r="O6" s="42">
        <v>4</v>
      </c>
      <c r="P6" s="42" t="s">
        <v>530</v>
      </c>
    </row>
    <row r="7" spans="1:16" ht="45" customHeight="1" x14ac:dyDescent="0.2">
      <c r="A7" s="42">
        <v>131</v>
      </c>
      <c r="B7" s="42" t="s">
        <v>531</v>
      </c>
      <c r="C7" s="42" t="s">
        <v>507</v>
      </c>
      <c r="D7" s="42" t="s">
        <v>18</v>
      </c>
      <c r="E7" s="42">
        <v>1</v>
      </c>
      <c r="F7" s="42" t="s">
        <v>64</v>
      </c>
      <c r="G7" s="42" t="s">
        <v>269</v>
      </c>
      <c r="H7" s="42" t="s">
        <v>231</v>
      </c>
      <c r="I7" s="42" t="s">
        <v>527</v>
      </c>
      <c r="J7" s="42" t="s">
        <v>532</v>
      </c>
      <c r="K7" s="42" t="s">
        <v>278</v>
      </c>
      <c r="L7" s="42" t="s">
        <v>533</v>
      </c>
      <c r="M7" s="42">
        <f t="shared" si="0"/>
        <v>129</v>
      </c>
      <c r="N7" s="42" t="str">
        <f t="shared" si="1"/>
        <v>Uygun</v>
      </c>
      <c r="O7" s="42">
        <v>3</v>
      </c>
      <c r="P7" s="42" t="s">
        <v>530</v>
      </c>
    </row>
    <row r="8" spans="1:16" ht="30" customHeight="1" x14ac:dyDescent="0.2">
      <c r="A8" s="42">
        <v>132</v>
      </c>
      <c r="B8" s="42" t="s">
        <v>534</v>
      </c>
      <c r="C8" s="42" t="s">
        <v>507</v>
      </c>
      <c r="D8" s="42" t="s">
        <v>18</v>
      </c>
      <c r="E8" s="42">
        <v>1</v>
      </c>
      <c r="F8" s="42" t="s">
        <v>64</v>
      </c>
      <c r="G8" s="42" t="s">
        <v>269</v>
      </c>
      <c r="H8" s="42" t="s">
        <v>231</v>
      </c>
      <c r="I8" s="42" t="s">
        <v>527</v>
      </c>
      <c r="J8" s="42" t="s">
        <v>535</v>
      </c>
      <c r="K8" s="42" t="s">
        <v>283</v>
      </c>
      <c r="L8" s="42" t="s">
        <v>536</v>
      </c>
      <c r="M8" s="42">
        <f t="shared" si="0"/>
        <v>123</v>
      </c>
      <c r="N8" s="42" t="str">
        <f t="shared" si="1"/>
        <v>Uygun</v>
      </c>
      <c r="O8" s="42">
        <v>4</v>
      </c>
      <c r="P8" s="42" t="s">
        <v>530</v>
      </c>
    </row>
    <row r="9" spans="1:16" ht="45" customHeight="1" x14ac:dyDescent="0.2">
      <c r="A9" s="42">
        <v>133</v>
      </c>
      <c r="B9" s="42" t="s">
        <v>537</v>
      </c>
      <c r="C9" s="42" t="s">
        <v>507</v>
      </c>
      <c r="D9" s="42" t="s">
        <v>18</v>
      </c>
      <c r="E9" s="42">
        <v>1</v>
      </c>
      <c r="F9" s="42" t="s">
        <v>64</v>
      </c>
      <c r="G9" s="42" t="s">
        <v>20</v>
      </c>
      <c r="H9" s="42" t="s">
        <v>231</v>
      </c>
      <c r="I9" s="42" t="s">
        <v>527</v>
      </c>
      <c r="J9" s="42" t="s">
        <v>538</v>
      </c>
      <c r="K9" s="42" t="s">
        <v>287</v>
      </c>
      <c r="L9" s="42" t="s">
        <v>539</v>
      </c>
      <c r="M9" s="42">
        <f t="shared" si="0"/>
        <v>118</v>
      </c>
      <c r="N9" s="42" t="str">
        <f t="shared" si="1"/>
        <v>Uygun</v>
      </c>
      <c r="O9" s="42">
        <v>3</v>
      </c>
      <c r="P9" s="42" t="s">
        <v>530</v>
      </c>
    </row>
    <row r="10" spans="1:16" ht="45" customHeight="1" x14ac:dyDescent="0.2">
      <c r="A10" s="42">
        <v>134</v>
      </c>
      <c r="B10" s="42" t="s">
        <v>540</v>
      </c>
      <c r="C10" s="42" t="s">
        <v>507</v>
      </c>
      <c r="D10" s="42" t="s">
        <v>18</v>
      </c>
      <c r="E10" s="42">
        <v>1</v>
      </c>
      <c r="F10" s="42" t="s">
        <v>64</v>
      </c>
      <c r="G10" s="42" t="s">
        <v>20</v>
      </c>
      <c r="H10" s="42" t="s">
        <v>79</v>
      </c>
      <c r="I10" s="42" t="s">
        <v>270</v>
      </c>
      <c r="J10" s="42" t="s">
        <v>541</v>
      </c>
      <c r="K10" s="42" t="s">
        <v>272</v>
      </c>
      <c r="L10" s="42" t="s">
        <v>542</v>
      </c>
      <c r="M10" s="42">
        <f t="shared" si="0"/>
        <v>127</v>
      </c>
      <c r="N10" s="42" t="str">
        <f t="shared" si="1"/>
        <v>Uygun</v>
      </c>
      <c r="O10" s="42">
        <v>4</v>
      </c>
      <c r="P10" s="42" t="s">
        <v>543</v>
      </c>
    </row>
    <row r="11" spans="1:16" ht="45" customHeight="1" x14ac:dyDescent="0.2">
      <c r="A11" s="42">
        <v>135</v>
      </c>
      <c r="B11" s="42" t="s">
        <v>544</v>
      </c>
      <c r="C11" s="42" t="s">
        <v>507</v>
      </c>
      <c r="D11" s="42" t="s">
        <v>18</v>
      </c>
      <c r="E11" s="42">
        <v>1</v>
      </c>
      <c r="F11" s="42" t="s">
        <v>64</v>
      </c>
      <c r="G11" s="42" t="s">
        <v>269</v>
      </c>
      <c r="H11" s="42" t="s">
        <v>79</v>
      </c>
      <c r="I11" s="42" t="s">
        <v>270</v>
      </c>
      <c r="J11" s="42" t="s">
        <v>545</v>
      </c>
      <c r="K11" s="42" t="s">
        <v>278</v>
      </c>
      <c r="L11" s="42" t="s">
        <v>546</v>
      </c>
      <c r="M11" s="42">
        <f t="shared" si="0"/>
        <v>129</v>
      </c>
      <c r="N11" s="42" t="str">
        <f t="shared" si="1"/>
        <v>Uygun</v>
      </c>
      <c r="O11" s="42">
        <v>3</v>
      </c>
      <c r="P11" s="42" t="s">
        <v>543</v>
      </c>
    </row>
    <row r="12" spans="1:16" ht="45" customHeight="1" x14ac:dyDescent="0.2">
      <c r="A12" s="42">
        <v>136</v>
      </c>
      <c r="B12" s="42" t="s">
        <v>547</v>
      </c>
      <c r="C12" s="42" t="s">
        <v>507</v>
      </c>
      <c r="D12" s="42" t="s">
        <v>18</v>
      </c>
      <c r="E12" s="42">
        <v>1</v>
      </c>
      <c r="F12" s="42" t="s">
        <v>64</v>
      </c>
      <c r="G12" s="42" t="s">
        <v>269</v>
      </c>
      <c r="H12" s="42" t="s">
        <v>93</v>
      </c>
      <c r="I12" s="42" t="s">
        <v>527</v>
      </c>
      <c r="J12" s="42" t="s">
        <v>548</v>
      </c>
      <c r="K12" s="42" t="s">
        <v>283</v>
      </c>
      <c r="L12" s="42" t="s">
        <v>549</v>
      </c>
      <c r="M12" s="42">
        <f t="shared" si="0"/>
        <v>121</v>
      </c>
      <c r="N12" s="42" t="str">
        <f t="shared" si="1"/>
        <v>Uygun</v>
      </c>
      <c r="O12" s="42">
        <v>4</v>
      </c>
      <c r="P12" s="42" t="s">
        <v>530</v>
      </c>
    </row>
    <row r="13" spans="1:16" ht="45" customHeight="1" x14ac:dyDescent="0.2">
      <c r="A13" s="42">
        <v>137</v>
      </c>
      <c r="B13" s="42" t="s">
        <v>550</v>
      </c>
      <c r="C13" s="42" t="s">
        <v>507</v>
      </c>
      <c r="D13" s="42" t="s">
        <v>18</v>
      </c>
      <c r="E13" s="42">
        <v>1</v>
      </c>
      <c r="F13" s="42" t="s">
        <v>64</v>
      </c>
      <c r="G13" s="42" t="s">
        <v>269</v>
      </c>
      <c r="H13" s="42" t="s">
        <v>93</v>
      </c>
      <c r="I13" s="42" t="s">
        <v>527</v>
      </c>
      <c r="J13" s="42" t="s">
        <v>551</v>
      </c>
      <c r="K13" s="42" t="s">
        <v>287</v>
      </c>
      <c r="L13" s="42" t="s">
        <v>552</v>
      </c>
      <c r="M13" s="42">
        <f t="shared" si="0"/>
        <v>129</v>
      </c>
      <c r="N13" s="42" t="str">
        <f t="shared" si="1"/>
        <v>Uygun</v>
      </c>
      <c r="O13" s="42">
        <v>3</v>
      </c>
      <c r="P13" s="42" t="s">
        <v>530</v>
      </c>
    </row>
    <row r="14" spans="1:16" ht="45" customHeight="1" x14ac:dyDescent="0.2">
      <c r="A14" s="42">
        <v>138</v>
      </c>
      <c r="B14" s="42" t="s">
        <v>553</v>
      </c>
      <c r="C14" s="42" t="s">
        <v>507</v>
      </c>
      <c r="D14" s="42" t="s">
        <v>18</v>
      </c>
      <c r="E14" s="42">
        <v>1</v>
      </c>
      <c r="F14" s="42" t="s">
        <v>554</v>
      </c>
      <c r="G14" s="42" t="s">
        <v>269</v>
      </c>
      <c r="H14" s="42" t="s">
        <v>154</v>
      </c>
      <c r="I14" s="42" t="s">
        <v>508</v>
      </c>
      <c r="J14" s="42" t="s">
        <v>555</v>
      </c>
      <c r="K14" s="42" t="s">
        <v>272</v>
      </c>
      <c r="L14" s="42" t="s">
        <v>556</v>
      </c>
      <c r="M14" s="42">
        <f t="shared" si="0"/>
        <v>123</v>
      </c>
      <c r="N14" s="42" t="str">
        <f t="shared" si="1"/>
        <v>Uygun</v>
      </c>
      <c r="O14" s="42">
        <v>4</v>
      </c>
      <c r="P14" s="42" t="s">
        <v>511</v>
      </c>
    </row>
    <row r="15" spans="1:16" ht="30" customHeight="1" x14ac:dyDescent="0.2">
      <c r="A15" s="42">
        <v>139</v>
      </c>
      <c r="B15" s="42" t="s">
        <v>557</v>
      </c>
      <c r="C15" s="42" t="s">
        <v>507</v>
      </c>
      <c r="D15" s="42" t="s">
        <v>18</v>
      </c>
      <c r="E15" s="42">
        <v>1</v>
      </c>
      <c r="F15" s="42" t="s">
        <v>558</v>
      </c>
      <c r="G15" s="42" t="s">
        <v>269</v>
      </c>
      <c r="H15" s="42" t="s">
        <v>21</v>
      </c>
      <c r="I15" s="42" t="s">
        <v>508</v>
      </c>
      <c r="J15" s="42" t="s">
        <v>559</v>
      </c>
      <c r="K15" s="42" t="s">
        <v>278</v>
      </c>
      <c r="L15" s="42" t="s">
        <v>560</v>
      </c>
      <c r="M15" s="42">
        <f t="shared" si="0"/>
        <v>115</v>
      </c>
      <c r="N15" s="42" t="str">
        <f t="shared" si="1"/>
        <v>Uygun</v>
      </c>
      <c r="O15" s="42">
        <v>3</v>
      </c>
      <c r="P15" s="42" t="s">
        <v>511</v>
      </c>
    </row>
    <row r="16" spans="1:16" ht="30" customHeight="1" x14ac:dyDescent="0.2">
      <c r="A16" s="42">
        <v>140</v>
      </c>
      <c r="B16" s="42" t="s">
        <v>561</v>
      </c>
      <c r="C16" s="42" t="s">
        <v>507</v>
      </c>
      <c r="D16" s="42" t="s">
        <v>18</v>
      </c>
      <c r="E16" s="42">
        <v>1</v>
      </c>
      <c r="F16" s="42" t="s">
        <v>558</v>
      </c>
      <c r="G16" s="42" t="s">
        <v>20</v>
      </c>
      <c r="H16" s="42" t="s">
        <v>110</v>
      </c>
      <c r="I16" s="42" t="s">
        <v>508</v>
      </c>
      <c r="J16" s="42" t="s">
        <v>562</v>
      </c>
      <c r="K16" s="42" t="s">
        <v>283</v>
      </c>
      <c r="L16" s="42" t="s">
        <v>563</v>
      </c>
      <c r="M16" s="42">
        <f t="shared" si="0"/>
        <v>121</v>
      </c>
      <c r="N16" s="42" t="str">
        <f t="shared" si="1"/>
        <v>Uygun</v>
      </c>
      <c r="O16" s="42">
        <v>4</v>
      </c>
      <c r="P16" s="42" t="s">
        <v>511</v>
      </c>
    </row>
    <row r="17" spans="1:16" ht="45" customHeight="1" x14ac:dyDescent="0.2">
      <c r="A17" s="42">
        <v>141</v>
      </c>
      <c r="B17" s="42" t="s">
        <v>564</v>
      </c>
      <c r="C17" s="42" t="s">
        <v>507</v>
      </c>
      <c r="D17" s="42" t="s">
        <v>18</v>
      </c>
      <c r="E17" s="42">
        <v>1</v>
      </c>
      <c r="F17" s="42" t="s">
        <v>558</v>
      </c>
      <c r="G17" s="42" t="s">
        <v>269</v>
      </c>
      <c r="H17" s="42" t="s">
        <v>79</v>
      </c>
      <c r="I17" s="42" t="s">
        <v>270</v>
      </c>
      <c r="J17" s="42" t="s">
        <v>565</v>
      </c>
      <c r="K17" s="42" t="s">
        <v>287</v>
      </c>
      <c r="L17" s="42" t="s">
        <v>566</v>
      </c>
      <c r="M17" s="42">
        <f t="shared" si="0"/>
        <v>127</v>
      </c>
      <c r="N17" s="42" t="str">
        <f t="shared" si="1"/>
        <v>Uygun</v>
      </c>
      <c r="O17" s="42">
        <v>3</v>
      </c>
      <c r="P17" s="42" t="s">
        <v>543</v>
      </c>
    </row>
    <row r="18" spans="1:16" ht="45" customHeight="1" x14ac:dyDescent="0.2">
      <c r="A18" s="42">
        <v>142</v>
      </c>
      <c r="B18" s="42" t="s">
        <v>567</v>
      </c>
      <c r="C18" s="42" t="s">
        <v>507</v>
      </c>
      <c r="D18" s="42" t="s">
        <v>18</v>
      </c>
      <c r="E18" s="42">
        <v>1</v>
      </c>
      <c r="F18" s="42" t="s">
        <v>558</v>
      </c>
      <c r="G18" s="42" t="s">
        <v>269</v>
      </c>
      <c r="H18" s="42" t="s">
        <v>214</v>
      </c>
      <c r="I18" s="42" t="s">
        <v>568</v>
      </c>
      <c r="J18" s="42" t="s">
        <v>569</v>
      </c>
      <c r="K18" s="42" t="s">
        <v>272</v>
      </c>
      <c r="L18" s="42" t="s">
        <v>570</v>
      </c>
      <c r="M18" s="42">
        <f t="shared" si="0"/>
        <v>127</v>
      </c>
      <c r="N18" s="42" t="str">
        <f t="shared" si="1"/>
        <v>Uygun</v>
      </c>
      <c r="O18" s="42">
        <v>4</v>
      </c>
      <c r="P18" s="42" t="s">
        <v>571</v>
      </c>
    </row>
    <row r="19" spans="1:16" ht="30" customHeight="1" x14ac:dyDescent="0.2">
      <c r="A19" s="42">
        <v>143</v>
      </c>
      <c r="B19" s="42" t="s">
        <v>572</v>
      </c>
      <c r="C19" s="42" t="s">
        <v>507</v>
      </c>
      <c r="D19" s="42" t="s">
        <v>18</v>
      </c>
      <c r="E19" s="42">
        <v>1</v>
      </c>
      <c r="F19" s="42" t="s">
        <v>19</v>
      </c>
      <c r="G19" s="42" t="s">
        <v>269</v>
      </c>
      <c r="H19" s="42" t="s">
        <v>53</v>
      </c>
      <c r="I19" s="42" t="s">
        <v>508</v>
      </c>
      <c r="J19" s="42" t="s">
        <v>573</v>
      </c>
      <c r="K19" s="42" t="s">
        <v>278</v>
      </c>
      <c r="L19" s="42" t="s">
        <v>574</v>
      </c>
      <c r="M19" s="42">
        <v>119</v>
      </c>
      <c r="N19" s="42" t="s">
        <v>101</v>
      </c>
      <c r="O19" s="42">
        <v>3</v>
      </c>
      <c r="P19" s="42" t="s">
        <v>511</v>
      </c>
    </row>
    <row r="20" spans="1:16" ht="30" customHeight="1" x14ac:dyDescent="0.2">
      <c r="A20" s="42">
        <v>144</v>
      </c>
      <c r="B20" s="42" t="s">
        <v>575</v>
      </c>
      <c r="C20" s="42" t="s">
        <v>507</v>
      </c>
      <c r="D20" s="42" t="s">
        <v>18</v>
      </c>
      <c r="E20" s="42">
        <v>1</v>
      </c>
      <c r="F20" s="42" t="s">
        <v>299</v>
      </c>
      <c r="G20" s="42" t="s">
        <v>269</v>
      </c>
      <c r="H20" s="42" t="s">
        <v>60</v>
      </c>
      <c r="I20" s="42" t="s">
        <v>508</v>
      </c>
      <c r="J20" s="42" t="s">
        <v>576</v>
      </c>
      <c r="K20" s="42" t="s">
        <v>283</v>
      </c>
      <c r="L20" s="42" t="s">
        <v>577</v>
      </c>
      <c r="M20" s="42">
        <f t="shared" ref="M20:M63" si="2">LEN(L20)</f>
        <v>117</v>
      </c>
      <c r="N20" s="42" t="str">
        <f t="shared" ref="N20:N63" si="3">IF(L20="","Eksik",IF(M20&lt;=130,"Uygun","130 karakteri aşıyor"))</f>
        <v>Uygun</v>
      </c>
      <c r="O20" s="42">
        <v>4</v>
      </c>
      <c r="P20" s="42" t="s">
        <v>511</v>
      </c>
    </row>
    <row r="21" spans="1:16" ht="45" customHeight="1" x14ac:dyDescent="0.2">
      <c r="A21" s="42">
        <v>145</v>
      </c>
      <c r="B21" s="42" t="s">
        <v>578</v>
      </c>
      <c r="C21" s="42" t="s">
        <v>507</v>
      </c>
      <c r="D21" s="42" t="s">
        <v>18</v>
      </c>
      <c r="E21" s="42">
        <v>1</v>
      </c>
      <c r="F21" s="42" t="s">
        <v>299</v>
      </c>
      <c r="G21" s="42" t="s">
        <v>28</v>
      </c>
      <c r="H21" s="42" t="s">
        <v>60</v>
      </c>
      <c r="I21" s="42" t="s">
        <v>579</v>
      </c>
      <c r="J21" s="42" t="s">
        <v>580</v>
      </c>
      <c r="K21" s="42" t="s">
        <v>287</v>
      </c>
      <c r="L21" s="42" t="s">
        <v>581</v>
      </c>
      <c r="M21" s="42">
        <f t="shared" si="2"/>
        <v>120</v>
      </c>
      <c r="N21" s="42" t="str">
        <f t="shared" si="3"/>
        <v>Uygun</v>
      </c>
      <c r="O21" s="42">
        <v>3</v>
      </c>
      <c r="P21" s="42" t="s">
        <v>582</v>
      </c>
    </row>
    <row r="22" spans="1:16" ht="30" customHeight="1" x14ac:dyDescent="0.2">
      <c r="A22" s="42">
        <v>146</v>
      </c>
      <c r="B22" s="42" t="s">
        <v>583</v>
      </c>
      <c r="C22" s="42" t="s">
        <v>507</v>
      </c>
      <c r="D22" s="42" t="s">
        <v>18</v>
      </c>
      <c r="E22" s="42">
        <v>1</v>
      </c>
      <c r="F22" s="42" t="s">
        <v>299</v>
      </c>
      <c r="G22" s="42" t="s">
        <v>269</v>
      </c>
      <c r="H22" s="42" t="s">
        <v>178</v>
      </c>
      <c r="I22" s="42" t="s">
        <v>508</v>
      </c>
      <c r="J22" s="42" t="s">
        <v>584</v>
      </c>
      <c r="K22" s="42" t="s">
        <v>272</v>
      </c>
      <c r="L22" s="42" t="s">
        <v>585</v>
      </c>
      <c r="M22" s="42">
        <f t="shared" si="2"/>
        <v>115</v>
      </c>
      <c r="N22" s="42" t="str">
        <f t="shared" si="3"/>
        <v>Uygun</v>
      </c>
      <c r="O22" s="42">
        <v>4</v>
      </c>
      <c r="P22" s="42" t="s">
        <v>511</v>
      </c>
    </row>
    <row r="23" spans="1:16" ht="45" customHeight="1" x14ac:dyDescent="0.2">
      <c r="A23" s="42">
        <v>147</v>
      </c>
      <c r="B23" s="42" t="s">
        <v>586</v>
      </c>
      <c r="C23" s="42" t="s">
        <v>507</v>
      </c>
      <c r="D23" s="42" t="s">
        <v>18</v>
      </c>
      <c r="E23" s="42">
        <v>1</v>
      </c>
      <c r="F23" s="42" t="s">
        <v>299</v>
      </c>
      <c r="G23" s="42" t="s">
        <v>269</v>
      </c>
      <c r="H23" s="42" t="s">
        <v>47</v>
      </c>
      <c r="I23" s="42" t="s">
        <v>522</v>
      </c>
      <c r="J23" s="42" t="s">
        <v>587</v>
      </c>
      <c r="K23" s="42" t="s">
        <v>278</v>
      </c>
      <c r="L23" s="42" t="s">
        <v>588</v>
      </c>
      <c r="M23" s="42">
        <f t="shared" si="2"/>
        <v>122</v>
      </c>
      <c r="N23" s="42" t="str">
        <f t="shared" si="3"/>
        <v>Uygun</v>
      </c>
      <c r="O23" s="42">
        <v>3</v>
      </c>
      <c r="P23" s="42" t="s">
        <v>525</v>
      </c>
    </row>
    <row r="24" spans="1:16" ht="45" customHeight="1" x14ac:dyDescent="0.2">
      <c r="A24" s="42">
        <v>148</v>
      </c>
      <c r="B24" s="42" t="s">
        <v>589</v>
      </c>
      <c r="C24" s="42" t="s">
        <v>507</v>
      </c>
      <c r="D24" s="42" t="s">
        <v>18</v>
      </c>
      <c r="E24" s="42">
        <v>1</v>
      </c>
      <c r="F24" s="42" t="s">
        <v>299</v>
      </c>
      <c r="G24" s="42" t="s">
        <v>269</v>
      </c>
      <c r="H24" s="42" t="s">
        <v>21</v>
      </c>
      <c r="I24" s="42" t="s">
        <v>508</v>
      </c>
      <c r="J24" s="42" t="s">
        <v>590</v>
      </c>
      <c r="K24" s="42" t="s">
        <v>283</v>
      </c>
      <c r="L24" s="42" t="s">
        <v>591</v>
      </c>
      <c r="M24" s="42">
        <f t="shared" si="2"/>
        <v>128</v>
      </c>
      <c r="N24" s="42" t="str">
        <f t="shared" si="3"/>
        <v>Uygun</v>
      </c>
      <c r="O24" s="42">
        <v>4</v>
      </c>
      <c r="P24" s="42" t="s">
        <v>511</v>
      </c>
    </row>
    <row r="25" spans="1:16" ht="45" customHeight="1" x14ac:dyDescent="0.2">
      <c r="A25" s="42">
        <v>149</v>
      </c>
      <c r="B25" s="42" t="s">
        <v>592</v>
      </c>
      <c r="C25" s="42" t="s">
        <v>507</v>
      </c>
      <c r="D25" s="42" t="s">
        <v>18</v>
      </c>
      <c r="E25" s="42">
        <v>1</v>
      </c>
      <c r="F25" s="42" t="s">
        <v>64</v>
      </c>
      <c r="G25" s="42" t="s">
        <v>269</v>
      </c>
      <c r="H25" s="42" t="s">
        <v>34</v>
      </c>
      <c r="I25" s="42" t="s">
        <v>527</v>
      </c>
      <c r="J25" s="42" t="s">
        <v>593</v>
      </c>
      <c r="K25" s="42" t="s">
        <v>287</v>
      </c>
      <c r="L25" s="42" t="s">
        <v>594</v>
      </c>
      <c r="M25" s="42">
        <f t="shared" si="2"/>
        <v>123</v>
      </c>
      <c r="N25" s="42" t="str">
        <f t="shared" si="3"/>
        <v>Uygun</v>
      </c>
      <c r="O25" s="42">
        <v>3</v>
      </c>
      <c r="P25" s="42" t="s">
        <v>530</v>
      </c>
    </row>
    <row r="26" spans="1:16" ht="30" customHeight="1" x14ac:dyDescent="0.2">
      <c r="A26" s="42">
        <v>150</v>
      </c>
      <c r="B26" s="42" t="s">
        <v>595</v>
      </c>
      <c r="C26" s="42" t="s">
        <v>507</v>
      </c>
      <c r="D26" s="42" t="s">
        <v>18</v>
      </c>
      <c r="E26" s="42">
        <v>1</v>
      </c>
      <c r="F26" s="42" t="s">
        <v>299</v>
      </c>
      <c r="G26" s="42" t="s">
        <v>269</v>
      </c>
      <c r="H26" s="42" t="s">
        <v>53</v>
      </c>
      <c r="I26" s="42" t="s">
        <v>330</v>
      </c>
      <c r="J26" s="42" t="s">
        <v>596</v>
      </c>
      <c r="K26" s="42" t="s">
        <v>272</v>
      </c>
      <c r="L26" s="42" t="s">
        <v>597</v>
      </c>
      <c r="M26" s="42">
        <f t="shared" si="2"/>
        <v>121</v>
      </c>
      <c r="N26" s="42" t="str">
        <f t="shared" si="3"/>
        <v>Uygun</v>
      </c>
      <c r="O26" s="42">
        <v>4</v>
      </c>
      <c r="P26" s="42" t="s">
        <v>598</v>
      </c>
    </row>
    <row r="27" spans="1:16" ht="45" customHeight="1" x14ac:dyDescent="0.2">
      <c r="A27" s="42">
        <v>151</v>
      </c>
      <c r="B27" s="42" t="s">
        <v>599</v>
      </c>
      <c r="C27" s="42" t="s">
        <v>507</v>
      </c>
      <c r="D27" s="42" t="s">
        <v>18</v>
      </c>
      <c r="E27" s="42">
        <v>1</v>
      </c>
      <c r="F27" s="42" t="s">
        <v>299</v>
      </c>
      <c r="G27" s="42" t="s">
        <v>269</v>
      </c>
      <c r="H27" s="42" t="s">
        <v>174</v>
      </c>
      <c r="I27" s="42" t="s">
        <v>508</v>
      </c>
      <c r="J27" s="42" t="s">
        <v>600</v>
      </c>
      <c r="K27" s="42" t="s">
        <v>278</v>
      </c>
      <c r="L27" s="42" t="s">
        <v>601</v>
      </c>
      <c r="M27" s="42">
        <f t="shared" si="2"/>
        <v>121</v>
      </c>
      <c r="N27" s="42" t="str">
        <f t="shared" si="3"/>
        <v>Uygun</v>
      </c>
      <c r="O27" s="42">
        <v>3</v>
      </c>
      <c r="P27" s="42" t="s">
        <v>511</v>
      </c>
    </row>
    <row r="28" spans="1:16" ht="30" customHeight="1" x14ac:dyDescent="0.2">
      <c r="A28" s="42">
        <v>152</v>
      </c>
      <c r="B28" s="42" t="s">
        <v>602</v>
      </c>
      <c r="C28" s="42" t="s">
        <v>507</v>
      </c>
      <c r="D28" s="42" t="s">
        <v>18</v>
      </c>
      <c r="E28" s="42">
        <v>1</v>
      </c>
      <c r="F28" s="42" t="s">
        <v>299</v>
      </c>
      <c r="G28" s="42" t="s">
        <v>269</v>
      </c>
      <c r="H28" s="42" t="s">
        <v>53</v>
      </c>
      <c r="I28" s="42" t="s">
        <v>330</v>
      </c>
      <c r="J28" s="42" t="s">
        <v>603</v>
      </c>
      <c r="K28" s="42" t="s">
        <v>283</v>
      </c>
      <c r="L28" s="42" t="s">
        <v>604</v>
      </c>
      <c r="M28" s="42">
        <f t="shared" si="2"/>
        <v>125</v>
      </c>
      <c r="N28" s="42" t="str">
        <f t="shared" si="3"/>
        <v>Uygun</v>
      </c>
      <c r="O28" s="42">
        <v>4</v>
      </c>
      <c r="P28" s="42" t="s">
        <v>598</v>
      </c>
    </row>
    <row r="29" spans="1:16" ht="45" customHeight="1" x14ac:dyDescent="0.2">
      <c r="A29" s="42">
        <v>153</v>
      </c>
      <c r="B29" s="42" t="s">
        <v>605</v>
      </c>
      <c r="C29" s="42" t="s">
        <v>507</v>
      </c>
      <c r="D29" s="42" t="s">
        <v>18</v>
      </c>
      <c r="E29" s="42">
        <v>1</v>
      </c>
      <c r="F29" s="42" t="s">
        <v>41</v>
      </c>
      <c r="G29" s="42" t="s">
        <v>269</v>
      </c>
      <c r="H29" s="42" t="s">
        <v>60</v>
      </c>
      <c r="I29" s="42" t="s">
        <v>508</v>
      </c>
      <c r="J29" s="42" t="s">
        <v>606</v>
      </c>
      <c r="K29" s="42" t="s">
        <v>287</v>
      </c>
      <c r="L29" s="42" t="s">
        <v>607</v>
      </c>
      <c r="M29" s="42">
        <f t="shared" si="2"/>
        <v>121</v>
      </c>
      <c r="N29" s="42" t="str">
        <f t="shared" si="3"/>
        <v>Uygun</v>
      </c>
      <c r="O29" s="42">
        <v>3</v>
      </c>
      <c r="P29" s="42" t="s">
        <v>511</v>
      </c>
    </row>
    <row r="30" spans="1:16" ht="45" customHeight="1" x14ac:dyDescent="0.2">
      <c r="A30" s="42">
        <v>154</v>
      </c>
      <c r="B30" s="42" t="s">
        <v>608</v>
      </c>
      <c r="C30" s="42" t="s">
        <v>507</v>
      </c>
      <c r="D30" s="42" t="s">
        <v>18</v>
      </c>
      <c r="E30" s="42">
        <v>1</v>
      </c>
      <c r="F30" s="42" t="s">
        <v>558</v>
      </c>
      <c r="G30" s="42" t="s">
        <v>269</v>
      </c>
      <c r="H30" s="42" t="s">
        <v>116</v>
      </c>
      <c r="I30" s="42" t="s">
        <v>508</v>
      </c>
      <c r="J30" s="42" t="s">
        <v>609</v>
      </c>
      <c r="K30" s="42" t="s">
        <v>272</v>
      </c>
      <c r="L30" s="42" t="s">
        <v>610</v>
      </c>
      <c r="M30" s="42">
        <f t="shared" si="2"/>
        <v>130</v>
      </c>
      <c r="N30" s="42" t="str">
        <f t="shared" si="3"/>
        <v>Uygun</v>
      </c>
      <c r="O30" s="42">
        <v>4</v>
      </c>
      <c r="P30" s="42" t="s">
        <v>511</v>
      </c>
    </row>
    <row r="31" spans="1:16" ht="45" customHeight="1" x14ac:dyDescent="0.2">
      <c r="A31" s="42">
        <v>155</v>
      </c>
      <c r="B31" s="42" t="s">
        <v>611</v>
      </c>
      <c r="C31" s="42" t="s">
        <v>507</v>
      </c>
      <c r="D31" s="42" t="s">
        <v>18</v>
      </c>
      <c r="E31" s="42">
        <v>1</v>
      </c>
      <c r="F31" s="42" t="s">
        <v>19</v>
      </c>
      <c r="G31" s="42" t="s">
        <v>28</v>
      </c>
      <c r="H31" s="42" t="s">
        <v>21</v>
      </c>
      <c r="I31" s="42" t="s">
        <v>508</v>
      </c>
      <c r="J31" s="42" t="s">
        <v>612</v>
      </c>
      <c r="K31" s="42" t="s">
        <v>278</v>
      </c>
      <c r="L31" s="42" t="s">
        <v>613</v>
      </c>
      <c r="M31" s="42">
        <f t="shared" si="2"/>
        <v>128</v>
      </c>
      <c r="N31" s="42" t="str">
        <f t="shared" si="3"/>
        <v>Uygun</v>
      </c>
      <c r="O31" s="42">
        <v>3</v>
      </c>
      <c r="P31" s="42" t="s">
        <v>511</v>
      </c>
    </row>
    <row r="32" spans="1:16" ht="45" customHeight="1" x14ac:dyDescent="0.2">
      <c r="A32" s="42">
        <v>156</v>
      </c>
      <c r="B32" s="42" t="s">
        <v>614</v>
      </c>
      <c r="C32" s="42" t="s">
        <v>507</v>
      </c>
      <c r="D32" s="42" t="s">
        <v>18</v>
      </c>
      <c r="E32" s="42">
        <v>1</v>
      </c>
      <c r="F32" s="42" t="s">
        <v>299</v>
      </c>
      <c r="G32" s="42" t="s">
        <v>269</v>
      </c>
      <c r="H32" s="42" t="s">
        <v>132</v>
      </c>
      <c r="I32" s="42" t="s">
        <v>508</v>
      </c>
      <c r="J32" s="42" t="s">
        <v>615</v>
      </c>
      <c r="K32" s="42" t="s">
        <v>283</v>
      </c>
      <c r="L32" s="42" t="s">
        <v>616</v>
      </c>
      <c r="M32" s="42">
        <f t="shared" si="2"/>
        <v>129</v>
      </c>
      <c r="N32" s="42" t="str">
        <f t="shared" si="3"/>
        <v>Uygun</v>
      </c>
      <c r="O32" s="42">
        <v>4</v>
      </c>
      <c r="P32" s="42" t="s">
        <v>511</v>
      </c>
    </row>
    <row r="33" spans="1:16" ht="30" customHeight="1" x14ac:dyDescent="0.2">
      <c r="A33" s="42">
        <v>157</v>
      </c>
      <c r="B33" s="42" t="s">
        <v>617</v>
      </c>
      <c r="C33" s="42" t="s">
        <v>507</v>
      </c>
      <c r="D33" s="42" t="s">
        <v>18</v>
      </c>
      <c r="E33" s="42">
        <v>1</v>
      </c>
      <c r="F33" s="42" t="s">
        <v>64</v>
      </c>
      <c r="G33" s="42" t="s">
        <v>269</v>
      </c>
      <c r="H33" s="42" t="s">
        <v>79</v>
      </c>
      <c r="I33" s="42" t="s">
        <v>270</v>
      </c>
      <c r="J33" s="42" t="s">
        <v>618</v>
      </c>
      <c r="K33" s="42" t="s">
        <v>287</v>
      </c>
      <c r="L33" s="42" t="s">
        <v>619</v>
      </c>
      <c r="M33" s="42">
        <f t="shared" si="2"/>
        <v>111</v>
      </c>
      <c r="N33" s="42" t="str">
        <f t="shared" si="3"/>
        <v>Uygun</v>
      </c>
      <c r="O33" s="42">
        <v>3</v>
      </c>
      <c r="P33" s="42" t="s">
        <v>543</v>
      </c>
    </row>
    <row r="34" spans="1:16" ht="45" customHeight="1" x14ac:dyDescent="0.2">
      <c r="A34" s="42">
        <v>158</v>
      </c>
      <c r="B34" s="42" t="s">
        <v>620</v>
      </c>
      <c r="C34" s="42" t="s">
        <v>507</v>
      </c>
      <c r="D34" s="42" t="s">
        <v>163</v>
      </c>
      <c r="E34" s="42">
        <v>2</v>
      </c>
      <c r="F34" s="42" t="s">
        <v>40</v>
      </c>
      <c r="G34" s="42" t="s">
        <v>28</v>
      </c>
      <c r="H34" s="42" t="s">
        <v>164</v>
      </c>
      <c r="I34" s="42" t="s">
        <v>621</v>
      </c>
      <c r="J34" s="42" t="s">
        <v>622</v>
      </c>
      <c r="K34" s="42" t="s">
        <v>380</v>
      </c>
      <c r="L34" s="42" t="s">
        <v>623</v>
      </c>
      <c r="M34" s="42">
        <f t="shared" si="2"/>
        <v>123</v>
      </c>
      <c r="N34" s="42" t="str">
        <f t="shared" si="3"/>
        <v>Uygun</v>
      </c>
      <c r="O34" s="42">
        <v>5</v>
      </c>
      <c r="P34" s="42" t="s">
        <v>624</v>
      </c>
    </row>
    <row r="35" spans="1:16" ht="30" customHeight="1" x14ac:dyDescent="0.2">
      <c r="A35" s="42">
        <v>159</v>
      </c>
      <c r="B35" s="42" t="s">
        <v>625</v>
      </c>
      <c r="C35" s="42" t="s">
        <v>507</v>
      </c>
      <c r="D35" s="42" t="s">
        <v>163</v>
      </c>
      <c r="E35" s="42">
        <v>2</v>
      </c>
      <c r="F35" s="42" t="s">
        <v>412</v>
      </c>
      <c r="G35" s="42" t="s">
        <v>269</v>
      </c>
      <c r="H35" s="42" t="s">
        <v>123</v>
      </c>
      <c r="I35" s="42" t="s">
        <v>621</v>
      </c>
      <c r="J35" s="42" t="s">
        <v>626</v>
      </c>
      <c r="K35" s="42" t="s">
        <v>385</v>
      </c>
      <c r="L35" s="42" t="s">
        <v>627</v>
      </c>
      <c r="M35" s="42">
        <f t="shared" si="2"/>
        <v>118</v>
      </c>
      <c r="N35" s="42" t="str">
        <f t="shared" si="3"/>
        <v>Uygun</v>
      </c>
      <c r="O35" s="42">
        <v>5</v>
      </c>
      <c r="P35" s="42" t="s">
        <v>624</v>
      </c>
    </row>
    <row r="36" spans="1:16" ht="30" customHeight="1" x14ac:dyDescent="0.2">
      <c r="A36" s="42">
        <v>160</v>
      </c>
      <c r="B36" s="42" t="s">
        <v>628</v>
      </c>
      <c r="C36" s="42" t="s">
        <v>507</v>
      </c>
      <c r="D36" s="42" t="s">
        <v>163</v>
      </c>
      <c r="E36" s="42">
        <v>2</v>
      </c>
      <c r="F36" s="42" t="s">
        <v>41</v>
      </c>
      <c r="G36" s="42" t="s">
        <v>269</v>
      </c>
      <c r="H36" s="42" t="s">
        <v>110</v>
      </c>
      <c r="I36" s="42" t="s">
        <v>621</v>
      </c>
      <c r="J36" s="42" t="s">
        <v>629</v>
      </c>
      <c r="K36" s="42" t="s">
        <v>389</v>
      </c>
      <c r="L36" s="42" t="s">
        <v>630</v>
      </c>
      <c r="M36" s="42">
        <f t="shared" si="2"/>
        <v>126</v>
      </c>
      <c r="N36" s="42" t="str">
        <f t="shared" si="3"/>
        <v>Uygun</v>
      </c>
      <c r="O36" s="42">
        <v>5</v>
      </c>
      <c r="P36" s="42" t="s">
        <v>624</v>
      </c>
    </row>
    <row r="37" spans="1:16" ht="45" customHeight="1" x14ac:dyDescent="0.2">
      <c r="A37" s="42">
        <v>161</v>
      </c>
      <c r="B37" s="42" t="s">
        <v>631</v>
      </c>
      <c r="C37" s="42" t="s">
        <v>507</v>
      </c>
      <c r="D37" s="42" t="s">
        <v>163</v>
      </c>
      <c r="E37" s="42">
        <v>2</v>
      </c>
      <c r="F37" s="42" t="s">
        <v>554</v>
      </c>
      <c r="G37" s="42" t="s">
        <v>20</v>
      </c>
      <c r="H37" s="42" t="s">
        <v>21</v>
      </c>
      <c r="I37" s="42" t="s">
        <v>621</v>
      </c>
      <c r="J37" s="42" t="s">
        <v>632</v>
      </c>
      <c r="K37" s="42" t="s">
        <v>394</v>
      </c>
      <c r="L37" s="42" t="s">
        <v>633</v>
      </c>
      <c r="M37" s="42">
        <f t="shared" si="2"/>
        <v>127</v>
      </c>
      <c r="N37" s="42" t="str">
        <f t="shared" si="3"/>
        <v>Uygun</v>
      </c>
      <c r="O37" s="42">
        <v>5</v>
      </c>
      <c r="P37" s="42" t="s">
        <v>624</v>
      </c>
    </row>
    <row r="38" spans="1:16" ht="45" customHeight="1" x14ac:dyDescent="0.2">
      <c r="A38" s="42">
        <v>162</v>
      </c>
      <c r="B38" s="42" t="s">
        <v>634</v>
      </c>
      <c r="C38" s="42" t="s">
        <v>507</v>
      </c>
      <c r="D38" s="42" t="s">
        <v>163</v>
      </c>
      <c r="E38" s="42">
        <v>2</v>
      </c>
      <c r="F38" s="42" t="s">
        <v>558</v>
      </c>
      <c r="G38" s="42" t="s">
        <v>28</v>
      </c>
      <c r="H38" s="42" t="s">
        <v>110</v>
      </c>
      <c r="I38" s="42" t="s">
        <v>635</v>
      </c>
      <c r="J38" s="42" t="s">
        <v>636</v>
      </c>
      <c r="K38" s="42" t="s">
        <v>380</v>
      </c>
      <c r="L38" s="42" t="s">
        <v>637</v>
      </c>
      <c r="M38" s="42">
        <f t="shared" si="2"/>
        <v>122</v>
      </c>
      <c r="N38" s="42" t="str">
        <f t="shared" si="3"/>
        <v>Uygun</v>
      </c>
      <c r="O38" s="42">
        <v>5</v>
      </c>
      <c r="P38" s="42" t="s">
        <v>638</v>
      </c>
    </row>
    <row r="39" spans="1:16" ht="30" customHeight="1" x14ac:dyDescent="0.2">
      <c r="A39" s="42">
        <v>163</v>
      </c>
      <c r="B39" s="42" t="s">
        <v>639</v>
      </c>
      <c r="C39" s="42" t="s">
        <v>507</v>
      </c>
      <c r="D39" s="42" t="s">
        <v>163</v>
      </c>
      <c r="E39" s="42">
        <v>2</v>
      </c>
      <c r="F39" s="42" t="s">
        <v>19</v>
      </c>
      <c r="G39" s="42" t="s">
        <v>269</v>
      </c>
      <c r="H39" s="42" t="s">
        <v>110</v>
      </c>
      <c r="I39" s="42" t="s">
        <v>398</v>
      </c>
      <c r="J39" s="42" t="s">
        <v>640</v>
      </c>
      <c r="K39" s="42" t="s">
        <v>385</v>
      </c>
      <c r="L39" s="42" t="s">
        <v>641</v>
      </c>
      <c r="M39" s="42">
        <f t="shared" si="2"/>
        <v>123</v>
      </c>
      <c r="N39" s="42" t="str">
        <f t="shared" si="3"/>
        <v>Uygun</v>
      </c>
      <c r="O39" s="42">
        <v>5</v>
      </c>
      <c r="P39" s="42" t="s">
        <v>642</v>
      </c>
    </row>
    <row r="40" spans="1:16" ht="45" customHeight="1" x14ac:dyDescent="0.2">
      <c r="A40" s="42">
        <v>164</v>
      </c>
      <c r="B40" s="42" t="s">
        <v>643</v>
      </c>
      <c r="C40" s="42" t="s">
        <v>507</v>
      </c>
      <c r="D40" s="42" t="s">
        <v>163</v>
      </c>
      <c r="E40" s="42">
        <v>2</v>
      </c>
      <c r="F40" s="42" t="s">
        <v>19</v>
      </c>
      <c r="G40" s="42" t="s">
        <v>20</v>
      </c>
      <c r="H40" s="42" t="s">
        <v>60</v>
      </c>
      <c r="I40" s="42" t="s">
        <v>635</v>
      </c>
      <c r="J40" s="42" t="s">
        <v>644</v>
      </c>
      <c r="K40" s="42" t="s">
        <v>389</v>
      </c>
      <c r="L40" s="42" t="s">
        <v>645</v>
      </c>
      <c r="M40" s="42">
        <f t="shared" si="2"/>
        <v>130</v>
      </c>
      <c r="N40" s="42" t="str">
        <f t="shared" si="3"/>
        <v>Uygun</v>
      </c>
      <c r="O40" s="42">
        <v>5</v>
      </c>
      <c r="P40" s="42" t="s">
        <v>638</v>
      </c>
    </row>
    <row r="41" spans="1:16" ht="45" customHeight="1" x14ac:dyDescent="0.2">
      <c r="A41" s="42">
        <v>165</v>
      </c>
      <c r="B41" s="42" t="s">
        <v>646</v>
      </c>
      <c r="C41" s="42" t="s">
        <v>507</v>
      </c>
      <c r="D41" s="42" t="s">
        <v>163</v>
      </c>
      <c r="E41" s="42">
        <v>2</v>
      </c>
      <c r="F41" s="42" t="s">
        <v>19</v>
      </c>
      <c r="G41" s="42" t="s">
        <v>269</v>
      </c>
      <c r="H41" s="42" t="s">
        <v>21</v>
      </c>
      <c r="I41" s="42" t="s">
        <v>621</v>
      </c>
      <c r="J41" s="42" t="s">
        <v>647</v>
      </c>
      <c r="K41" s="42" t="s">
        <v>394</v>
      </c>
      <c r="L41" s="42" t="s">
        <v>648</v>
      </c>
      <c r="M41" s="42">
        <f t="shared" si="2"/>
        <v>126</v>
      </c>
      <c r="N41" s="42" t="str">
        <f t="shared" si="3"/>
        <v>Uygun</v>
      </c>
      <c r="O41" s="42">
        <v>5</v>
      </c>
      <c r="P41" s="42" t="s">
        <v>624</v>
      </c>
    </row>
    <row r="42" spans="1:16" ht="30" customHeight="1" x14ac:dyDescent="0.2">
      <c r="A42" s="42">
        <v>166</v>
      </c>
      <c r="B42" s="42" t="s">
        <v>649</v>
      </c>
      <c r="C42" s="42" t="s">
        <v>507</v>
      </c>
      <c r="D42" s="42" t="s">
        <v>163</v>
      </c>
      <c r="E42" s="42">
        <v>2</v>
      </c>
      <c r="F42" s="42" t="s">
        <v>19</v>
      </c>
      <c r="G42" s="42" t="s">
        <v>28</v>
      </c>
      <c r="H42" s="42" t="s">
        <v>47</v>
      </c>
      <c r="I42" s="42" t="s">
        <v>650</v>
      </c>
      <c r="J42" s="42" t="s">
        <v>651</v>
      </c>
      <c r="K42" s="42" t="s">
        <v>380</v>
      </c>
      <c r="L42" s="42" t="s">
        <v>652</v>
      </c>
      <c r="M42" s="42">
        <f t="shared" si="2"/>
        <v>125</v>
      </c>
      <c r="N42" s="42" t="str">
        <f t="shared" si="3"/>
        <v>Uygun</v>
      </c>
      <c r="O42" s="42">
        <v>5</v>
      </c>
      <c r="P42" s="42" t="s">
        <v>653</v>
      </c>
    </row>
    <row r="43" spans="1:16" ht="45" customHeight="1" x14ac:dyDescent="0.2">
      <c r="A43" s="42">
        <v>167</v>
      </c>
      <c r="B43" s="42" t="s">
        <v>654</v>
      </c>
      <c r="C43" s="42" t="s">
        <v>507</v>
      </c>
      <c r="D43" s="42" t="s">
        <v>163</v>
      </c>
      <c r="E43" s="42">
        <v>2</v>
      </c>
      <c r="F43" s="42" t="s">
        <v>558</v>
      </c>
      <c r="G43" s="42" t="s">
        <v>20</v>
      </c>
      <c r="H43" s="42" t="s">
        <v>110</v>
      </c>
      <c r="I43" s="42" t="s">
        <v>378</v>
      </c>
      <c r="J43" s="42" t="s">
        <v>655</v>
      </c>
      <c r="K43" s="42" t="s">
        <v>385</v>
      </c>
      <c r="L43" s="42" t="s">
        <v>656</v>
      </c>
      <c r="M43" s="42">
        <f t="shared" si="2"/>
        <v>128</v>
      </c>
      <c r="N43" s="42" t="str">
        <f t="shared" si="3"/>
        <v>Uygun</v>
      </c>
      <c r="O43" s="42">
        <v>5</v>
      </c>
      <c r="P43" s="42" t="s">
        <v>657</v>
      </c>
    </row>
    <row r="44" spans="1:16" ht="45" customHeight="1" x14ac:dyDescent="0.2">
      <c r="A44" s="42">
        <v>168</v>
      </c>
      <c r="B44" s="42" t="s">
        <v>658</v>
      </c>
      <c r="C44" s="42" t="s">
        <v>507</v>
      </c>
      <c r="D44" s="42" t="s">
        <v>163</v>
      </c>
      <c r="E44" s="42">
        <v>2</v>
      </c>
      <c r="F44" s="42" t="s">
        <v>558</v>
      </c>
      <c r="G44" s="42" t="s">
        <v>28</v>
      </c>
      <c r="H44" s="42" t="s">
        <v>132</v>
      </c>
      <c r="I44" s="42" t="s">
        <v>621</v>
      </c>
      <c r="J44" s="42" t="s">
        <v>659</v>
      </c>
      <c r="K44" s="42" t="s">
        <v>389</v>
      </c>
      <c r="L44" s="42" t="s">
        <v>660</v>
      </c>
      <c r="M44" s="42">
        <f t="shared" si="2"/>
        <v>117</v>
      </c>
      <c r="N44" s="42" t="str">
        <f t="shared" si="3"/>
        <v>Uygun</v>
      </c>
      <c r="O44" s="42">
        <v>5</v>
      </c>
      <c r="P44" s="42" t="s">
        <v>624</v>
      </c>
    </row>
    <row r="45" spans="1:16" ht="45" customHeight="1" x14ac:dyDescent="0.2">
      <c r="A45" s="42">
        <v>169</v>
      </c>
      <c r="B45" s="42" t="s">
        <v>661</v>
      </c>
      <c r="C45" s="42" t="s">
        <v>507</v>
      </c>
      <c r="D45" s="42" t="s">
        <v>163</v>
      </c>
      <c r="E45" s="42">
        <v>2</v>
      </c>
      <c r="F45" s="42" t="s">
        <v>19</v>
      </c>
      <c r="G45" s="42" t="s">
        <v>28</v>
      </c>
      <c r="H45" s="42" t="s">
        <v>79</v>
      </c>
      <c r="I45" s="42" t="s">
        <v>378</v>
      </c>
      <c r="J45" s="42" t="s">
        <v>662</v>
      </c>
      <c r="K45" s="42" t="s">
        <v>394</v>
      </c>
      <c r="L45" s="42" t="s">
        <v>663</v>
      </c>
      <c r="M45" s="42">
        <f t="shared" si="2"/>
        <v>123</v>
      </c>
      <c r="N45" s="42" t="str">
        <f t="shared" si="3"/>
        <v>Uygun</v>
      </c>
      <c r="O45" s="42">
        <v>5</v>
      </c>
      <c r="P45" s="42" t="s">
        <v>657</v>
      </c>
    </row>
    <row r="46" spans="1:16" ht="45" customHeight="1" x14ac:dyDescent="0.2">
      <c r="A46" s="42">
        <v>170</v>
      </c>
      <c r="B46" s="42" t="s">
        <v>664</v>
      </c>
      <c r="C46" s="42" t="s">
        <v>507</v>
      </c>
      <c r="D46" s="42" t="s">
        <v>163</v>
      </c>
      <c r="E46" s="42">
        <v>2</v>
      </c>
      <c r="F46" s="42" t="s">
        <v>40</v>
      </c>
      <c r="G46" s="42" t="s">
        <v>20</v>
      </c>
      <c r="H46" s="42" t="s">
        <v>60</v>
      </c>
      <c r="I46" s="42" t="s">
        <v>665</v>
      </c>
      <c r="J46" s="42" t="s">
        <v>666</v>
      </c>
      <c r="K46" s="42" t="s">
        <v>380</v>
      </c>
      <c r="L46" s="42" t="s">
        <v>667</v>
      </c>
      <c r="M46" s="42">
        <f t="shared" si="2"/>
        <v>128</v>
      </c>
      <c r="N46" s="42" t="str">
        <f t="shared" si="3"/>
        <v>Uygun</v>
      </c>
      <c r="O46" s="42">
        <v>5</v>
      </c>
      <c r="P46" s="42" t="s">
        <v>668</v>
      </c>
    </row>
    <row r="47" spans="1:16" ht="30" customHeight="1" x14ac:dyDescent="0.2">
      <c r="A47" s="42">
        <v>171</v>
      </c>
      <c r="B47" s="42" t="s">
        <v>669</v>
      </c>
      <c r="C47" s="42" t="s">
        <v>507</v>
      </c>
      <c r="D47" s="42" t="s">
        <v>163</v>
      </c>
      <c r="E47" s="42">
        <v>2</v>
      </c>
      <c r="F47" s="42" t="s">
        <v>64</v>
      </c>
      <c r="G47" s="42" t="s">
        <v>269</v>
      </c>
      <c r="H47" s="42" t="s">
        <v>231</v>
      </c>
      <c r="I47" s="42" t="s">
        <v>670</v>
      </c>
      <c r="J47" s="42" t="s">
        <v>671</v>
      </c>
      <c r="K47" s="42" t="s">
        <v>385</v>
      </c>
      <c r="L47" s="42" t="s">
        <v>672</v>
      </c>
      <c r="M47" s="42">
        <f t="shared" si="2"/>
        <v>124</v>
      </c>
      <c r="N47" s="42" t="str">
        <f t="shared" si="3"/>
        <v>Uygun</v>
      </c>
      <c r="O47" s="42">
        <v>5</v>
      </c>
      <c r="P47" s="42" t="s">
        <v>673</v>
      </c>
    </row>
    <row r="48" spans="1:16" ht="45" customHeight="1" x14ac:dyDescent="0.2">
      <c r="A48" s="42">
        <v>172</v>
      </c>
      <c r="B48" s="42" t="s">
        <v>674</v>
      </c>
      <c r="C48" s="42" t="s">
        <v>507</v>
      </c>
      <c r="D48" s="42" t="s">
        <v>163</v>
      </c>
      <c r="E48" s="42">
        <v>2</v>
      </c>
      <c r="F48" s="42" t="s">
        <v>59</v>
      </c>
      <c r="G48" s="42" t="s">
        <v>28</v>
      </c>
      <c r="H48" s="42" t="s">
        <v>53</v>
      </c>
      <c r="I48" s="42" t="s">
        <v>419</v>
      </c>
      <c r="J48" s="42" t="s">
        <v>675</v>
      </c>
      <c r="K48" s="42" t="s">
        <v>389</v>
      </c>
      <c r="L48" s="42" t="s">
        <v>676</v>
      </c>
      <c r="M48" s="42">
        <f t="shared" si="2"/>
        <v>125</v>
      </c>
      <c r="N48" s="42" t="str">
        <f t="shared" si="3"/>
        <v>Uygun</v>
      </c>
      <c r="O48" s="42">
        <v>5</v>
      </c>
      <c r="P48" s="42" t="s">
        <v>677</v>
      </c>
    </row>
    <row r="49" spans="1:16" ht="30" customHeight="1" x14ac:dyDescent="0.2">
      <c r="A49" s="42">
        <v>173</v>
      </c>
      <c r="B49" s="42" t="s">
        <v>678</v>
      </c>
      <c r="C49" s="42" t="s">
        <v>507</v>
      </c>
      <c r="D49" s="42" t="s">
        <v>163</v>
      </c>
      <c r="E49" s="42">
        <v>2</v>
      </c>
      <c r="F49" s="42" t="s">
        <v>40</v>
      </c>
      <c r="G49" s="42" t="s">
        <v>269</v>
      </c>
      <c r="H49" s="42" t="s">
        <v>110</v>
      </c>
      <c r="I49" s="42" t="s">
        <v>621</v>
      </c>
      <c r="J49" s="42" t="s">
        <v>679</v>
      </c>
      <c r="K49" s="42" t="s">
        <v>394</v>
      </c>
      <c r="L49" s="42" t="s">
        <v>680</v>
      </c>
      <c r="M49" s="42">
        <f t="shared" si="2"/>
        <v>119</v>
      </c>
      <c r="N49" s="42" t="str">
        <f t="shared" si="3"/>
        <v>Uygun</v>
      </c>
      <c r="O49" s="42">
        <v>5</v>
      </c>
      <c r="P49" s="42" t="s">
        <v>624</v>
      </c>
    </row>
    <row r="50" spans="1:16" ht="45" customHeight="1" x14ac:dyDescent="0.2">
      <c r="A50" s="42">
        <v>174</v>
      </c>
      <c r="B50" s="42" t="s">
        <v>681</v>
      </c>
      <c r="C50" s="42" t="s">
        <v>507</v>
      </c>
      <c r="D50" s="42" t="s">
        <v>218</v>
      </c>
      <c r="E50" s="42">
        <v>3</v>
      </c>
      <c r="F50" s="42" t="s">
        <v>554</v>
      </c>
      <c r="G50" s="42" t="s">
        <v>28</v>
      </c>
      <c r="H50" s="42" t="s">
        <v>21</v>
      </c>
      <c r="I50" s="42" t="s">
        <v>682</v>
      </c>
      <c r="J50" s="42" t="s">
        <v>683</v>
      </c>
      <c r="K50" s="42" t="s">
        <v>441</v>
      </c>
      <c r="L50" s="42" t="s">
        <v>684</v>
      </c>
      <c r="M50" s="42">
        <f t="shared" si="2"/>
        <v>117</v>
      </c>
      <c r="N50" s="42" t="str">
        <f t="shared" si="3"/>
        <v>Uygun</v>
      </c>
      <c r="O50" s="42">
        <v>7</v>
      </c>
      <c r="P50" s="42" t="s">
        <v>685</v>
      </c>
    </row>
    <row r="51" spans="1:16" ht="45" customHeight="1" x14ac:dyDescent="0.2">
      <c r="A51" s="42">
        <v>175</v>
      </c>
      <c r="B51" s="42" t="s">
        <v>686</v>
      </c>
      <c r="C51" s="42" t="s">
        <v>507</v>
      </c>
      <c r="D51" s="42" t="s">
        <v>218</v>
      </c>
      <c r="E51" s="42">
        <v>3</v>
      </c>
      <c r="F51" s="42" t="s">
        <v>356</v>
      </c>
      <c r="G51" s="42" t="s">
        <v>269</v>
      </c>
      <c r="H51" s="42" t="s">
        <v>47</v>
      </c>
      <c r="I51" s="42" t="s">
        <v>687</v>
      </c>
      <c r="J51" s="42" t="s">
        <v>688</v>
      </c>
      <c r="K51" s="42" t="s">
        <v>447</v>
      </c>
      <c r="L51" s="42" t="s">
        <v>689</v>
      </c>
      <c r="M51" s="42">
        <f t="shared" si="2"/>
        <v>117</v>
      </c>
      <c r="N51" s="42" t="str">
        <f t="shared" si="3"/>
        <v>Uygun</v>
      </c>
      <c r="O51" s="42">
        <v>6</v>
      </c>
      <c r="P51" s="42" t="s">
        <v>690</v>
      </c>
    </row>
    <row r="52" spans="1:16" ht="60" customHeight="1" x14ac:dyDescent="0.2">
      <c r="A52" s="42">
        <v>176</v>
      </c>
      <c r="B52" s="42" t="s">
        <v>691</v>
      </c>
      <c r="C52" s="42" t="s">
        <v>507</v>
      </c>
      <c r="D52" s="42" t="s">
        <v>218</v>
      </c>
      <c r="E52" s="42">
        <v>3</v>
      </c>
      <c r="F52" s="42" t="s">
        <v>299</v>
      </c>
      <c r="G52" s="42" t="s">
        <v>20</v>
      </c>
      <c r="H52" s="42" t="s">
        <v>60</v>
      </c>
      <c r="I52" s="42" t="s">
        <v>692</v>
      </c>
      <c r="J52" s="42" t="s">
        <v>693</v>
      </c>
      <c r="K52" s="42" t="s">
        <v>453</v>
      </c>
      <c r="L52" s="42" t="s">
        <v>694</v>
      </c>
      <c r="M52" s="42">
        <f t="shared" si="2"/>
        <v>124</v>
      </c>
      <c r="N52" s="42" t="str">
        <f t="shared" si="3"/>
        <v>Uygun</v>
      </c>
      <c r="O52" s="42">
        <v>7</v>
      </c>
      <c r="P52" s="42" t="s">
        <v>695</v>
      </c>
    </row>
    <row r="53" spans="1:16" ht="45" customHeight="1" x14ac:dyDescent="0.2">
      <c r="A53" s="42">
        <v>177</v>
      </c>
      <c r="B53" s="42" t="s">
        <v>696</v>
      </c>
      <c r="C53" s="42" t="s">
        <v>507</v>
      </c>
      <c r="D53" s="42" t="s">
        <v>218</v>
      </c>
      <c r="E53" s="42">
        <v>3</v>
      </c>
      <c r="F53" s="42" t="s">
        <v>79</v>
      </c>
      <c r="G53" s="42" t="s">
        <v>269</v>
      </c>
      <c r="H53" s="42" t="s">
        <v>79</v>
      </c>
      <c r="I53" s="42" t="s">
        <v>445</v>
      </c>
      <c r="J53" s="42" t="s">
        <v>697</v>
      </c>
      <c r="K53" s="42" t="s">
        <v>458</v>
      </c>
      <c r="L53" s="42" t="s">
        <v>698</v>
      </c>
      <c r="M53" s="42">
        <f t="shared" si="2"/>
        <v>129</v>
      </c>
      <c r="N53" s="42" t="str">
        <f t="shared" si="3"/>
        <v>Uygun</v>
      </c>
      <c r="O53" s="42">
        <v>6</v>
      </c>
      <c r="P53" s="42" t="s">
        <v>699</v>
      </c>
    </row>
    <row r="54" spans="1:16" ht="45" customHeight="1" x14ac:dyDescent="0.2">
      <c r="A54" s="42">
        <v>178</v>
      </c>
      <c r="B54" s="42" t="s">
        <v>700</v>
      </c>
      <c r="C54" s="42" t="s">
        <v>507</v>
      </c>
      <c r="D54" s="42" t="s">
        <v>218</v>
      </c>
      <c r="E54" s="42">
        <v>3</v>
      </c>
      <c r="F54" s="42" t="s">
        <v>299</v>
      </c>
      <c r="G54" s="42" t="s">
        <v>20</v>
      </c>
      <c r="H54" s="42" t="s">
        <v>53</v>
      </c>
      <c r="I54" s="42" t="s">
        <v>701</v>
      </c>
      <c r="J54" s="42" t="s">
        <v>702</v>
      </c>
      <c r="K54" s="42" t="s">
        <v>441</v>
      </c>
      <c r="L54" s="42" t="s">
        <v>703</v>
      </c>
      <c r="M54" s="42">
        <f t="shared" si="2"/>
        <v>128</v>
      </c>
      <c r="N54" s="42" t="str">
        <f t="shared" si="3"/>
        <v>Uygun</v>
      </c>
      <c r="O54" s="42">
        <v>7</v>
      </c>
      <c r="P54" s="42" t="s">
        <v>704</v>
      </c>
    </row>
    <row r="55" spans="1:16" ht="45" customHeight="1" x14ac:dyDescent="0.2">
      <c r="A55" s="42">
        <v>179</v>
      </c>
      <c r="B55" s="42" t="s">
        <v>705</v>
      </c>
      <c r="C55" s="42" t="s">
        <v>507</v>
      </c>
      <c r="D55" s="42" t="s">
        <v>218</v>
      </c>
      <c r="E55" s="42">
        <v>3</v>
      </c>
      <c r="F55" s="42" t="s">
        <v>19</v>
      </c>
      <c r="G55" s="42" t="s">
        <v>28</v>
      </c>
      <c r="H55" s="42" t="s">
        <v>73</v>
      </c>
      <c r="I55" s="42" t="s">
        <v>701</v>
      </c>
      <c r="J55" s="42" t="s">
        <v>706</v>
      </c>
      <c r="K55" s="42" t="s">
        <v>447</v>
      </c>
      <c r="L55" s="42" t="s">
        <v>707</v>
      </c>
      <c r="M55" s="42">
        <f t="shared" si="2"/>
        <v>124</v>
      </c>
      <c r="N55" s="42" t="str">
        <f t="shared" si="3"/>
        <v>Uygun</v>
      </c>
      <c r="O55" s="42">
        <v>6</v>
      </c>
      <c r="P55" s="42" t="s">
        <v>704</v>
      </c>
    </row>
    <row r="56" spans="1:16" ht="45" customHeight="1" x14ac:dyDescent="0.2">
      <c r="A56" s="42">
        <v>180</v>
      </c>
      <c r="B56" s="42" t="s">
        <v>708</v>
      </c>
      <c r="C56" s="42" t="s">
        <v>507</v>
      </c>
      <c r="D56" s="42" t="s">
        <v>218</v>
      </c>
      <c r="E56" s="42">
        <v>3</v>
      </c>
      <c r="F56" s="42" t="s">
        <v>19</v>
      </c>
      <c r="G56" s="42" t="s">
        <v>28</v>
      </c>
      <c r="H56" s="42" t="s">
        <v>214</v>
      </c>
      <c r="I56" s="42" t="s">
        <v>709</v>
      </c>
      <c r="J56" s="42" t="s">
        <v>710</v>
      </c>
      <c r="K56" s="42" t="s">
        <v>453</v>
      </c>
      <c r="L56" s="42" t="s">
        <v>711</v>
      </c>
      <c r="M56" s="42">
        <f t="shared" si="2"/>
        <v>123</v>
      </c>
      <c r="N56" s="42" t="str">
        <f t="shared" si="3"/>
        <v>Uygun</v>
      </c>
      <c r="O56" s="42">
        <v>7</v>
      </c>
      <c r="P56" s="42" t="s">
        <v>712</v>
      </c>
    </row>
    <row r="57" spans="1:16" ht="30" customHeight="1" x14ac:dyDescent="0.2">
      <c r="A57" s="42">
        <v>181</v>
      </c>
      <c r="B57" s="42" t="s">
        <v>713</v>
      </c>
      <c r="C57" s="42" t="s">
        <v>507</v>
      </c>
      <c r="D57" s="42" t="s">
        <v>218</v>
      </c>
      <c r="E57" s="42">
        <v>3</v>
      </c>
      <c r="F57" s="42" t="s">
        <v>19</v>
      </c>
      <c r="G57" s="42" t="s">
        <v>28</v>
      </c>
      <c r="H57" s="42" t="s">
        <v>132</v>
      </c>
      <c r="I57" s="42" t="s">
        <v>714</v>
      </c>
      <c r="J57" s="42" t="s">
        <v>715</v>
      </c>
      <c r="K57" s="42" t="s">
        <v>458</v>
      </c>
      <c r="L57" s="42" t="s">
        <v>716</v>
      </c>
      <c r="M57" s="42">
        <f t="shared" si="2"/>
        <v>118</v>
      </c>
      <c r="N57" s="42" t="str">
        <f t="shared" si="3"/>
        <v>Uygun</v>
      </c>
      <c r="O57" s="42">
        <v>6</v>
      </c>
      <c r="P57" s="42" t="s">
        <v>717</v>
      </c>
    </row>
    <row r="58" spans="1:16" ht="45" customHeight="1" x14ac:dyDescent="0.2">
      <c r="A58" s="42">
        <v>182</v>
      </c>
      <c r="B58" s="42" t="s">
        <v>718</v>
      </c>
      <c r="C58" s="42" t="s">
        <v>507</v>
      </c>
      <c r="D58" s="42" t="s">
        <v>244</v>
      </c>
      <c r="E58" s="42">
        <v>4</v>
      </c>
      <c r="F58" s="42" t="s">
        <v>19</v>
      </c>
      <c r="G58" s="42" t="s">
        <v>28</v>
      </c>
      <c r="H58" s="42" t="s">
        <v>93</v>
      </c>
      <c r="I58" s="42" t="s">
        <v>719</v>
      </c>
      <c r="J58" s="42" t="s">
        <v>720</v>
      </c>
      <c r="K58" s="42" t="s">
        <v>475</v>
      </c>
      <c r="L58" s="42" t="s">
        <v>721</v>
      </c>
      <c r="M58" s="42">
        <f t="shared" si="2"/>
        <v>129</v>
      </c>
      <c r="N58" s="42" t="str">
        <f t="shared" si="3"/>
        <v>Uygun</v>
      </c>
      <c r="O58" s="42">
        <v>8</v>
      </c>
      <c r="P58" s="42" t="s">
        <v>722</v>
      </c>
    </row>
    <row r="59" spans="1:16" ht="45" customHeight="1" x14ac:dyDescent="0.2">
      <c r="A59" s="42">
        <v>183</v>
      </c>
      <c r="B59" s="42" t="s">
        <v>723</v>
      </c>
      <c r="C59" s="42" t="s">
        <v>507</v>
      </c>
      <c r="D59" s="42" t="s">
        <v>244</v>
      </c>
      <c r="E59" s="42">
        <v>4</v>
      </c>
      <c r="F59" s="42" t="s">
        <v>64</v>
      </c>
      <c r="G59" s="42" t="s">
        <v>269</v>
      </c>
      <c r="H59" s="42" t="s">
        <v>34</v>
      </c>
      <c r="I59" s="42" t="s">
        <v>479</v>
      </c>
      <c r="J59" s="42" t="s">
        <v>724</v>
      </c>
      <c r="K59" s="42" t="s">
        <v>481</v>
      </c>
      <c r="L59" s="42" t="s">
        <v>725</v>
      </c>
      <c r="M59" s="42">
        <f t="shared" si="2"/>
        <v>126</v>
      </c>
      <c r="N59" s="42" t="str">
        <f t="shared" si="3"/>
        <v>Uygun</v>
      </c>
      <c r="O59" s="42">
        <v>8</v>
      </c>
      <c r="P59" s="42" t="s">
        <v>726</v>
      </c>
    </row>
    <row r="60" spans="1:16" ht="45" customHeight="1" x14ac:dyDescent="0.2">
      <c r="A60" s="42">
        <v>184</v>
      </c>
      <c r="B60" s="42" t="s">
        <v>727</v>
      </c>
      <c r="C60" s="42" t="s">
        <v>507</v>
      </c>
      <c r="D60" s="42" t="s">
        <v>244</v>
      </c>
      <c r="E60" s="42">
        <v>4</v>
      </c>
      <c r="F60" s="42" t="s">
        <v>558</v>
      </c>
      <c r="G60" s="42" t="s">
        <v>269</v>
      </c>
      <c r="H60" s="42" t="s">
        <v>79</v>
      </c>
      <c r="I60" s="42" t="s">
        <v>473</v>
      </c>
      <c r="J60" s="42" t="s">
        <v>728</v>
      </c>
      <c r="K60" s="42" t="s">
        <v>487</v>
      </c>
      <c r="L60" s="42" t="s">
        <v>729</v>
      </c>
      <c r="M60" s="42">
        <f t="shared" si="2"/>
        <v>119</v>
      </c>
      <c r="N60" s="42" t="str">
        <f t="shared" si="3"/>
        <v>Uygun</v>
      </c>
      <c r="O60" s="42">
        <v>8</v>
      </c>
      <c r="P60" s="42" t="s">
        <v>730</v>
      </c>
    </row>
    <row r="61" spans="1:16" ht="45" customHeight="1" x14ac:dyDescent="0.2">
      <c r="A61" s="42">
        <v>185</v>
      </c>
      <c r="B61" s="42" t="s">
        <v>731</v>
      </c>
      <c r="C61" s="42" t="s">
        <v>507</v>
      </c>
      <c r="D61" s="42" t="s">
        <v>244</v>
      </c>
      <c r="E61" s="42">
        <v>4</v>
      </c>
      <c r="F61" s="42" t="s">
        <v>554</v>
      </c>
      <c r="G61" s="42" t="s">
        <v>269</v>
      </c>
      <c r="H61" s="42" t="s">
        <v>123</v>
      </c>
      <c r="I61" s="42" t="s">
        <v>479</v>
      </c>
      <c r="J61" s="42" t="s">
        <v>732</v>
      </c>
      <c r="K61" s="42" t="s">
        <v>492</v>
      </c>
      <c r="L61" s="42" t="s">
        <v>733</v>
      </c>
      <c r="M61" s="42">
        <f t="shared" si="2"/>
        <v>121</v>
      </c>
      <c r="N61" s="42" t="str">
        <f t="shared" si="3"/>
        <v>Uygun</v>
      </c>
      <c r="O61" s="42">
        <v>8</v>
      </c>
      <c r="P61" s="42" t="s">
        <v>726</v>
      </c>
    </row>
    <row r="62" spans="1:16" ht="60" customHeight="1" x14ac:dyDescent="0.2">
      <c r="A62" s="42">
        <v>186</v>
      </c>
      <c r="B62" s="42" t="s">
        <v>734</v>
      </c>
      <c r="C62" s="42" t="s">
        <v>507</v>
      </c>
      <c r="D62" s="42" t="s">
        <v>258</v>
      </c>
      <c r="E62" s="42">
        <v>5</v>
      </c>
      <c r="F62" s="42" t="s">
        <v>356</v>
      </c>
      <c r="G62" s="42" t="s">
        <v>269</v>
      </c>
      <c r="H62" s="42" t="s">
        <v>21</v>
      </c>
      <c r="I62" s="42" t="s">
        <v>735</v>
      </c>
      <c r="J62" s="42" t="s">
        <v>736</v>
      </c>
      <c r="K62" s="42" t="s">
        <v>497</v>
      </c>
      <c r="L62" s="42" t="s">
        <v>737</v>
      </c>
      <c r="M62" s="42">
        <f t="shared" si="2"/>
        <v>121</v>
      </c>
      <c r="N62" s="42" t="str">
        <f t="shared" si="3"/>
        <v>Uygun</v>
      </c>
      <c r="O62" s="42">
        <v>10</v>
      </c>
      <c r="P62" s="42" t="s">
        <v>738</v>
      </c>
    </row>
    <row r="63" spans="1:16" ht="60" customHeight="1" x14ac:dyDescent="0.2">
      <c r="A63" s="42">
        <v>187</v>
      </c>
      <c r="B63" s="42" t="s">
        <v>739</v>
      </c>
      <c r="C63" s="42" t="s">
        <v>507</v>
      </c>
      <c r="D63" s="42" t="s">
        <v>258</v>
      </c>
      <c r="E63" s="42">
        <v>5</v>
      </c>
      <c r="F63" s="42" t="s">
        <v>19</v>
      </c>
      <c r="G63" s="42" t="s">
        <v>269</v>
      </c>
      <c r="H63" s="42" t="s">
        <v>41</v>
      </c>
      <c r="I63" s="42" t="s">
        <v>740</v>
      </c>
      <c r="J63" s="42" t="s">
        <v>741</v>
      </c>
      <c r="K63" s="42" t="s">
        <v>503</v>
      </c>
      <c r="L63" s="42" t="s">
        <v>742</v>
      </c>
      <c r="M63" s="42">
        <f t="shared" si="2"/>
        <v>126</v>
      </c>
      <c r="N63" s="42" t="str">
        <f t="shared" si="3"/>
        <v>Uygun</v>
      </c>
      <c r="O63" s="42">
        <v>10</v>
      </c>
      <c r="P63" s="42" t="s">
        <v>743</v>
      </c>
    </row>
  </sheetData>
  <pageMargins left="0.7" right="0.7" top="0.75" bottom="0.75" header="0.511811023622047" footer="0.511811023622047"/>
  <pageSetup paperSize="9" orientation="portrait" horizontalDpi="300" verticalDpi="300"/>
  <legacy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3"/>
  <sheetViews>
    <sheetView showGridLines="0" zoomScale="80" zoomScaleNormal="80" workbookViewId="0">
      <pane ySplit="1" topLeftCell="A2" activePane="bottomLeft" state="frozen"/>
      <selection pane="bottomLeft" activeCell="B2" sqref="B2"/>
    </sheetView>
  </sheetViews>
  <sheetFormatPr defaultColWidth="8.7109375" defaultRowHeight="12.75" x14ac:dyDescent="0.2"/>
  <cols>
    <col min="1" max="1" width="8" customWidth="1"/>
    <col min="2" max="2" width="28" customWidth="1"/>
    <col min="3" max="3" width="14" customWidth="1"/>
    <col min="4" max="4" width="12" customWidth="1"/>
    <col min="5" max="5" width="14" customWidth="1"/>
    <col min="6" max="6" width="24" customWidth="1"/>
    <col min="7" max="7" width="12" customWidth="1"/>
    <col min="8" max="8" width="14" customWidth="1"/>
    <col min="9" max="9" width="24" customWidth="1"/>
    <col min="10" max="10" width="52" customWidth="1"/>
    <col min="11" max="11" width="18" customWidth="1"/>
    <col min="12" max="12" width="58" customWidth="1"/>
    <col min="13" max="13" width="14" customWidth="1"/>
    <col min="14" max="14" width="12" customWidth="1"/>
    <col min="15" max="15" width="14" customWidth="1"/>
    <col min="16" max="16" width="45" customWidth="1"/>
  </cols>
  <sheetData>
    <row r="1" spans="1:16" ht="30" customHeight="1" x14ac:dyDescent="0.25">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row>
    <row r="2" spans="1:16" ht="30" customHeight="1" x14ac:dyDescent="0.2">
      <c r="A2" s="42">
        <v>188</v>
      </c>
      <c r="B2" s="42" t="s">
        <v>744</v>
      </c>
      <c r="C2" s="42" t="s">
        <v>745</v>
      </c>
      <c r="D2" s="42" t="s">
        <v>18</v>
      </c>
      <c r="E2" s="42">
        <v>1</v>
      </c>
      <c r="F2" s="42" t="s">
        <v>19</v>
      </c>
      <c r="G2" s="42" t="s">
        <v>28</v>
      </c>
      <c r="H2" s="42" t="s">
        <v>47</v>
      </c>
      <c r="I2" s="42" t="s">
        <v>522</v>
      </c>
      <c r="J2" s="42" t="s">
        <v>746</v>
      </c>
      <c r="K2" s="42" t="s">
        <v>272</v>
      </c>
      <c r="L2" s="42" t="s">
        <v>747</v>
      </c>
      <c r="M2" s="42">
        <f t="shared" ref="M2:M33" si="0">LEN(L2)</f>
        <v>124</v>
      </c>
      <c r="N2" s="42" t="str">
        <f t="shared" ref="N2:N33" si="1">IF(L2="","Eksik",IF(M2&lt;=130,"Uygun","130 karakteri aşıyor"))</f>
        <v>Uygun</v>
      </c>
      <c r="O2" s="42">
        <v>4</v>
      </c>
      <c r="P2" s="42" t="s">
        <v>748</v>
      </c>
    </row>
    <row r="3" spans="1:16" ht="45" customHeight="1" x14ac:dyDescent="0.2">
      <c r="A3" s="42">
        <v>189</v>
      </c>
      <c r="B3" s="42" t="s">
        <v>749</v>
      </c>
      <c r="C3" s="42" t="s">
        <v>745</v>
      </c>
      <c r="D3" s="42" t="s">
        <v>18</v>
      </c>
      <c r="E3" s="42">
        <v>1</v>
      </c>
      <c r="F3" s="42" t="s">
        <v>19</v>
      </c>
      <c r="G3" s="42" t="s">
        <v>28</v>
      </c>
      <c r="H3" s="42" t="s">
        <v>214</v>
      </c>
      <c r="I3" s="42" t="s">
        <v>568</v>
      </c>
      <c r="J3" s="42" t="s">
        <v>750</v>
      </c>
      <c r="K3" s="42" t="s">
        <v>278</v>
      </c>
      <c r="L3" s="42" t="s">
        <v>751</v>
      </c>
      <c r="M3" s="42">
        <f t="shared" si="0"/>
        <v>119</v>
      </c>
      <c r="N3" s="42" t="str">
        <f t="shared" si="1"/>
        <v>Uygun</v>
      </c>
      <c r="O3" s="42">
        <v>3</v>
      </c>
      <c r="P3" s="42" t="s">
        <v>752</v>
      </c>
    </row>
    <row r="4" spans="1:16" ht="45" customHeight="1" x14ac:dyDescent="0.2">
      <c r="A4" s="42">
        <v>190</v>
      </c>
      <c r="B4" s="42" t="s">
        <v>753</v>
      </c>
      <c r="C4" s="42" t="s">
        <v>745</v>
      </c>
      <c r="D4" s="42" t="s">
        <v>18</v>
      </c>
      <c r="E4" s="42">
        <v>1</v>
      </c>
      <c r="F4" s="42" t="s">
        <v>19</v>
      </c>
      <c r="G4" s="42" t="s">
        <v>20</v>
      </c>
      <c r="H4" s="42" t="s">
        <v>53</v>
      </c>
      <c r="I4" s="42" t="s">
        <v>330</v>
      </c>
      <c r="J4" s="42" t="s">
        <v>754</v>
      </c>
      <c r="K4" s="42" t="s">
        <v>283</v>
      </c>
      <c r="L4" s="42" t="s">
        <v>755</v>
      </c>
      <c r="M4" s="42">
        <f t="shared" si="0"/>
        <v>124</v>
      </c>
      <c r="N4" s="42" t="str">
        <f t="shared" si="1"/>
        <v>Uygun</v>
      </c>
      <c r="O4" s="42">
        <v>4</v>
      </c>
      <c r="P4" s="42" t="s">
        <v>756</v>
      </c>
    </row>
    <row r="5" spans="1:16" ht="45" customHeight="1" x14ac:dyDescent="0.2">
      <c r="A5" s="42">
        <v>191</v>
      </c>
      <c r="B5" s="42" t="s">
        <v>757</v>
      </c>
      <c r="C5" s="42" t="s">
        <v>745</v>
      </c>
      <c r="D5" s="42" t="s">
        <v>18</v>
      </c>
      <c r="E5" s="42">
        <v>1</v>
      </c>
      <c r="F5" s="42" t="s">
        <v>79</v>
      </c>
      <c r="G5" s="42" t="s">
        <v>269</v>
      </c>
      <c r="H5" s="42" t="s">
        <v>79</v>
      </c>
      <c r="I5" s="42" t="s">
        <v>270</v>
      </c>
      <c r="J5" s="42" t="s">
        <v>758</v>
      </c>
      <c r="K5" s="42" t="s">
        <v>287</v>
      </c>
      <c r="L5" s="42" t="s">
        <v>759</v>
      </c>
      <c r="M5" s="42">
        <f t="shared" si="0"/>
        <v>121</v>
      </c>
      <c r="N5" s="42" t="str">
        <f t="shared" si="1"/>
        <v>Uygun</v>
      </c>
      <c r="O5" s="42">
        <v>3</v>
      </c>
      <c r="P5" s="42" t="s">
        <v>760</v>
      </c>
    </row>
    <row r="6" spans="1:16" ht="45" customHeight="1" x14ac:dyDescent="0.2">
      <c r="A6" s="42">
        <v>192</v>
      </c>
      <c r="B6" s="42" t="s">
        <v>761</v>
      </c>
      <c r="C6" s="42" t="s">
        <v>745</v>
      </c>
      <c r="D6" s="42" t="s">
        <v>18</v>
      </c>
      <c r="E6" s="42">
        <v>1</v>
      </c>
      <c r="F6" s="42" t="s">
        <v>19</v>
      </c>
      <c r="G6" s="42" t="s">
        <v>28</v>
      </c>
      <c r="H6" s="42" t="s">
        <v>178</v>
      </c>
      <c r="I6" s="42" t="s">
        <v>762</v>
      </c>
      <c r="J6" s="42" t="s">
        <v>763</v>
      </c>
      <c r="K6" s="42" t="s">
        <v>272</v>
      </c>
      <c r="L6" s="42" t="s">
        <v>764</v>
      </c>
      <c r="M6" s="42">
        <f t="shared" si="0"/>
        <v>130</v>
      </c>
      <c r="N6" s="42" t="str">
        <f t="shared" si="1"/>
        <v>Uygun</v>
      </c>
      <c r="O6" s="42">
        <v>4</v>
      </c>
      <c r="P6" s="42" t="s">
        <v>765</v>
      </c>
    </row>
    <row r="7" spans="1:16" ht="30" customHeight="1" x14ac:dyDescent="0.2">
      <c r="A7" s="42">
        <v>193</v>
      </c>
      <c r="B7" s="42" t="s">
        <v>766</v>
      </c>
      <c r="C7" s="42" t="s">
        <v>745</v>
      </c>
      <c r="D7" s="42" t="s">
        <v>18</v>
      </c>
      <c r="E7" s="42">
        <v>1</v>
      </c>
      <c r="F7" s="42" t="s">
        <v>19</v>
      </c>
      <c r="G7" s="42" t="s">
        <v>28</v>
      </c>
      <c r="H7" s="42" t="s">
        <v>53</v>
      </c>
      <c r="I7" s="42" t="s">
        <v>330</v>
      </c>
      <c r="J7" s="42" t="s">
        <v>767</v>
      </c>
      <c r="K7" s="42" t="s">
        <v>278</v>
      </c>
      <c r="L7" s="42" t="s">
        <v>768</v>
      </c>
      <c r="M7" s="42">
        <f t="shared" si="0"/>
        <v>124</v>
      </c>
      <c r="N7" s="42" t="str">
        <f t="shared" si="1"/>
        <v>Uygun</v>
      </c>
      <c r="O7" s="42">
        <v>3</v>
      </c>
      <c r="P7" s="42" t="s">
        <v>756</v>
      </c>
    </row>
    <row r="8" spans="1:16" ht="45" customHeight="1" x14ac:dyDescent="0.2">
      <c r="A8" s="42">
        <v>194</v>
      </c>
      <c r="B8" s="42" t="s">
        <v>769</v>
      </c>
      <c r="C8" s="42" t="s">
        <v>745</v>
      </c>
      <c r="D8" s="42" t="s">
        <v>18</v>
      </c>
      <c r="E8" s="42">
        <v>1</v>
      </c>
      <c r="F8" s="42" t="s">
        <v>19</v>
      </c>
      <c r="G8" s="42" t="s">
        <v>20</v>
      </c>
      <c r="H8" s="42" t="s">
        <v>132</v>
      </c>
      <c r="I8" s="42" t="s">
        <v>770</v>
      </c>
      <c r="J8" s="42" t="s">
        <v>771</v>
      </c>
      <c r="K8" s="42" t="s">
        <v>283</v>
      </c>
      <c r="L8" s="42" t="s">
        <v>772</v>
      </c>
      <c r="M8" s="42">
        <f t="shared" si="0"/>
        <v>127</v>
      </c>
      <c r="N8" s="42" t="str">
        <f t="shared" si="1"/>
        <v>Uygun</v>
      </c>
      <c r="O8" s="42">
        <v>4</v>
      </c>
      <c r="P8" s="42" t="s">
        <v>773</v>
      </c>
    </row>
    <row r="9" spans="1:16" ht="45" customHeight="1" x14ac:dyDescent="0.2">
      <c r="A9" s="42">
        <v>195</v>
      </c>
      <c r="B9" s="42" t="s">
        <v>774</v>
      </c>
      <c r="C9" s="42" t="s">
        <v>745</v>
      </c>
      <c r="D9" s="42" t="s">
        <v>18</v>
      </c>
      <c r="E9" s="42">
        <v>1</v>
      </c>
      <c r="F9" s="42" t="s">
        <v>19</v>
      </c>
      <c r="G9" s="42" t="s">
        <v>20</v>
      </c>
      <c r="H9" s="42" t="s">
        <v>110</v>
      </c>
      <c r="I9" s="42" t="s">
        <v>762</v>
      </c>
      <c r="J9" s="42" t="s">
        <v>775</v>
      </c>
      <c r="K9" s="42" t="s">
        <v>287</v>
      </c>
      <c r="L9" s="42" t="s">
        <v>776</v>
      </c>
      <c r="M9" s="42">
        <f t="shared" si="0"/>
        <v>123</v>
      </c>
      <c r="N9" s="42" t="str">
        <f t="shared" si="1"/>
        <v>Uygun</v>
      </c>
      <c r="O9" s="42">
        <v>3</v>
      </c>
      <c r="P9" s="42" t="s">
        <v>765</v>
      </c>
    </row>
    <row r="10" spans="1:16" ht="30" customHeight="1" x14ac:dyDescent="0.2">
      <c r="A10" s="42">
        <v>196</v>
      </c>
      <c r="B10" s="42" t="s">
        <v>777</v>
      </c>
      <c r="C10" s="42" t="s">
        <v>745</v>
      </c>
      <c r="D10" s="42" t="s">
        <v>18</v>
      </c>
      <c r="E10" s="42">
        <v>1</v>
      </c>
      <c r="F10" s="42" t="s">
        <v>245</v>
      </c>
      <c r="G10" s="42" t="s">
        <v>28</v>
      </c>
      <c r="H10" s="42" t="s">
        <v>154</v>
      </c>
      <c r="I10" s="42" t="s">
        <v>762</v>
      </c>
      <c r="J10" s="42" t="s">
        <v>778</v>
      </c>
      <c r="K10" s="42" t="s">
        <v>272</v>
      </c>
      <c r="L10" s="42" t="s">
        <v>779</v>
      </c>
      <c r="M10" s="42">
        <f t="shared" si="0"/>
        <v>119</v>
      </c>
      <c r="N10" s="42" t="str">
        <f t="shared" si="1"/>
        <v>Uygun</v>
      </c>
      <c r="O10" s="42">
        <v>4</v>
      </c>
      <c r="P10" s="42" t="s">
        <v>765</v>
      </c>
    </row>
    <row r="11" spans="1:16" ht="30" customHeight="1" x14ac:dyDescent="0.2">
      <c r="A11" s="42">
        <v>197</v>
      </c>
      <c r="B11" s="42" t="s">
        <v>780</v>
      </c>
      <c r="C11" s="42" t="s">
        <v>745</v>
      </c>
      <c r="D11" s="42" t="s">
        <v>18</v>
      </c>
      <c r="E11" s="42">
        <v>1</v>
      </c>
      <c r="F11" s="42" t="s">
        <v>19</v>
      </c>
      <c r="G11" s="42" t="s">
        <v>28</v>
      </c>
      <c r="H11" s="42" t="s">
        <v>164</v>
      </c>
      <c r="I11" s="42" t="s">
        <v>762</v>
      </c>
      <c r="J11" s="42" t="s">
        <v>781</v>
      </c>
      <c r="K11" s="42" t="s">
        <v>278</v>
      </c>
      <c r="L11" s="42" t="s">
        <v>782</v>
      </c>
      <c r="M11" s="42">
        <f t="shared" si="0"/>
        <v>123</v>
      </c>
      <c r="N11" s="42" t="str">
        <f t="shared" si="1"/>
        <v>Uygun</v>
      </c>
      <c r="O11" s="42">
        <v>3</v>
      </c>
      <c r="P11" s="42" t="s">
        <v>765</v>
      </c>
    </row>
    <row r="12" spans="1:16" ht="45" customHeight="1" x14ac:dyDescent="0.2">
      <c r="A12" s="42">
        <v>198</v>
      </c>
      <c r="B12" s="42" t="s">
        <v>783</v>
      </c>
      <c r="C12" s="42" t="s">
        <v>745</v>
      </c>
      <c r="D12" s="42" t="s">
        <v>18</v>
      </c>
      <c r="E12" s="42">
        <v>1</v>
      </c>
      <c r="F12" s="42" t="s">
        <v>41</v>
      </c>
      <c r="G12" s="42" t="s">
        <v>28</v>
      </c>
      <c r="H12" s="42" t="s">
        <v>41</v>
      </c>
      <c r="I12" s="42" t="s">
        <v>784</v>
      </c>
      <c r="J12" s="42" t="s">
        <v>785</v>
      </c>
      <c r="K12" s="42" t="s">
        <v>283</v>
      </c>
      <c r="L12" s="42" t="s">
        <v>786</v>
      </c>
      <c r="M12" s="42">
        <f t="shared" si="0"/>
        <v>126</v>
      </c>
      <c r="N12" s="42" t="str">
        <f t="shared" si="1"/>
        <v>Uygun</v>
      </c>
      <c r="O12" s="42">
        <v>4</v>
      </c>
      <c r="P12" s="42" t="s">
        <v>787</v>
      </c>
    </row>
    <row r="13" spans="1:16" ht="45" customHeight="1" x14ac:dyDescent="0.2">
      <c r="A13" s="42">
        <v>199</v>
      </c>
      <c r="B13" s="42" t="s">
        <v>788</v>
      </c>
      <c r="C13" s="42" t="s">
        <v>745</v>
      </c>
      <c r="D13" s="42" t="s">
        <v>18</v>
      </c>
      <c r="E13" s="42">
        <v>1</v>
      </c>
      <c r="F13" s="42" t="s">
        <v>79</v>
      </c>
      <c r="G13" s="42" t="s">
        <v>20</v>
      </c>
      <c r="H13" s="42" t="s">
        <v>79</v>
      </c>
      <c r="I13" s="42" t="s">
        <v>270</v>
      </c>
      <c r="J13" s="42" t="s">
        <v>789</v>
      </c>
      <c r="K13" s="42" t="s">
        <v>287</v>
      </c>
      <c r="L13" s="42" t="s">
        <v>790</v>
      </c>
      <c r="M13" s="42">
        <f t="shared" si="0"/>
        <v>124</v>
      </c>
      <c r="N13" s="42" t="str">
        <f t="shared" si="1"/>
        <v>Uygun</v>
      </c>
      <c r="O13" s="42">
        <v>3</v>
      </c>
      <c r="P13" s="42" t="s">
        <v>760</v>
      </c>
    </row>
    <row r="14" spans="1:16" ht="45" customHeight="1" x14ac:dyDescent="0.2">
      <c r="A14" s="42">
        <v>200</v>
      </c>
      <c r="B14" s="42" t="s">
        <v>791</v>
      </c>
      <c r="C14" s="42" t="s">
        <v>745</v>
      </c>
      <c r="D14" s="42" t="s">
        <v>18</v>
      </c>
      <c r="E14" s="42">
        <v>1</v>
      </c>
      <c r="F14" s="42" t="s">
        <v>79</v>
      </c>
      <c r="G14" s="42" t="s">
        <v>20</v>
      </c>
      <c r="H14" s="42" t="s">
        <v>123</v>
      </c>
      <c r="I14" s="42" t="s">
        <v>527</v>
      </c>
      <c r="J14" s="42" t="s">
        <v>792</v>
      </c>
      <c r="K14" s="42" t="s">
        <v>272</v>
      </c>
      <c r="L14" s="42" t="s">
        <v>793</v>
      </c>
      <c r="M14" s="42">
        <f t="shared" si="0"/>
        <v>130</v>
      </c>
      <c r="N14" s="42" t="str">
        <f t="shared" si="1"/>
        <v>Uygun</v>
      </c>
      <c r="O14" s="42">
        <v>4</v>
      </c>
      <c r="P14" s="42" t="s">
        <v>794</v>
      </c>
    </row>
    <row r="15" spans="1:16" ht="45" customHeight="1" x14ac:dyDescent="0.2">
      <c r="A15" s="42">
        <v>201</v>
      </c>
      <c r="B15" s="42" t="s">
        <v>795</v>
      </c>
      <c r="C15" s="42" t="s">
        <v>745</v>
      </c>
      <c r="D15" s="42" t="s">
        <v>18</v>
      </c>
      <c r="E15" s="42">
        <v>1</v>
      </c>
      <c r="F15" s="42" t="s">
        <v>41</v>
      </c>
      <c r="G15" s="42" t="s">
        <v>28</v>
      </c>
      <c r="H15" s="42" t="s">
        <v>41</v>
      </c>
      <c r="I15" s="42" t="s">
        <v>784</v>
      </c>
      <c r="J15" s="42" t="s">
        <v>796</v>
      </c>
      <c r="K15" s="42" t="s">
        <v>278</v>
      </c>
      <c r="L15" s="42" t="s">
        <v>797</v>
      </c>
      <c r="M15" s="42">
        <f t="shared" si="0"/>
        <v>128</v>
      </c>
      <c r="N15" s="42" t="str">
        <f t="shared" si="1"/>
        <v>Uygun</v>
      </c>
      <c r="O15" s="42">
        <v>3</v>
      </c>
      <c r="P15" s="42" t="s">
        <v>787</v>
      </c>
    </row>
    <row r="16" spans="1:16" ht="45" customHeight="1" x14ac:dyDescent="0.2">
      <c r="A16" s="42">
        <v>202</v>
      </c>
      <c r="B16" s="42" t="s">
        <v>798</v>
      </c>
      <c r="C16" s="42" t="s">
        <v>745</v>
      </c>
      <c r="D16" s="42" t="s">
        <v>18</v>
      </c>
      <c r="E16" s="42">
        <v>1</v>
      </c>
      <c r="F16" s="42" t="s">
        <v>79</v>
      </c>
      <c r="G16" s="42" t="s">
        <v>20</v>
      </c>
      <c r="H16" s="42" t="s">
        <v>93</v>
      </c>
      <c r="I16" s="42" t="s">
        <v>270</v>
      </c>
      <c r="J16" s="42" t="s">
        <v>799</v>
      </c>
      <c r="K16" s="42" t="s">
        <v>283</v>
      </c>
      <c r="L16" s="42" t="s">
        <v>800</v>
      </c>
      <c r="M16" s="42">
        <f t="shared" si="0"/>
        <v>130</v>
      </c>
      <c r="N16" s="42" t="str">
        <f t="shared" si="1"/>
        <v>Uygun</v>
      </c>
      <c r="O16" s="42">
        <v>4</v>
      </c>
      <c r="P16" s="42" t="s">
        <v>760</v>
      </c>
    </row>
    <row r="17" spans="1:16" ht="45" customHeight="1" x14ac:dyDescent="0.2">
      <c r="A17" s="42">
        <v>203</v>
      </c>
      <c r="B17" s="42" t="s">
        <v>801</v>
      </c>
      <c r="C17" s="42" t="s">
        <v>745</v>
      </c>
      <c r="D17" s="42" t="s">
        <v>18</v>
      </c>
      <c r="E17" s="42">
        <v>1</v>
      </c>
      <c r="F17" s="42" t="s">
        <v>19</v>
      </c>
      <c r="G17" s="42" t="s">
        <v>28</v>
      </c>
      <c r="H17" s="42" t="s">
        <v>60</v>
      </c>
      <c r="I17" s="42" t="s">
        <v>579</v>
      </c>
      <c r="J17" s="42" t="s">
        <v>802</v>
      </c>
      <c r="K17" s="42" t="s">
        <v>287</v>
      </c>
      <c r="L17" s="42" t="s">
        <v>803</v>
      </c>
      <c r="M17" s="42">
        <f t="shared" si="0"/>
        <v>128</v>
      </c>
      <c r="N17" s="42" t="str">
        <f t="shared" si="1"/>
        <v>Uygun</v>
      </c>
      <c r="O17" s="42">
        <v>3</v>
      </c>
      <c r="P17" s="42" t="s">
        <v>804</v>
      </c>
    </row>
    <row r="18" spans="1:16" ht="45" customHeight="1" x14ac:dyDescent="0.2">
      <c r="A18" s="42">
        <v>204</v>
      </c>
      <c r="B18" s="42" t="s">
        <v>805</v>
      </c>
      <c r="C18" s="42" t="s">
        <v>745</v>
      </c>
      <c r="D18" s="42" t="s">
        <v>18</v>
      </c>
      <c r="E18" s="42">
        <v>1</v>
      </c>
      <c r="F18" s="42" t="s">
        <v>19</v>
      </c>
      <c r="G18" s="42" t="s">
        <v>28</v>
      </c>
      <c r="H18" s="42" t="s">
        <v>21</v>
      </c>
      <c r="I18" s="42" t="s">
        <v>762</v>
      </c>
      <c r="J18" s="42" t="s">
        <v>806</v>
      </c>
      <c r="K18" s="42" t="s">
        <v>272</v>
      </c>
      <c r="L18" s="42" t="s">
        <v>807</v>
      </c>
      <c r="M18" s="42">
        <f t="shared" si="0"/>
        <v>123</v>
      </c>
      <c r="N18" s="42" t="str">
        <f t="shared" si="1"/>
        <v>Uygun</v>
      </c>
      <c r="O18" s="42">
        <v>4</v>
      </c>
      <c r="P18" s="42" t="s">
        <v>765</v>
      </c>
    </row>
    <row r="19" spans="1:16" ht="45" customHeight="1" x14ac:dyDescent="0.2">
      <c r="A19" s="42">
        <v>205</v>
      </c>
      <c r="B19" s="42" t="s">
        <v>808</v>
      </c>
      <c r="C19" s="42" t="s">
        <v>745</v>
      </c>
      <c r="D19" s="42" t="s">
        <v>18</v>
      </c>
      <c r="E19" s="42">
        <v>1</v>
      </c>
      <c r="F19" s="42" t="s">
        <v>19</v>
      </c>
      <c r="G19" s="42" t="s">
        <v>28</v>
      </c>
      <c r="H19" s="42" t="s">
        <v>132</v>
      </c>
      <c r="I19" s="42" t="s">
        <v>770</v>
      </c>
      <c r="J19" s="42" t="s">
        <v>809</v>
      </c>
      <c r="K19" s="42" t="s">
        <v>278</v>
      </c>
      <c r="L19" s="42" t="s">
        <v>810</v>
      </c>
      <c r="M19" s="42">
        <f t="shared" si="0"/>
        <v>124</v>
      </c>
      <c r="N19" s="42" t="str">
        <f t="shared" si="1"/>
        <v>Uygun</v>
      </c>
      <c r="O19" s="42">
        <v>3</v>
      </c>
      <c r="P19" s="42" t="s">
        <v>773</v>
      </c>
    </row>
    <row r="20" spans="1:16" ht="45" customHeight="1" x14ac:dyDescent="0.2">
      <c r="A20" s="42">
        <v>206</v>
      </c>
      <c r="B20" s="42" t="s">
        <v>811</v>
      </c>
      <c r="C20" s="42" t="s">
        <v>745</v>
      </c>
      <c r="D20" s="42" t="s">
        <v>18</v>
      </c>
      <c r="E20" s="42">
        <v>1</v>
      </c>
      <c r="F20" s="42" t="s">
        <v>212</v>
      </c>
      <c r="G20" s="42" t="s">
        <v>20</v>
      </c>
      <c r="H20" s="42" t="s">
        <v>231</v>
      </c>
      <c r="I20" s="42" t="s">
        <v>784</v>
      </c>
      <c r="J20" s="42" t="s">
        <v>812</v>
      </c>
      <c r="K20" s="42" t="s">
        <v>283</v>
      </c>
      <c r="L20" s="42" t="s">
        <v>813</v>
      </c>
      <c r="M20" s="42">
        <f t="shared" si="0"/>
        <v>117</v>
      </c>
      <c r="N20" s="42" t="str">
        <f t="shared" si="1"/>
        <v>Uygun</v>
      </c>
      <c r="O20" s="42">
        <v>4</v>
      </c>
      <c r="P20" s="42" t="s">
        <v>787</v>
      </c>
    </row>
    <row r="21" spans="1:16" ht="30" customHeight="1" x14ac:dyDescent="0.2">
      <c r="A21" s="42">
        <v>207</v>
      </c>
      <c r="B21" s="42" t="s">
        <v>814</v>
      </c>
      <c r="C21" s="42" t="s">
        <v>745</v>
      </c>
      <c r="D21" s="42" t="s">
        <v>18</v>
      </c>
      <c r="E21" s="42">
        <v>1</v>
      </c>
      <c r="F21" s="42" t="s">
        <v>79</v>
      </c>
      <c r="G21" s="42" t="s">
        <v>20</v>
      </c>
      <c r="H21" s="42" t="s">
        <v>79</v>
      </c>
      <c r="I21" s="42" t="s">
        <v>270</v>
      </c>
      <c r="J21" s="42" t="s">
        <v>815</v>
      </c>
      <c r="K21" s="42" t="s">
        <v>287</v>
      </c>
      <c r="L21" s="42" t="s">
        <v>816</v>
      </c>
      <c r="M21" s="42">
        <f t="shared" si="0"/>
        <v>120</v>
      </c>
      <c r="N21" s="42" t="str">
        <f t="shared" si="1"/>
        <v>Uygun</v>
      </c>
      <c r="O21" s="42">
        <v>3</v>
      </c>
      <c r="P21" s="42" t="s">
        <v>760</v>
      </c>
    </row>
    <row r="22" spans="1:16" ht="45" customHeight="1" x14ac:dyDescent="0.2">
      <c r="A22" s="42">
        <v>208</v>
      </c>
      <c r="B22" s="42" t="s">
        <v>817</v>
      </c>
      <c r="C22" s="42" t="s">
        <v>745</v>
      </c>
      <c r="D22" s="42" t="s">
        <v>18</v>
      </c>
      <c r="E22" s="42">
        <v>1</v>
      </c>
      <c r="F22" s="42" t="s">
        <v>19</v>
      </c>
      <c r="G22" s="42" t="s">
        <v>28</v>
      </c>
      <c r="H22" s="42" t="s">
        <v>123</v>
      </c>
      <c r="I22" s="42" t="s">
        <v>762</v>
      </c>
      <c r="J22" s="42" t="s">
        <v>818</v>
      </c>
      <c r="K22" s="42" t="s">
        <v>272</v>
      </c>
      <c r="L22" s="42" t="s">
        <v>819</v>
      </c>
      <c r="M22" s="42">
        <f t="shared" si="0"/>
        <v>127</v>
      </c>
      <c r="N22" s="42" t="str">
        <f t="shared" si="1"/>
        <v>Uygun</v>
      </c>
      <c r="O22" s="42">
        <v>4</v>
      </c>
      <c r="P22" s="42" t="s">
        <v>765</v>
      </c>
    </row>
    <row r="23" spans="1:16" ht="30" customHeight="1" x14ac:dyDescent="0.2">
      <c r="A23" s="42">
        <v>209</v>
      </c>
      <c r="B23" s="42" t="s">
        <v>820</v>
      </c>
      <c r="C23" s="42" t="s">
        <v>745</v>
      </c>
      <c r="D23" s="42" t="s">
        <v>18</v>
      </c>
      <c r="E23" s="42">
        <v>1</v>
      </c>
      <c r="F23" s="42" t="s">
        <v>19</v>
      </c>
      <c r="G23" s="42" t="s">
        <v>28</v>
      </c>
      <c r="H23" s="42" t="s">
        <v>154</v>
      </c>
      <c r="I23" s="42" t="s">
        <v>762</v>
      </c>
      <c r="J23" s="42" t="s">
        <v>821</v>
      </c>
      <c r="K23" s="42" t="s">
        <v>278</v>
      </c>
      <c r="L23" s="42" t="s">
        <v>822</v>
      </c>
      <c r="M23" s="42">
        <f t="shared" si="0"/>
        <v>122</v>
      </c>
      <c r="N23" s="42" t="str">
        <f t="shared" si="1"/>
        <v>Uygun</v>
      </c>
      <c r="O23" s="42">
        <v>3</v>
      </c>
      <c r="P23" s="42" t="s">
        <v>765</v>
      </c>
    </row>
    <row r="24" spans="1:16" ht="45" customHeight="1" x14ac:dyDescent="0.2">
      <c r="A24" s="42">
        <v>210</v>
      </c>
      <c r="B24" s="42" t="s">
        <v>823</v>
      </c>
      <c r="C24" s="42" t="s">
        <v>745</v>
      </c>
      <c r="D24" s="42" t="s">
        <v>18</v>
      </c>
      <c r="E24" s="42">
        <v>1</v>
      </c>
      <c r="F24" s="42" t="s">
        <v>19</v>
      </c>
      <c r="G24" s="42" t="s">
        <v>28</v>
      </c>
      <c r="H24" s="42" t="s">
        <v>110</v>
      </c>
      <c r="I24" s="42" t="s">
        <v>762</v>
      </c>
      <c r="J24" s="42" t="s">
        <v>824</v>
      </c>
      <c r="K24" s="42" t="s">
        <v>283</v>
      </c>
      <c r="L24" s="42" t="s">
        <v>825</v>
      </c>
      <c r="M24" s="42">
        <f t="shared" si="0"/>
        <v>124</v>
      </c>
      <c r="N24" s="42" t="str">
        <f t="shared" si="1"/>
        <v>Uygun</v>
      </c>
      <c r="O24" s="42">
        <v>4</v>
      </c>
      <c r="P24" s="42" t="s">
        <v>765</v>
      </c>
    </row>
    <row r="25" spans="1:16" ht="30" customHeight="1" x14ac:dyDescent="0.2">
      <c r="A25" s="42">
        <v>211</v>
      </c>
      <c r="B25" s="42" t="s">
        <v>826</v>
      </c>
      <c r="C25" s="42" t="s">
        <v>745</v>
      </c>
      <c r="D25" s="42" t="s">
        <v>18</v>
      </c>
      <c r="E25" s="42">
        <v>1</v>
      </c>
      <c r="F25" s="42" t="s">
        <v>41</v>
      </c>
      <c r="G25" s="42" t="s">
        <v>28</v>
      </c>
      <c r="H25" s="42" t="s">
        <v>53</v>
      </c>
      <c r="I25" s="42" t="s">
        <v>784</v>
      </c>
      <c r="J25" s="42" t="s">
        <v>827</v>
      </c>
      <c r="K25" s="42" t="s">
        <v>287</v>
      </c>
      <c r="L25" s="42" t="s">
        <v>828</v>
      </c>
      <c r="M25" s="42">
        <f t="shared" si="0"/>
        <v>119</v>
      </c>
      <c r="N25" s="42" t="str">
        <f t="shared" si="1"/>
        <v>Uygun</v>
      </c>
      <c r="O25" s="42">
        <v>3</v>
      </c>
      <c r="P25" s="42" t="s">
        <v>787</v>
      </c>
    </row>
    <row r="26" spans="1:16" ht="30" customHeight="1" x14ac:dyDescent="0.2">
      <c r="A26" s="42">
        <v>212</v>
      </c>
      <c r="B26" s="42" t="s">
        <v>829</v>
      </c>
      <c r="C26" s="42" t="s">
        <v>745</v>
      </c>
      <c r="D26" s="42" t="s">
        <v>18</v>
      </c>
      <c r="E26" s="42">
        <v>1</v>
      </c>
      <c r="F26" s="42" t="s">
        <v>19</v>
      </c>
      <c r="G26" s="42" t="s">
        <v>28</v>
      </c>
      <c r="H26" s="42" t="s">
        <v>174</v>
      </c>
      <c r="I26" s="42" t="s">
        <v>762</v>
      </c>
      <c r="J26" s="42" t="s">
        <v>830</v>
      </c>
      <c r="K26" s="42" t="s">
        <v>272</v>
      </c>
      <c r="L26" s="42" t="s">
        <v>831</v>
      </c>
      <c r="M26" s="42">
        <f t="shared" si="0"/>
        <v>117</v>
      </c>
      <c r="N26" s="42" t="str">
        <f t="shared" si="1"/>
        <v>Uygun</v>
      </c>
      <c r="O26" s="42">
        <v>4</v>
      </c>
      <c r="P26" s="42" t="s">
        <v>765</v>
      </c>
    </row>
    <row r="27" spans="1:16" ht="45" customHeight="1" x14ac:dyDescent="0.2">
      <c r="A27" s="42">
        <v>213</v>
      </c>
      <c r="B27" s="42" t="s">
        <v>832</v>
      </c>
      <c r="C27" s="42" t="s">
        <v>745</v>
      </c>
      <c r="D27" s="42" t="s">
        <v>18</v>
      </c>
      <c r="E27" s="42">
        <v>1</v>
      </c>
      <c r="F27" s="42" t="s">
        <v>19</v>
      </c>
      <c r="G27" s="42" t="s">
        <v>28</v>
      </c>
      <c r="H27" s="42" t="s">
        <v>73</v>
      </c>
      <c r="I27" s="42" t="s">
        <v>762</v>
      </c>
      <c r="J27" s="42" t="s">
        <v>833</v>
      </c>
      <c r="K27" s="42" t="s">
        <v>278</v>
      </c>
      <c r="L27" s="42" t="s">
        <v>834</v>
      </c>
      <c r="M27" s="42">
        <f t="shared" si="0"/>
        <v>124</v>
      </c>
      <c r="N27" s="42" t="str">
        <f t="shared" si="1"/>
        <v>Uygun</v>
      </c>
      <c r="O27" s="42">
        <v>3</v>
      </c>
      <c r="P27" s="42" t="s">
        <v>765</v>
      </c>
    </row>
    <row r="28" spans="1:16" ht="45" customHeight="1" x14ac:dyDescent="0.2">
      <c r="A28" s="42">
        <v>214</v>
      </c>
      <c r="B28" s="42" t="s">
        <v>835</v>
      </c>
      <c r="C28" s="42" t="s">
        <v>745</v>
      </c>
      <c r="D28" s="42" t="s">
        <v>18</v>
      </c>
      <c r="E28" s="42">
        <v>1</v>
      </c>
      <c r="F28" s="42" t="s">
        <v>19</v>
      </c>
      <c r="G28" s="42" t="s">
        <v>28</v>
      </c>
      <c r="H28" s="42" t="s">
        <v>174</v>
      </c>
      <c r="I28" s="42" t="s">
        <v>762</v>
      </c>
      <c r="J28" s="42" t="s">
        <v>836</v>
      </c>
      <c r="K28" s="42" t="s">
        <v>283</v>
      </c>
      <c r="L28" s="42" t="s">
        <v>837</v>
      </c>
      <c r="M28" s="42">
        <f t="shared" si="0"/>
        <v>125</v>
      </c>
      <c r="N28" s="42" t="str">
        <f t="shared" si="1"/>
        <v>Uygun</v>
      </c>
      <c r="O28" s="42">
        <v>4</v>
      </c>
      <c r="P28" s="42" t="s">
        <v>765</v>
      </c>
    </row>
    <row r="29" spans="1:16" ht="45" customHeight="1" x14ac:dyDescent="0.2">
      <c r="A29" s="42">
        <v>215</v>
      </c>
      <c r="B29" s="42" t="s">
        <v>838</v>
      </c>
      <c r="C29" s="42" t="s">
        <v>745</v>
      </c>
      <c r="D29" s="42" t="s">
        <v>18</v>
      </c>
      <c r="E29" s="42">
        <v>1</v>
      </c>
      <c r="F29" s="42" t="s">
        <v>19</v>
      </c>
      <c r="G29" s="42" t="s">
        <v>28</v>
      </c>
      <c r="H29" s="42" t="s">
        <v>132</v>
      </c>
      <c r="I29" s="42" t="s">
        <v>762</v>
      </c>
      <c r="J29" s="42" t="s">
        <v>839</v>
      </c>
      <c r="K29" s="42" t="s">
        <v>287</v>
      </c>
      <c r="L29" s="42" t="s">
        <v>840</v>
      </c>
      <c r="M29" s="42">
        <f t="shared" si="0"/>
        <v>125</v>
      </c>
      <c r="N29" s="42" t="str">
        <f t="shared" si="1"/>
        <v>Uygun</v>
      </c>
      <c r="O29" s="42">
        <v>3</v>
      </c>
      <c r="P29" s="42" t="s">
        <v>765</v>
      </c>
    </row>
    <row r="30" spans="1:16" ht="45" customHeight="1" x14ac:dyDescent="0.2">
      <c r="A30" s="42">
        <v>216</v>
      </c>
      <c r="B30" s="42" t="s">
        <v>841</v>
      </c>
      <c r="C30" s="42" t="s">
        <v>745</v>
      </c>
      <c r="D30" s="42" t="s">
        <v>18</v>
      </c>
      <c r="E30" s="42">
        <v>1</v>
      </c>
      <c r="F30" s="42" t="s">
        <v>19</v>
      </c>
      <c r="G30" s="42" t="s">
        <v>20</v>
      </c>
      <c r="H30" s="42" t="s">
        <v>110</v>
      </c>
      <c r="I30" s="42" t="s">
        <v>762</v>
      </c>
      <c r="J30" s="42" t="s">
        <v>842</v>
      </c>
      <c r="K30" s="42" t="s">
        <v>272</v>
      </c>
      <c r="L30" s="42" t="s">
        <v>843</v>
      </c>
      <c r="M30" s="42">
        <f t="shared" si="0"/>
        <v>130</v>
      </c>
      <c r="N30" s="42" t="str">
        <f t="shared" si="1"/>
        <v>Uygun</v>
      </c>
      <c r="O30" s="42">
        <v>4</v>
      </c>
      <c r="P30" s="42" t="s">
        <v>765</v>
      </c>
    </row>
    <row r="31" spans="1:16" ht="30" customHeight="1" x14ac:dyDescent="0.2">
      <c r="A31" s="42">
        <v>217</v>
      </c>
      <c r="B31" s="42" t="s">
        <v>844</v>
      </c>
      <c r="C31" s="42" t="s">
        <v>745</v>
      </c>
      <c r="D31" s="42" t="s">
        <v>18</v>
      </c>
      <c r="E31" s="42">
        <v>1</v>
      </c>
      <c r="F31" s="42" t="s">
        <v>41</v>
      </c>
      <c r="G31" s="42" t="s">
        <v>20</v>
      </c>
      <c r="H31" s="42" t="s">
        <v>41</v>
      </c>
      <c r="I31" s="42" t="s">
        <v>784</v>
      </c>
      <c r="J31" s="42" t="s">
        <v>845</v>
      </c>
      <c r="K31" s="42" t="s">
        <v>278</v>
      </c>
      <c r="L31" s="42" t="s">
        <v>846</v>
      </c>
      <c r="M31" s="42">
        <f t="shared" si="0"/>
        <v>127</v>
      </c>
      <c r="N31" s="42" t="str">
        <f t="shared" si="1"/>
        <v>Uygun</v>
      </c>
      <c r="O31" s="42">
        <v>3</v>
      </c>
      <c r="P31" s="42" t="s">
        <v>787</v>
      </c>
    </row>
    <row r="32" spans="1:16" ht="45" customHeight="1" x14ac:dyDescent="0.2">
      <c r="A32" s="42">
        <v>218</v>
      </c>
      <c r="B32" s="42" t="s">
        <v>847</v>
      </c>
      <c r="C32" s="42" t="s">
        <v>745</v>
      </c>
      <c r="D32" s="42" t="s">
        <v>18</v>
      </c>
      <c r="E32" s="42">
        <v>1</v>
      </c>
      <c r="F32" s="42" t="s">
        <v>41</v>
      </c>
      <c r="G32" s="42" t="s">
        <v>28</v>
      </c>
      <c r="H32" s="42" t="s">
        <v>41</v>
      </c>
      <c r="I32" s="42" t="s">
        <v>784</v>
      </c>
      <c r="J32" s="42" t="s">
        <v>848</v>
      </c>
      <c r="K32" s="42" t="s">
        <v>283</v>
      </c>
      <c r="L32" s="42" t="s">
        <v>849</v>
      </c>
      <c r="M32" s="42">
        <f t="shared" si="0"/>
        <v>117</v>
      </c>
      <c r="N32" s="42" t="str">
        <f t="shared" si="1"/>
        <v>Uygun</v>
      </c>
      <c r="O32" s="42">
        <v>4</v>
      </c>
      <c r="P32" s="42" t="s">
        <v>787</v>
      </c>
    </row>
    <row r="33" spans="1:16" ht="45" customHeight="1" x14ac:dyDescent="0.2">
      <c r="A33" s="42">
        <v>219</v>
      </c>
      <c r="B33" s="42" t="s">
        <v>850</v>
      </c>
      <c r="C33" s="42" t="s">
        <v>745</v>
      </c>
      <c r="D33" s="42" t="s">
        <v>18</v>
      </c>
      <c r="E33" s="42">
        <v>1</v>
      </c>
      <c r="F33" s="42" t="s">
        <v>79</v>
      </c>
      <c r="G33" s="42" t="s">
        <v>269</v>
      </c>
      <c r="H33" s="42" t="s">
        <v>93</v>
      </c>
      <c r="I33" s="42" t="s">
        <v>270</v>
      </c>
      <c r="J33" s="42" t="s">
        <v>851</v>
      </c>
      <c r="K33" s="42" t="s">
        <v>287</v>
      </c>
      <c r="L33" s="42" t="s">
        <v>852</v>
      </c>
      <c r="M33" s="42">
        <f t="shared" si="0"/>
        <v>126</v>
      </c>
      <c r="N33" s="42" t="str">
        <f t="shared" si="1"/>
        <v>Uygun</v>
      </c>
      <c r="O33" s="42">
        <v>3</v>
      </c>
      <c r="P33" s="42" t="s">
        <v>760</v>
      </c>
    </row>
    <row r="34" spans="1:16" ht="45" customHeight="1" x14ac:dyDescent="0.2">
      <c r="A34" s="42">
        <v>220</v>
      </c>
      <c r="B34" s="42" t="s">
        <v>853</v>
      </c>
      <c r="C34" s="42" t="s">
        <v>745</v>
      </c>
      <c r="D34" s="42" t="s">
        <v>163</v>
      </c>
      <c r="E34" s="42">
        <v>2</v>
      </c>
      <c r="F34" s="42" t="s">
        <v>79</v>
      </c>
      <c r="G34" s="42" t="s">
        <v>28</v>
      </c>
      <c r="H34" s="42" t="s">
        <v>79</v>
      </c>
      <c r="I34" s="42" t="s">
        <v>378</v>
      </c>
      <c r="J34" s="42" t="s">
        <v>854</v>
      </c>
      <c r="K34" s="42" t="s">
        <v>380</v>
      </c>
      <c r="L34" s="42" t="s">
        <v>855</v>
      </c>
      <c r="M34" s="42">
        <f t="shared" ref="M34:M63" si="2">LEN(L34)</f>
        <v>127</v>
      </c>
      <c r="N34" s="42" t="str">
        <f t="shared" ref="N34:N63" si="3">IF(L34="","Eksik",IF(M34&lt;=130,"Uygun","130 karakteri aşıyor"))</f>
        <v>Uygun</v>
      </c>
      <c r="O34" s="42">
        <v>5</v>
      </c>
      <c r="P34" s="42" t="s">
        <v>856</v>
      </c>
    </row>
    <row r="35" spans="1:16" ht="30" customHeight="1" x14ac:dyDescent="0.2">
      <c r="A35" s="42">
        <v>221</v>
      </c>
      <c r="B35" s="42" t="s">
        <v>857</v>
      </c>
      <c r="C35" s="42" t="s">
        <v>745</v>
      </c>
      <c r="D35" s="42" t="s">
        <v>163</v>
      </c>
      <c r="E35" s="42">
        <v>2</v>
      </c>
      <c r="F35" s="42" t="s">
        <v>19</v>
      </c>
      <c r="G35" s="42" t="s">
        <v>269</v>
      </c>
      <c r="H35" s="42" t="s">
        <v>110</v>
      </c>
      <c r="I35" s="42" t="s">
        <v>398</v>
      </c>
      <c r="J35" s="42" t="s">
        <v>858</v>
      </c>
      <c r="K35" s="42" t="s">
        <v>385</v>
      </c>
      <c r="L35" s="42" t="s">
        <v>859</v>
      </c>
      <c r="M35" s="42">
        <f t="shared" si="2"/>
        <v>122</v>
      </c>
      <c r="N35" s="42" t="str">
        <f t="shared" si="3"/>
        <v>Uygun</v>
      </c>
      <c r="O35" s="42">
        <v>5</v>
      </c>
      <c r="P35" s="42" t="s">
        <v>860</v>
      </c>
    </row>
    <row r="36" spans="1:16" ht="45" customHeight="1" x14ac:dyDescent="0.2">
      <c r="A36" s="42">
        <v>222</v>
      </c>
      <c r="B36" s="42" t="s">
        <v>861</v>
      </c>
      <c r="C36" s="42" t="s">
        <v>745</v>
      </c>
      <c r="D36" s="42" t="s">
        <v>163</v>
      </c>
      <c r="E36" s="42">
        <v>2</v>
      </c>
      <c r="F36" s="42" t="s">
        <v>19</v>
      </c>
      <c r="G36" s="42" t="s">
        <v>20</v>
      </c>
      <c r="H36" s="42" t="s">
        <v>47</v>
      </c>
      <c r="I36" s="42" t="s">
        <v>650</v>
      </c>
      <c r="J36" s="42" t="s">
        <v>862</v>
      </c>
      <c r="K36" s="42" t="s">
        <v>389</v>
      </c>
      <c r="L36" s="42" t="s">
        <v>863</v>
      </c>
      <c r="M36" s="42">
        <f t="shared" si="2"/>
        <v>120</v>
      </c>
      <c r="N36" s="42" t="str">
        <f t="shared" si="3"/>
        <v>Uygun</v>
      </c>
      <c r="O36" s="42">
        <v>5</v>
      </c>
      <c r="P36" s="42" t="s">
        <v>864</v>
      </c>
    </row>
    <row r="37" spans="1:16" ht="45" customHeight="1" x14ac:dyDescent="0.2">
      <c r="A37" s="42">
        <v>223</v>
      </c>
      <c r="B37" s="42" t="s">
        <v>865</v>
      </c>
      <c r="C37" s="42" t="s">
        <v>745</v>
      </c>
      <c r="D37" s="42" t="s">
        <v>163</v>
      </c>
      <c r="E37" s="42">
        <v>2</v>
      </c>
      <c r="F37" s="42" t="s">
        <v>19</v>
      </c>
      <c r="G37" s="42" t="s">
        <v>28</v>
      </c>
      <c r="H37" s="42" t="s">
        <v>123</v>
      </c>
      <c r="I37" s="42" t="s">
        <v>398</v>
      </c>
      <c r="J37" s="42" t="s">
        <v>866</v>
      </c>
      <c r="K37" s="42" t="s">
        <v>394</v>
      </c>
      <c r="L37" s="42" t="s">
        <v>867</v>
      </c>
      <c r="M37" s="42">
        <f t="shared" si="2"/>
        <v>117</v>
      </c>
      <c r="N37" s="42" t="str">
        <f t="shared" si="3"/>
        <v>Uygun</v>
      </c>
      <c r="O37" s="42">
        <v>5</v>
      </c>
      <c r="P37" s="42" t="s">
        <v>860</v>
      </c>
    </row>
    <row r="38" spans="1:16" ht="45" customHeight="1" x14ac:dyDescent="0.2">
      <c r="A38" s="42">
        <v>224</v>
      </c>
      <c r="B38" s="42" t="s">
        <v>868</v>
      </c>
      <c r="C38" s="42" t="s">
        <v>745</v>
      </c>
      <c r="D38" s="42" t="s">
        <v>163</v>
      </c>
      <c r="E38" s="42">
        <v>2</v>
      </c>
      <c r="F38" s="42" t="s">
        <v>412</v>
      </c>
      <c r="G38" s="42" t="s">
        <v>269</v>
      </c>
      <c r="H38" s="42" t="s">
        <v>21</v>
      </c>
      <c r="I38" s="42" t="s">
        <v>621</v>
      </c>
      <c r="J38" s="42" t="s">
        <v>869</v>
      </c>
      <c r="K38" s="42" t="s">
        <v>380</v>
      </c>
      <c r="L38" s="42" t="s">
        <v>870</v>
      </c>
      <c r="M38" s="42">
        <f t="shared" si="2"/>
        <v>117</v>
      </c>
      <c r="N38" s="42" t="str">
        <f t="shared" si="3"/>
        <v>Uygun</v>
      </c>
      <c r="O38" s="42">
        <v>5</v>
      </c>
      <c r="P38" s="42" t="s">
        <v>871</v>
      </c>
    </row>
    <row r="39" spans="1:16" ht="45" customHeight="1" x14ac:dyDescent="0.2">
      <c r="A39" s="42">
        <v>225</v>
      </c>
      <c r="B39" s="42" t="s">
        <v>872</v>
      </c>
      <c r="C39" s="42" t="s">
        <v>745</v>
      </c>
      <c r="D39" s="42" t="s">
        <v>163</v>
      </c>
      <c r="E39" s="42">
        <v>2</v>
      </c>
      <c r="F39" s="42" t="s">
        <v>79</v>
      </c>
      <c r="G39" s="42" t="s">
        <v>28</v>
      </c>
      <c r="H39" s="42" t="s">
        <v>79</v>
      </c>
      <c r="I39" s="42" t="s">
        <v>378</v>
      </c>
      <c r="J39" s="42" t="s">
        <v>873</v>
      </c>
      <c r="K39" s="42" t="s">
        <v>385</v>
      </c>
      <c r="L39" s="42" t="s">
        <v>874</v>
      </c>
      <c r="M39" s="42">
        <f t="shared" si="2"/>
        <v>124</v>
      </c>
      <c r="N39" s="42" t="str">
        <f t="shared" si="3"/>
        <v>Uygun</v>
      </c>
      <c r="O39" s="42">
        <v>5</v>
      </c>
      <c r="P39" s="42" t="s">
        <v>856</v>
      </c>
    </row>
    <row r="40" spans="1:16" ht="45" customHeight="1" x14ac:dyDescent="0.2">
      <c r="A40" s="42">
        <v>226</v>
      </c>
      <c r="B40" s="42" t="s">
        <v>875</v>
      </c>
      <c r="C40" s="42" t="s">
        <v>745</v>
      </c>
      <c r="D40" s="42" t="s">
        <v>163</v>
      </c>
      <c r="E40" s="42">
        <v>2</v>
      </c>
      <c r="F40" s="42" t="s">
        <v>412</v>
      </c>
      <c r="G40" s="42" t="s">
        <v>28</v>
      </c>
      <c r="H40" s="42" t="s">
        <v>93</v>
      </c>
      <c r="I40" s="42" t="s">
        <v>876</v>
      </c>
      <c r="J40" s="42" t="s">
        <v>877</v>
      </c>
      <c r="K40" s="42" t="s">
        <v>389</v>
      </c>
      <c r="L40" s="42" t="s">
        <v>878</v>
      </c>
      <c r="M40" s="42">
        <f t="shared" si="2"/>
        <v>128</v>
      </c>
      <c r="N40" s="42" t="str">
        <f t="shared" si="3"/>
        <v>Uygun</v>
      </c>
      <c r="O40" s="42">
        <v>5</v>
      </c>
      <c r="P40" s="42" t="s">
        <v>879</v>
      </c>
    </row>
    <row r="41" spans="1:16" ht="45" customHeight="1" x14ac:dyDescent="0.2">
      <c r="A41" s="42">
        <v>227</v>
      </c>
      <c r="B41" s="42" t="s">
        <v>880</v>
      </c>
      <c r="C41" s="42" t="s">
        <v>745</v>
      </c>
      <c r="D41" s="42" t="s">
        <v>163</v>
      </c>
      <c r="E41" s="42">
        <v>2</v>
      </c>
      <c r="F41" s="42" t="s">
        <v>41</v>
      </c>
      <c r="G41" s="42" t="s">
        <v>20</v>
      </c>
      <c r="H41" s="42" t="s">
        <v>60</v>
      </c>
      <c r="I41" s="42" t="s">
        <v>881</v>
      </c>
      <c r="J41" s="42" t="s">
        <v>882</v>
      </c>
      <c r="K41" s="42" t="s">
        <v>394</v>
      </c>
      <c r="L41" s="42" t="s">
        <v>883</v>
      </c>
      <c r="M41" s="42">
        <f t="shared" si="2"/>
        <v>125</v>
      </c>
      <c r="N41" s="42" t="str">
        <f t="shared" si="3"/>
        <v>Uygun</v>
      </c>
      <c r="O41" s="42">
        <v>5</v>
      </c>
      <c r="P41" s="42" t="s">
        <v>884</v>
      </c>
    </row>
    <row r="42" spans="1:16" ht="30" customHeight="1" x14ac:dyDescent="0.2">
      <c r="A42" s="42">
        <v>228</v>
      </c>
      <c r="B42" s="42" t="s">
        <v>885</v>
      </c>
      <c r="C42" s="42" t="s">
        <v>745</v>
      </c>
      <c r="D42" s="42" t="s">
        <v>163</v>
      </c>
      <c r="E42" s="42">
        <v>2</v>
      </c>
      <c r="F42" s="42" t="s">
        <v>356</v>
      </c>
      <c r="G42" s="42" t="s">
        <v>28</v>
      </c>
      <c r="H42" s="42" t="s">
        <v>34</v>
      </c>
      <c r="I42" s="42" t="s">
        <v>398</v>
      </c>
      <c r="J42" s="42" t="s">
        <v>886</v>
      </c>
      <c r="K42" s="42" t="s">
        <v>380</v>
      </c>
      <c r="L42" s="42" t="s">
        <v>887</v>
      </c>
      <c r="M42" s="42">
        <f t="shared" si="2"/>
        <v>117</v>
      </c>
      <c r="N42" s="42" t="str">
        <f t="shared" si="3"/>
        <v>Uygun</v>
      </c>
      <c r="O42" s="42">
        <v>5</v>
      </c>
      <c r="P42" s="42" t="s">
        <v>860</v>
      </c>
    </row>
    <row r="43" spans="1:16" ht="45" customHeight="1" x14ac:dyDescent="0.2">
      <c r="A43" s="42">
        <v>229</v>
      </c>
      <c r="B43" s="42" t="s">
        <v>888</v>
      </c>
      <c r="C43" s="42" t="s">
        <v>745</v>
      </c>
      <c r="D43" s="42" t="s">
        <v>163</v>
      </c>
      <c r="E43" s="42">
        <v>2</v>
      </c>
      <c r="F43" s="42" t="s">
        <v>212</v>
      </c>
      <c r="G43" s="42" t="s">
        <v>28</v>
      </c>
      <c r="H43" s="42" t="s">
        <v>123</v>
      </c>
      <c r="I43" s="42" t="s">
        <v>670</v>
      </c>
      <c r="J43" s="42" t="s">
        <v>889</v>
      </c>
      <c r="K43" s="42" t="s">
        <v>385</v>
      </c>
      <c r="L43" s="42" t="s">
        <v>890</v>
      </c>
      <c r="M43" s="42">
        <f t="shared" si="2"/>
        <v>122</v>
      </c>
      <c r="N43" s="42" t="str">
        <f t="shared" si="3"/>
        <v>Uygun</v>
      </c>
      <c r="O43" s="42">
        <v>5</v>
      </c>
      <c r="P43" s="42" t="s">
        <v>891</v>
      </c>
    </row>
    <row r="44" spans="1:16" ht="45" customHeight="1" x14ac:dyDescent="0.2">
      <c r="A44" s="42">
        <v>230</v>
      </c>
      <c r="B44" s="42" t="s">
        <v>892</v>
      </c>
      <c r="C44" s="42" t="s">
        <v>745</v>
      </c>
      <c r="D44" s="42" t="s">
        <v>163</v>
      </c>
      <c r="E44" s="42">
        <v>2</v>
      </c>
      <c r="F44" s="42" t="s">
        <v>41</v>
      </c>
      <c r="G44" s="42" t="s">
        <v>20</v>
      </c>
      <c r="H44" s="42" t="s">
        <v>53</v>
      </c>
      <c r="I44" s="42" t="s">
        <v>881</v>
      </c>
      <c r="J44" s="42" t="s">
        <v>893</v>
      </c>
      <c r="K44" s="42" t="s">
        <v>389</v>
      </c>
      <c r="L44" s="42" t="s">
        <v>894</v>
      </c>
      <c r="M44" s="42">
        <f t="shared" si="2"/>
        <v>127</v>
      </c>
      <c r="N44" s="42" t="str">
        <f t="shared" si="3"/>
        <v>Uygun</v>
      </c>
      <c r="O44" s="42">
        <v>5</v>
      </c>
      <c r="P44" s="42" t="s">
        <v>884</v>
      </c>
    </row>
    <row r="45" spans="1:16" ht="45" customHeight="1" x14ac:dyDescent="0.2">
      <c r="A45" s="42">
        <v>231</v>
      </c>
      <c r="B45" s="42" t="s">
        <v>895</v>
      </c>
      <c r="C45" s="42" t="s">
        <v>745</v>
      </c>
      <c r="D45" s="42" t="s">
        <v>163</v>
      </c>
      <c r="E45" s="42">
        <v>2</v>
      </c>
      <c r="F45" s="42" t="s">
        <v>41</v>
      </c>
      <c r="G45" s="42" t="s">
        <v>28</v>
      </c>
      <c r="H45" s="42" t="s">
        <v>73</v>
      </c>
      <c r="I45" s="42" t="s">
        <v>881</v>
      </c>
      <c r="J45" s="42" t="s">
        <v>896</v>
      </c>
      <c r="K45" s="42" t="s">
        <v>394</v>
      </c>
      <c r="L45" s="42" t="s">
        <v>897</v>
      </c>
      <c r="M45" s="42">
        <f t="shared" si="2"/>
        <v>126</v>
      </c>
      <c r="N45" s="42" t="str">
        <f t="shared" si="3"/>
        <v>Uygun</v>
      </c>
      <c r="O45" s="42">
        <v>5</v>
      </c>
      <c r="P45" s="42" t="s">
        <v>884</v>
      </c>
    </row>
    <row r="46" spans="1:16" ht="45" customHeight="1" x14ac:dyDescent="0.2">
      <c r="A46" s="42">
        <v>232</v>
      </c>
      <c r="B46" s="42" t="s">
        <v>898</v>
      </c>
      <c r="C46" s="42" t="s">
        <v>745</v>
      </c>
      <c r="D46" s="42" t="s">
        <v>163</v>
      </c>
      <c r="E46" s="42">
        <v>2</v>
      </c>
      <c r="F46" s="42" t="s">
        <v>79</v>
      </c>
      <c r="G46" s="42" t="s">
        <v>28</v>
      </c>
      <c r="H46" s="42" t="s">
        <v>79</v>
      </c>
      <c r="I46" s="42" t="s">
        <v>378</v>
      </c>
      <c r="J46" s="42" t="s">
        <v>899</v>
      </c>
      <c r="K46" s="42" t="s">
        <v>380</v>
      </c>
      <c r="L46" s="42" t="s">
        <v>900</v>
      </c>
      <c r="M46" s="42">
        <f t="shared" si="2"/>
        <v>115</v>
      </c>
      <c r="N46" s="42" t="str">
        <f t="shared" si="3"/>
        <v>Uygun</v>
      </c>
      <c r="O46" s="42">
        <v>5</v>
      </c>
      <c r="P46" s="42" t="s">
        <v>856</v>
      </c>
    </row>
    <row r="47" spans="1:16" ht="30" customHeight="1" x14ac:dyDescent="0.2">
      <c r="A47" s="42">
        <v>233</v>
      </c>
      <c r="B47" s="42" t="s">
        <v>901</v>
      </c>
      <c r="C47" s="42" t="s">
        <v>745</v>
      </c>
      <c r="D47" s="42" t="s">
        <v>163</v>
      </c>
      <c r="E47" s="42">
        <v>2</v>
      </c>
      <c r="F47" s="42" t="s">
        <v>41</v>
      </c>
      <c r="G47" s="42" t="s">
        <v>20</v>
      </c>
      <c r="H47" s="42" t="s">
        <v>110</v>
      </c>
      <c r="I47" s="42" t="s">
        <v>398</v>
      </c>
      <c r="J47" s="42" t="s">
        <v>902</v>
      </c>
      <c r="K47" s="42" t="s">
        <v>385</v>
      </c>
      <c r="L47" s="42" t="s">
        <v>903</v>
      </c>
      <c r="M47" s="42">
        <f t="shared" si="2"/>
        <v>122</v>
      </c>
      <c r="N47" s="42" t="str">
        <f t="shared" si="3"/>
        <v>Uygun</v>
      </c>
      <c r="O47" s="42">
        <v>5</v>
      </c>
      <c r="P47" s="42" t="s">
        <v>860</v>
      </c>
    </row>
    <row r="48" spans="1:16" ht="45" customHeight="1" x14ac:dyDescent="0.2">
      <c r="A48" s="42">
        <v>234</v>
      </c>
      <c r="B48" s="42" t="s">
        <v>904</v>
      </c>
      <c r="C48" s="42" t="s">
        <v>745</v>
      </c>
      <c r="D48" s="42" t="s">
        <v>163</v>
      </c>
      <c r="E48" s="42">
        <v>2</v>
      </c>
      <c r="F48" s="42" t="s">
        <v>245</v>
      </c>
      <c r="G48" s="42" t="s">
        <v>28</v>
      </c>
      <c r="H48" s="42" t="s">
        <v>34</v>
      </c>
      <c r="I48" s="42" t="s">
        <v>398</v>
      </c>
      <c r="J48" s="42" t="s">
        <v>905</v>
      </c>
      <c r="K48" s="42" t="s">
        <v>389</v>
      </c>
      <c r="L48" s="42" t="s">
        <v>1663</v>
      </c>
      <c r="M48" s="42">
        <f t="shared" si="2"/>
        <v>123</v>
      </c>
      <c r="N48" s="42" t="str">
        <f t="shared" si="3"/>
        <v>Uygun</v>
      </c>
      <c r="O48" s="42">
        <v>5</v>
      </c>
      <c r="P48" s="42" t="s">
        <v>860</v>
      </c>
    </row>
    <row r="49" spans="1:16" ht="45" customHeight="1" x14ac:dyDescent="0.2">
      <c r="A49" s="42">
        <v>235</v>
      </c>
      <c r="B49" s="42" t="s">
        <v>907</v>
      </c>
      <c r="C49" s="42" t="s">
        <v>745</v>
      </c>
      <c r="D49" s="42" t="s">
        <v>163</v>
      </c>
      <c r="E49" s="42">
        <v>2</v>
      </c>
      <c r="F49" s="42" t="s">
        <v>41</v>
      </c>
      <c r="G49" s="42" t="s">
        <v>269</v>
      </c>
      <c r="H49" s="42" t="s">
        <v>60</v>
      </c>
      <c r="I49" s="42" t="s">
        <v>665</v>
      </c>
      <c r="J49" s="42" t="s">
        <v>908</v>
      </c>
      <c r="K49" s="42" t="s">
        <v>394</v>
      </c>
      <c r="L49" s="42" t="s">
        <v>909</v>
      </c>
      <c r="M49" s="42">
        <f t="shared" si="2"/>
        <v>130</v>
      </c>
      <c r="N49" s="42" t="str">
        <f t="shared" si="3"/>
        <v>Uygun</v>
      </c>
      <c r="O49" s="42">
        <v>5</v>
      </c>
      <c r="P49" s="42" t="s">
        <v>910</v>
      </c>
    </row>
    <row r="50" spans="1:16" ht="45" customHeight="1" x14ac:dyDescent="0.2">
      <c r="A50" s="42">
        <v>236</v>
      </c>
      <c r="B50" s="42" t="s">
        <v>911</v>
      </c>
      <c r="C50" s="42" t="s">
        <v>745</v>
      </c>
      <c r="D50" s="42" t="s">
        <v>218</v>
      </c>
      <c r="E50" s="42">
        <v>3</v>
      </c>
      <c r="F50" s="42" t="s">
        <v>19</v>
      </c>
      <c r="G50" s="42" t="s">
        <v>20</v>
      </c>
      <c r="H50" s="42" t="s">
        <v>132</v>
      </c>
      <c r="I50" s="42" t="s">
        <v>912</v>
      </c>
      <c r="J50" s="42" t="s">
        <v>913</v>
      </c>
      <c r="K50" s="42" t="s">
        <v>441</v>
      </c>
      <c r="L50" s="42" t="s">
        <v>914</v>
      </c>
      <c r="M50" s="42">
        <f t="shared" si="2"/>
        <v>125</v>
      </c>
      <c r="N50" s="42" t="str">
        <f t="shared" si="3"/>
        <v>Uygun</v>
      </c>
      <c r="O50" s="42">
        <v>7</v>
      </c>
      <c r="P50" s="42" t="s">
        <v>915</v>
      </c>
    </row>
    <row r="51" spans="1:16" ht="45" customHeight="1" x14ac:dyDescent="0.2">
      <c r="A51" s="42">
        <v>237</v>
      </c>
      <c r="B51" s="42" t="s">
        <v>916</v>
      </c>
      <c r="C51" s="42" t="s">
        <v>745</v>
      </c>
      <c r="D51" s="42" t="s">
        <v>218</v>
      </c>
      <c r="E51" s="42">
        <v>3</v>
      </c>
      <c r="F51" s="42" t="s">
        <v>19</v>
      </c>
      <c r="G51" s="42" t="s">
        <v>269</v>
      </c>
      <c r="H51" s="42" t="s">
        <v>41</v>
      </c>
      <c r="I51" s="42" t="s">
        <v>912</v>
      </c>
      <c r="J51" s="42" t="s">
        <v>917</v>
      </c>
      <c r="K51" s="42" t="s">
        <v>447</v>
      </c>
      <c r="L51" s="42" t="s">
        <v>918</v>
      </c>
      <c r="M51" s="42">
        <f t="shared" si="2"/>
        <v>119</v>
      </c>
      <c r="N51" s="42" t="str">
        <f t="shared" si="3"/>
        <v>Uygun</v>
      </c>
      <c r="O51" s="42">
        <v>6</v>
      </c>
      <c r="P51" s="42" t="s">
        <v>915</v>
      </c>
    </row>
    <row r="52" spans="1:16" ht="45" customHeight="1" x14ac:dyDescent="0.2">
      <c r="A52" s="42">
        <v>238</v>
      </c>
      <c r="B52" s="42" t="s">
        <v>919</v>
      </c>
      <c r="C52" s="42" t="s">
        <v>745</v>
      </c>
      <c r="D52" s="42" t="s">
        <v>218</v>
      </c>
      <c r="E52" s="42">
        <v>3</v>
      </c>
      <c r="F52" s="42" t="s">
        <v>356</v>
      </c>
      <c r="G52" s="42" t="s">
        <v>20</v>
      </c>
      <c r="H52" s="42" t="s">
        <v>116</v>
      </c>
      <c r="I52" s="42" t="s">
        <v>920</v>
      </c>
      <c r="J52" s="42" t="s">
        <v>921</v>
      </c>
      <c r="K52" s="42" t="s">
        <v>453</v>
      </c>
      <c r="L52" s="42" t="s">
        <v>922</v>
      </c>
      <c r="M52" s="42">
        <f t="shared" si="2"/>
        <v>130</v>
      </c>
      <c r="N52" s="42" t="str">
        <f t="shared" si="3"/>
        <v>Uygun</v>
      </c>
      <c r="O52" s="42">
        <v>7</v>
      </c>
      <c r="P52" s="42" t="s">
        <v>923</v>
      </c>
    </row>
    <row r="53" spans="1:16" ht="45" customHeight="1" x14ac:dyDescent="0.2">
      <c r="A53" s="42">
        <v>239</v>
      </c>
      <c r="B53" s="42" t="s">
        <v>924</v>
      </c>
      <c r="C53" s="42" t="s">
        <v>745</v>
      </c>
      <c r="D53" s="42" t="s">
        <v>218</v>
      </c>
      <c r="E53" s="42">
        <v>3</v>
      </c>
      <c r="F53" s="42" t="s">
        <v>412</v>
      </c>
      <c r="G53" s="42" t="s">
        <v>28</v>
      </c>
      <c r="H53" s="42" t="s">
        <v>53</v>
      </c>
      <c r="I53" s="42" t="s">
        <v>701</v>
      </c>
      <c r="J53" s="42" t="s">
        <v>925</v>
      </c>
      <c r="K53" s="42" t="s">
        <v>458</v>
      </c>
      <c r="L53" s="42" t="s">
        <v>926</v>
      </c>
      <c r="M53" s="42">
        <f t="shared" si="2"/>
        <v>125</v>
      </c>
      <c r="N53" s="42" t="str">
        <f t="shared" si="3"/>
        <v>Uygun</v>
      </c>
      <c r="O53" s="42">
        <v>6</v>
      </c>
      <c r="P53" s="42" t="s">
        <v>927</v>
      </c>
    </row>
    <row r="54" spans="1:16" ht="60" customHeight="1" x14ac:dyDescent="0.2">
      <c r="A54" s="42">
        <v>240</v>
      </c>
      <c r="B54" s="42" t="s">
        <v>928</v>
      </c>
      <c r="C54" s="42" t="s">
        <v>745</v>
      </c>
      <c r="D54" s="42" t="s">
        <v>218</v>
      </c>
      <c r="E54" s="42">
        <v>3</v>
      </c>
      <c r="F54" s="42" t="s">
        <v>19</v>
      </c>
      <c r="G54" s="42" t="s">
        <v>28</v>
      </c>
      <c r="H54" s="42" t="s">
        <v>132</v>
      </c>
      <c r="I54" s="42" t="s">
        <v>912</v>
      </c>
      <c r="J54" s="42" t="s">
        <v>929</v>
      </c>
      <c r="K54" s="42" t="s">
        <v>441</v>
      </c>
      <c r="L54" s="42" t="s">
        <v>930</v>
      </c>
      <c r="M54" s="42">
        <f t="shared" si="2"/>
        <v>117</v>
      </c>
      <c r="N54" s="42" t="str">
        <f t="shared" si="3"/>
        <v>Uygun</v>
      </c>
      <c r="O54" s="42">
        <v>7</v>
      </c>
      <c r="P54" s="42" t="s">
        <v>915</v>
      </c>
    </row>
    <row r="55" spans="1:16" ht="45" customHeight="1" x14ac:dyDescent="0.2">
      <c r="A55" s="42">
        <v>241</v>
      </c>
      <c r="B55" s="42" t="s">
        <v>931</v>
      </c>
      <c r="C55" s="42" t="s">
        <v>745</v>
      </c>
      <c r="D55" s="42" t="s">
        <v>218</v>
      </c>
      <c r="E55" s="42">
        <v>3</v>
      </c>
      <c r="F55" s="42" t="s">
        <v>19</v>
      </c>
      <c r="G55" s="42" t="s">
        <v>28</v>
      </c>
      <c r="H55" s="42" t="s">
        <v>47</v>
      </c>
      <c r="I55" s="42" t="s">
        <v>687</v>
      </c>
      <c r="J55" s="42" t="s">
        <v>932</v>
      </c>
      <c r="K55" s="42" t="s">
        <v>447</v>
      </c>
      <c r="L55" s="42" t="s">
        <v>933</v>
      </c>
      <c r="M55" s="42">
        <f t="shared" si="2"/>
        <v>127</v>
      </c>
      <c r="N55" s="42" t="str">
        <f t="shared" si="3"/>
        <v>Uygun</v>
      </c>
      <c r="O55" s="42">
        <v>6</v>
      </c>
      <c r="P55" s="42" t="s">
        <v>934</v>
      </c>
    </row>
    <row r="56" spans="1:16" ht="45" customHeight="1" x14ac:dyDescent="0.2">
      <c r="A56" s="42">
        <v>242</v>
      </c>
      <c r="B56" s="42" t="s">
        <v>935</v>
      </c>
      <c r="C56" s="42" t="s">
        <v>745</v>
      </c>
      <c r="D56" s="42" t="s">
        <v>218</v>
      </c>
      <c r="E56" s="42">
        <v>3</v>
      </c>
      <c r="F56" s="42" t="s">
        <v>245</v>
      </c>
      <c r="G56" s="42" t="s">
        <v>20</v>
      </c>
      <c r="H56" s="42" t="s">
        <v>47</v>
      </c>
      <c r="I56" s="42" t="s">
        <v>687</v>
      </c>
      <c r="J56" s="42" t="s">
        <v>936</v>
      </c>
      <c r="K56" s="42" t="s">
        <v>453</v>
      </c>
      <c r="L56" s="42" t="s">
        <v>937</v>
      </c>
      <c r="M56" s="42">
        <f t="shared" si="2"/>
        <v>116</v>
      </c>
      <c r="N56" s="42" t="str">
        <f t="shared" si="3"/>
        <v>Uygun</v>
      </c>
      <c r="O56" s="42">
        <v>7</v>
      </c>
      <c r="P56" s="42" t="s">
        <v>934</v>
      </c>
    </row>
    <row r="57" spans="1:16" ht="45" customHeight="1" x14ac:dyDescent="0.2">
      <c r="A57" s="42">
        <v>243</v>
      </c>
      <c r="B57" s="42" t="s">
        <v>938</v>
      </c>
      <c r="C57" s="42" t="s">
        <v>745</v>
      </c>
      <c r="D57" s="42" t="s">
        <v>218</v>
      </c>
      <c r="E57" s="42">
        <v>3</v>
      </c>
      <c r="F57" s="42" t="s">
        <v>356</v>
      </c>
      <c r="G57" s="42" t="s">
        <v>20</v>
      </c>
      <c r="H57" s="42" t="s">
        <v>60</v>
      </c>
      <c r="I57" s="42" t="s">
        <v>939</v>
      </c>
      <c r="J57" s="42" t="s">
        <v>940</v>
      </c>
      <c r="K57" s="42" t="s">
        <v>458</v>
      </c>
      <c r="L57" s="42" t="s">
        <v>941</v>
      </c>
      <c r="M57" s="42">
        <f t="shared" si="2"/>
        <v>124</v>
      </c>
      <c r="N57" s="42" t="str">
        <f t="shared" si="3"/>
        <v>Uygun</v>
      </c>
      <c r="O57" s="42">
        <v>6</v>
      </c>
      <c r="P57" s="42" t="s">
        <v>942</v>
      </c>
    </row>
    <row r="58" spans="1:16" ht="45" customHeight="1" x14ac:dyDescent="0.2">
      <c r="A58" s="42">
        <v>244</v>
      </c>
      <c r="B58" s="42" t="s">
        <v>943</v>
      </c>
      <c r="C58" s="42" t="s">
        <v>745</v>
      </c>
      <c r="D58" s="42" t="s">
        <v>244</v>
      </c>
      <c r="E58" s="42">
        <v>4</v>
      </c>
      <c r="F58" s="42" t="s">
        <v>40</v>
      </c>
      <c r="G58" s="42" t="s">
        <v>20</v>
      </c>
      <c r="H58" s="42" t="s">
        <v>231</v>
      </c>
      <c r="I58" s="42" t="s">
        <v>944</v>
      </c>
      <c r="J58" s="42" t="s">
        <v>945</v>
      </c>
      <c r="K58" s="42" t="s">
        <v>475</v>
      </c>
      <c r="L58" s="42" t="s">
        <v>946</v>
      </c>
      <c r="M58" s="42">
        <f t="shared" si="2"/>
        <v>121</v>
      </c>
      <c r="N58" s="42" t="str">
        <f t="shared" si="3"/>
        <v>Uygun</v>
      </c>
      <c r="O58" s="42">
        <v>8</v>
      </c>
      <c r="P58" s="42" t="s">
        <v>947</v>
      </c>
    </row>
    <row r="59" spans="1:16" ht="45" customHeight="1" x14ac:dyDescent="0.2">
      <c r="A59" s="42">
        <v>245</v>
      </c>
      <c r="B59" s="42" t="s">
        <v>948</v>
      </c>
      <c r="C59" s="42" t="s">
        <v>745</v>
      </c>
      <c r="D59" s="42" t="s">
        <v>244</v>
      </c>
      <c r="E59" s="42">
        <v>4</v>
      </c>
      <c r="F59" s="42" t="s">
        <v>19</v>
      </c>
      <c r="G59" s="42" t="s">
        <v>269</v>
      </c>
      <c r="H59" s="42" t="s">
        <v>21</v>
      </c>
      <c r="I59" s="42" t="s">
        <v>949</v>
      </c>
      <c r="J59" s="42" t="s">
        <v>950</v>
      </c>
      <c r="K59" s="42" t="s">
        <v>481</v>
      </c>
      <c r="L59" s="42" t="s">
        <v>951</v>
      </c>
      <c r="M59" s="42">
        <f t="shared" si="2"/>
        <v>125</v>
      </c>
      <c r="N59" s="42" t="str">
        <f t="shared" si="3"/>
        <v>Uygun</v>
      </c>
      <c r="O59" s="42">
        <v>8</v>
      </c>
      <c r="P59" s="42" t="s">
        <v>952</v>
      </c>
    </row>
    <row r="60" spans="1:16" ht="45" customHeight="1" x14ac:dyDescent="0.2">
      <c r="A60" s="42">
        <v>246</v>
      </c>
      <c r="B60" s="42" t="s">
        <v>953</v>
      </c>
      <c r="C60" s="42" t="s">
        <v>745</v>
      </c>
      <c r="D60" s="42" t="s">
        <v>244</v>
      </c>
      <c r="E60" s="42">
        <v>4</v>
      </c>
      <c r="F60" s="42" t="s">
        <v>41</v>
      </c>
      <c r="G60" s="42" t="s">
        <v>28</v>
      </c>
      <c r="H60" s="42" t="s">
        <v>41</v>
      </c>
      <c r="I60" s="42" t="s">
        <v>954</v>
      </c>
      <c r="J60" s="42" t="s">
        <v>955</v>
      </c>
      <c r="K60" s="42" t="s">
        <v>487</v>
      </c>
      <c r="L60" s="42" t="s">
        <v>956</v>
      </c>
      <c r="M60" s="42">
        <f t="shared" si="2"/>
        <v>116</v>
      </c>
      <c r="N60" s="42" t="str">
        <f t="shared" si="3"/>
        <v>Uygun</v>
      </c>
      <c r="O60" s="42">
        <v>8</v>
      </c>
      <c r="P60" s="42" t="s">
        <v>957</v>
      </c>
    </row>
    <row r="61" spans="1:16" ht="60" customHeight="1" x14ac:dyDescent="0.2">
      <c r="A61" s="42">
        <v>247</v>
      </c>
      <c r="B61" s="42" t="s">
        <v>958</v>
      </c>
      <c r="C61" s="42" t="s">
        <v>745</v>
      </c>
      <c r="D61" s="42" t="s">
        <v>244</v>
      </c>
      <c r="E61" s="42">
        <v>4</v>
      </c>
      <c r="F61" s="42" t="s">
        <v>19</v>
      </c>
      <c r="G61" s="42" t="s">
        <v>20</v>
      </c>
      <c r="H61" s="42" t="s">
        <v>214</v>
      </c>
      <c r="I61" s="42" t="s">
        <v>959</v>
      </c>
      <c r="J61" s="42" t="s">
        <v>960</v>
      </c>
      <c r="K61" s="42" t="s">
        <v>492</v>
      </c>
      <c r="L61" s="42" t="s">
        <v>961</v>
      </c>
      <c r="M61" s="42">
        <f t="shared" si="2"/>
        <v>118</v>
      </c>
      <c r="N61" s="42" t="str">
        <f t="shared" si="3"/>
        <v>Uygun</v>
      </c>
      <c r="O61" s="42">
        <v>8</v>
      </c>
      <c r="P61" s="42" t="s">
        <v>962</v>
      </c>
    </row>
    <row r="62" spans="1:16" ht="60" customHeight="1" x14ac:dyDescent="0.2">
      <c r="A62" s="42">
        <v>248</v>
      </c>
      <c r="B62" s="42" t="s">
        <v>963</v>
      </c>
      <c r="C62" s="42" t="s">
        <v>745</v>
      </c>
      <c r="D62" s="42" t="s">
        <v>258</v>
      </c>
      <c r="E62" s="42">
        <v>5</v>
      </c>
      <c r="F62" s="42" t="s">
        <v>212</v>
      </c>
      <c r="G62" s="42" t="s">
        <v>269</v>
      </c>
      <c r="H62" s="42" t="s">
        <v>110</v>
      </c>
      <c r="I62" s="42" t="s">
        <v>964</v>
      </c>
      <c r="J62" s="42" t="s">
        <v>965</v>
      </c>
      <c r="K62" s="42" t="s">
        <v>497</v>
      </c>
      <c r="L62" s="42" t="s">
        <v>966</v>
      </c>
      <c r="M62" s="42">
        <f t="shared" si="2"/>
        <v>126</v>
      </c>
      <c r="N62" s="42" t="str">
        <f t="shared" si="3"/>
        <v>Uygun</v>
      </c>
      <c r="O62" s="42">
        <v>10</v>
      </c>
      <c r="P62" s="42" t="s">
        <v>967</v>
      </c>
    </row>
    <row r="63" spans="1:16" ht="60" customHeight="1" x14ac:dyDescent="0.2">
      <c r="A63" s="42">
        <v>249</v>
      </c>
      <c r="B63" s="42" t="s">
        <v>968</v>
      </c>
      <c r="C63" s="42" t="s">
        <v>745</v>
      </c>
      <c r="D63" s="42" t="s">
        <v>258</v>
      </c>
      <c r="E63" s="42">
        <v>5</v>
      </c>
      <c r="F63" s="42" t="s">
        <v>41</v>
      </c>
      <c r="G63" s="42" t="s">
        <v>269</v>
      </c>
      <c r="H63" s="42" t="s">
        <v>41</v>
      </c>
      <c r="I63" s="42" t="s">
        <v>740</v>
      </c>
      <c r="J63" s="42" t="s">
        <v>969</v>
      </c>
      <c r="K63" s="42" t="s">
        <v>503</v>
      </c>
      <c r="L63" s="42" t="s">
        <v>970</v>
      </c>
      <c r="M63" s="42">
        <f t="shared" si="2"/>
        <v>128</v>
      </c>
      <c r="N63" s="42" t="str">
        <f t="shared" si="3"/>
        <v>Uygun</v>
      </c>
      <c r="O63" s="42">
        <v>10</v>
      </c>
      <c r="P63" s="42" t="s">
        <v>971</v>
      </c>
    </row>
  </sheetData>
  <pageMargins left="0.7" right="0.7" top="0.75" bottom="0.75" header="0.511811023622047" footer="0.511811023622047"/>
  <pageSetup paperSize="9" orientation="portrait" horizontalDpi="300" verticalDpi="300"/>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3"/>
  <sheetViews>
    <sheetView showGridLines="0" zoomScale="80" zoomScaleNormal="80" workbookViewId="0">
      <pane ySplit="1" topLeftCell="A2" activePane="bottomLeft" state="frozen"/>
      <selection pane="bottomLeft" activeCell="A2" sqref="A2"/>
    </sheetView>
  </sheetViews>
  <sheetFormatPr defaultColWidth="8.7109375" defaultRowHeight="12.75" x14ac:dyDescent="0.2"/>
  <cols>
    <col min="1" max="1" width="8" customWidth="1"/>
    <col min="2" max="2" width="28" customWidth="1"/>
    <col min="3" max="3" width="14" customWidth="1"/>
    <col min="4" max="4" width="12" customWidth="1"/>
    <col min="5" max="5" width="14" customWidth="1"/>
    <col min="6" max="6" width="24" customWidth="1"/>
    <col min="7" max="7" width="12" customWidth="1"/>
    <col min="8" max="8" width="14" customWidth="1"/>
    <col min="9" max="9" width="24" customWidth="1"/>
    <col min="10" max="10" width="52" customWidth="1"/>
    <col min="11" max="11" width="18" customWidth="1"/>
    <col min="12" max="12" width="58" customWidth="1"/>
    <col min="13" max="13" width="14" customWidth="1"/>
    <col min="14" max="14" width="12" customWidth="1"/>
    <col min="15" max="15" width="14" customWidth="1"/>
    <col min="16" max="16" width="45" customWidth="1"/>
  </cols>
  <sheetData>
    <row r="1" spans="1:16" ht="30" customHeight="1" x14ac:dyDescent="0.25">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row>
    <row r="2" spans="1:16" ht="45" customHeight="1" x14ac:dyDescent="0.2">
      <c r="A2" s="42">
        <v>250</v>
      </c>
      <c r="B2" s="42" t="s">
        <v>972</v>
      </c>
      <c r="C2" s="42" t="s">
        <v>973</v>
      </c>
      <c r="D2" s="42" t="s">
        <v>18</v>
      </c>
      <c r="E2" s="42">
        <v>1</v>
      </c>
      <c r="F2" s="42" t="s">
        <v>19</v>
      </c>
      <c r="G2" s="42" t="s">
        <v>28</v>
      </c>
      <c r="H2" s="42" t="s">
        <v>21</v>
      </c>
      <c r="I2" s="42" t="s">
        <v>508</v>
      </c>
      <c r="J2" s="42" t="s">
        <v>974</v>
      </c>
      <c r="K2" s="42" t="s">
        <v>272</v>
      </c>
      <c r="L2" s="42" t="s">
        <v>975</v>
      </c>
      <c r="M2" s="42">
        <f t="shared" ref="M2:M33" si="0">LEN(L2)</f>
        <v>123</v>
      </c>
      <c r="N2" s="42" t="str">
        <f t="shared" ref="N2:N33" si="1">IF(L2="","Eksik",IF(M2&lt;=130,"Uygun","130 karakteri aşıyor"))</f>
        <v>Uygun</v>
      </c>
      <c r="O2" s="42">
        <v>4</v>
      </c>
      <c r="P2" s="42" t="s">
        <v>976</v>
      </c>
    </row>
    <row r="3" spans="1:16" ht="45" customHeight="1" x14ac:dyDescent="0.2">
      <c r="A3" s="42">
        <v>251</v>
      </c>
      <c r="B3" s="42" t="s">
        <v>977</v>
      </c>
      <c r="C3" s="42" t="s">
        <v>973</v>
      </c>
      <c r="D3" s="42" t="s">
        <v>18</v>
      </c>
      <c r="E3" s="42">
        <v>1</v>
      </c>
      <c r="F3" s="42" t="s">
        <v>19</v>
      </c>
      <c r="G3" s="42" t="s">
        <v>28</v>
      </c>
      <c r="H3" s="42" t="s">
        <v>47</v>
      </c>
      <c r="I3" s="42" t="s">
        <v>522</v>
      </c>
      <c r="J3" s="42" t="s">
        <v>978</v>
      </c>
      <c r="K3" s="42" t="s">
        <v>278</v>
      </c>
      <c r="L3" s="42" t="s">
        <v>979</v>
      </c>
      <c r="M3" s="42">
        <f t="shared" si="0"/>
        <v>130</v>
      </c>
      <c r="N3" s="42" t="str">
        <f t="shared" si="1"/>
        <v>Uygun</v>
      </c>
      <c r="O3" s="42">
        <v>3</v>
      </c>
      <c r="P3" s="42" t="s">
        <v>980</v>
      </c>
    </row>
    <row r="4" spans="1:16" ht="45" customHeight="1" x14ac:dyDescent="0.2">
      <c r="A4" s="42">
        <v>252</v>
      </c>
      <c r="B4" s="42" t="s">
        <v>981</v>
      </c>
      <c r="C4" s="42" t="s">
        <v>973</v>
      </c>
      <c r="D4" s="42" t="s">
        <v>18</v>
      </c>
      <c r="E4" s="42">
        <v>1</v>
      </c>
      <c r="F4" s="42" t="s">
        <v>19</v>
      </c>
      <c r="G4" s="42" t="s">
        <v>28</v>
      </c>
      <c r="H4" s="42" t="s">
        <v>34</v>
      </c>
      <c r="I4" s="42" t="s">
        <v>982</v>
      </c>
      <c r="J4" s="42" t="s">
        <v>983</v>
      </c>
      <c r="K4" s="42" t="s">
        <v>283</v>
      </c>
      <c r="L4" s="42" t="s">
        <v>984</v>
      </c>
      <c r="M4" s="42">
        <f t="shared" si="0"/>
        <v>130</v>
      </c>
      <c r="N4" s="42" t="str">
        <f t="shared" si="1"/>
        <v>Uygun</v>
      </c>
      <c r="O4" s="42">
        <v>4</v>
      </c>
      <c r="P4" s="42" t="s">
        <v>985</v>
      </c>
    </row>
    <row r="5" spans="1:16" ht="30" customHeight="1" x14ac:dyDescent="0.2">
      <c r="A5" s="42">
        <v>253</v>
      </c>
      <c r="B5" s="42" t="s">
        <v>986</v>
      </c>
      <c r="C5" s="42" t="s">
        <v>973</v>
      </c>
      <c r="D5" s="42" t="s">
        <v>18</v>
      </c>
      <c r="E5" s="42">
        <v>1</v>
      </c>
      <c r="F5" s="42" t="s">
        <v>513</v>
      </c>
      <c r="G5" s="42" t="s">
        <v>28</v>
      </c>
      <c r="H5" s="42" t="s">
        <v>132</v>
      </c>
      <c r="I5" s="42" t="s">
        <v>982</v>
      </c>
      <c r="J5" s="42" t="s">
        <v>987</v>
      </c>
      <c r="K5" s="42" t="s">
        <v>287</v>
      </c>
      <c r="L5" s="42" t="s">
        <v>988</v>
      </c>
      <c r="M5" s="42">
        <f t="shared" si="0"/>
        <v>117</v>
      </c>
      <c r="N5" s="42" t="str">
        <f t="shared" si="1"/>
        <v>Uygun</v>
      </c>
      <c r="O5" s="42">
        <v>3</v>
      </c>
      <c r="P5" s="42" t="s">
        <v>985</v>
      </c>
    </row>
    <row r="6" spans="1:16" ht="45" customHeight="1" x14ac:dyDescent="0.2">
      <c r="A6" s="42">
        <v>254</v>
      </c>
      <c r="B6" s="42" t="s">
        <v>989</v>
      </c>
      <c r="C6" s="42" t="s">
        <v>973</v>
      </c>
      <c r="D6" s="42" t="s">
        <v>18</v>
      </c>
      <c r="E6" s="42">
        <v>1</v>
      </c>
      <c r="F6" s="42" t="s">
        <v>19</v>
      </c>
      <c r="G6" s="42" t="s">
        <v>28</v>
      </c>
      <c r="H6" s="42" t="s">
        <v>34</v>
      </c>
      <c r="I6" s="42" t="s">
        <v>982</v>
      </c>
      <c r="J6" s="42" t="s">
        <v>990</v>
      </c>
      <c r="K6" s="42" t="s">
        <v>272</v>
      </c>
      <c r="L6" s="42" t="s">
        <v>991</v>
      </c>
      <c r="M6" s="42">
        <f t="shared" si="0"/>
        <v>128</v>
      </c>
      <c r="N6" s="42" t="str">
        <f t="shared" si="1"/>
        <v>Uygun</v>
      </c>
      <c r="O6" s="42">
        <v>4</v>
      </c>
      <c r="P6" s="42" t="s">
        <v>985</v>
      </c>
    </row>
    <row r="7" spans="1:16" ht="45" customHeight="1" x14ac:dyDescent="0.2">
      <c r="A7" s="42">
        <v>255</v>
      </c>
      <c r="B7" s="42" t="s">
        <v>992</v>
      </c>
      <c r="C7" s="42" t="s">
        <v>973</v>
      </c>
      <c r="D7" s="42" t="s">
        <v>18</v>
      </c>
      <c r="E7" s="42">
        <v>1</v>
      </c>
      <c r="F7" s="42" t="s">
        <v>19</v>
      </c>
      <c r="G7" s="42" t="s">
        <v>28</v>
      </c>
      <c r="H7" s="42" t="s">
        <v>41</v>
      </c>
      <c r="I7" s="42" t="s">
        <v>784</v>
      </c>
      <c r="J7" s="42" t="s">
        <v>993</v>
      </c>
      <c r="K7" s="42" t="s">
        <v>278</v>
      </c>
      <c r="L7" s="42" t="s">
        <v>994</v>
      </c>
      <c r="M7" s="42">
        <f t="shared" si="0"/>
        <v>130</v>
      </c>
      <c r="N7" s="42" t="str">
        <f t="shared" si="1"/>
        <v>Uygun</v>
      </c>
      <c r="O7" s="42">
        <v>3</v>
      </c>
      <c r="P7" s="42" t="s">
        <v>995</v>
      </c>
    </row>
    <row r="8" spans="1:16" ht="30" customHeight="1" x14ac:dyDescent="0.2">
      <c r="A8" s="42">
        <v>256</v>
      </c>
      <c r="B8" s="42" t="s">
        <v>996</v>
      </c>
      <c r="C8" s="42" t="s">
        <v>973</v>
      </c>
      <c r="D8" s="42" t="s">
        <v>18</v>
      </c>
      <c r="E8" s="42">
        <v>1</v>
      </c>
      <c r="F8" s="42" t="s">
        <v>19</v>
      </c>
      <c r="G8" s="42" t="s">
        <v>20</v>
      </c>
      <c r="H8" s="42" t="s">
        <v>60</v>
      </c>
      <c r="I8" s="42" t="s">
        <v>579</v>
      </c>
      <c r="J8" s="42" t="s">
        <v>997</v>
      </c>
      <c r="K8" s="42" t="s">
        <v>283</v>
      </c>
      <c r="L8" s="42" t="s">
        <v>998</v>
      </c>
      <c r="M8" s="42">
        <f t="shared" si="0"/>
        <v>120</v>
      </c>
      <c r="N8" s="42" t="str">
        <f t="shared" si="1"/>
        <v>Uygun</v>
      </c>
      <c r="O8" s="42">
        <v>4</v>
      </c>
      <c r="P8" s="42" t="s">
        <v>999</v>
      </c>
    </row>
    <row r="9" spans="1:16" ht="45" customHeight="1" x14ac:dyDescent="0.2">
      <c r="A9" s="42">
        <v>257</v>
      </c>
      <c r="B9" s="42" t="s">
        <v>1000</v>
      </c>
      <c r="C9" s="42" t="s">
        <v>973</v>
      </c>
      <c r="D9" s="42" t="s">
        <v>18</v>
      </c>
      <c r="E9" s="42">
        <v>1</v>
      </c>
      <c r="F9" s="42" t="s">
        <v>19</v>
      </c>
      <c r="G9" s="42" t="s">
        <v>269</v>
      </c>
      <c r="H9" s="42" t="s">
        <v>21</v>
      </c>
      <c r="I9" s="42" t="s">
        <v>508</v>
      </c>
      <c r="J9" s="42" t="s">
        <v>1001</v>
      </c>
      <c r="K9" s="42" t="s">
        <v>287</v>
      </c>
      <c r="L9" s="42" t="s">
        <v>1002</v>
      </c>
      <c r="M9" s="42">
        <f t="shared" si="0"/>
        <v>128</v>
      </c>
      <c r="N9" s="42" t="str">
        <f t="shared" si="1"/>
        <v>Uygun</v>
      </c>
      <c r="O9" s="42">
        <v>3</v>
      </c>
      <c r="P9" s="42" t="s">
        <v>976</v>
      </c>
    </row>
    <row r="10" spans="1:16" ht="45" customHeight="1" x14ac:dyDescent="0.2">
      <c r="A10" s="42">
        <v>258</v>
      </c>
      <c r="B10" s="42" t="s">
        <v>1003</v>
      </c>
      <c r="C10" s="42" t="s">
        <v>973</v>
      </c>
      <c r="D10" s="42" t="s">
        <v>18</v>
      </c>
      <c r="E10" s="42">
        <v>1</v>
      </c>
      <c r="F10" s="42" t="s">
        <v>19</v>
      </c>
      <c r="G10" s="42" t="s">
        <v>28</v>
      </c>
      <c r="H10" s="42" t="s">
        <v>123</v>
      </c>
      <c r="I10" s="42" t="s">
        <v>527</v>
      </c>
      <c r="J10" s="42" t="s">
        <v>1004</v>
      </c>
      <c r="K10" s="42" t="s">
        <v>272</v>
      </c>
      <c r="L10" s="42" t="s">
        <v>1005</v>
      </c>
      <c r="M10" s="42">
        <f t="shared" si="0"/>
        <v>126</v>
      </c>
      <c r="N10" s="42" t="str">
        <f t="shared" si="1"/>
        <v>Uygun</v>
      </c>
      <c r="O10" s="42">
        <v>4</v>
      </c>
      <c r="P10" s="42" t="s">
        <v>1006</v>
      </c>
    </row>
    <row r="11" spans="1:16" ht="45" customHeight="1" x14ac:dyDescent="0.2">
      <c r="A11" s="42">
        <v>259</v>
      </c>
      <c r="B11" s="42" t="s">
        <v>1007</v>
      </c>
      <c r="C11" s="42" t="s">
        <v>973</v>
      </c>
      <c r="D11" s="42" t="s">
        <v>18</v>
      </c>
      <c r="E11" s="42">
        <v>1</v>
      </c>
      <c r="F11" s="42" t="s">
        <v>40</v>
      </c>
      <c r="G11" s="42" t="s">
        <v>20</v>
      </c>
      <c r="H11" s="42" t="s">
        <v>53</v>
      </c>
      <c r="I11" s="42" t="s">
        <v>330</v>
      </c>
      <c r="J11" s="42" t="s">
        <v>1008</v>
      </c>
      <c r="K11" s="42" t="s">
        <v>278</v>
      </c>
      <c r="L11" s="42" t="s">
        <v>1009</v>
      </c>
      <c r="M11" s="42">
        <f t="shared" si="0"/>
        <v>124</v>
      </c>
      <c r="N11" s="42" t="str">
        <f t="shared" si="1"/>
        <v>Uygun</v>
      </c>
      <c r="O11" s="42">
        <v>3</v>
      </c>
      <c r="P11" s="42" t="s">
        <v>1010</v>
      </c>
    </row>
    <row r="12" spans="1:16" ht="45" customHeight="1" x14ac:dyDescent="0.2">
      <c r="A12" s="42">
        <v>260</v>
      </c>
      <c r="B12" s="42" t="s">
        <v>1011</v>
      </c>
      <c r="C12" s="42" t="s">
        <v>973</v>
      </c>
      <c r="D12" s="42" t="s">
        <v>18</v>
      </c>
      <c r="E12" s="42">
        <v>1</v>
      </c>
      <c r="F12" s="42" t="s">
        <v>40</v>
      </c>
      <c r="G12" s="42" t="s">
        <v>28</v>
      </c>
      <c r="H12" s="42" t="s">
        <v>41</v>
      </c>
      <c r="I12" s="42" t="s">
        <v>579</v>
      </c>
      <c r="J12" s="42" t="s">
        <v>1012</v>
      </c>
      <c r="K12" s="42" t="s">
        <v>283</v>
      </c>
      <c r="L12" s="42" t="s">
        <v>1013</v>
      </c>
      <c r="M12" s="42">
        <f t="shared" si="0"/>
        <v>129</v>
      </c>
      <c r="N12" s="42" t="str">
        <f t="shared" si="1"/>
        <v>Uygun</v>
      </c>
      <c r="O12" s="42">
        <v>4</v>
      </c>
      <c r="P12" s="42" t="s">
        <v>999</v>
      </c>
    </row>
    <row r="13" spans="1:16" ht="45" customHeight="1" x14ac:dyDescent="0.2">
      <c r="A13" s="42">
        <v>261</v>
      </c>
      <c r="B13" s="42" t="s">
        <v>1014</v>
      </c>
      <c r="C13" s="42" t="s">
        <v>973</v>
      </c>
      <c r="D13" s="42" t="s">
        <v>18</v>
      </c>
      <c r="E13" s="42">
        <v>1</v>
      </c>
      <c r="F13" s="42" t="s">
        <v>64</v>
      </c>
      <c r="G13" s="42" t="s">
        <v>269</v>
      </c>
      <c r="H13" s="42" t="s">
        <v>231</v>
      </c>
      <c r="I13" s="42" t="s">
        <v>527</v>
      </c>
      <c r="J13" s="42" t="s">
        <v>1015</v>
      </c>
      <c r="K13" s="42" t="s">
        <v>287</v>
      </c>
      <c r="L13" s="42" t="s">
        <v>1016</v>
      </c>
      <c r="M13" s="42">
        <f t="shared" si="0"/>
        <v>128</v>
      </c>
      <c r="N13" s="42" t="str">
        <f t="shared" si="1"/>
        <v>Uygun</v>
      </c>
      <c r="O13" s="42">
        <v>3</v>
      </c>
      <c r="P13" s="42" t="s">
        <v>1006</v>
      </c>
    </row>
    <row r="14" spans="1:16" ht="45" customHeight="1" x14ac:dyDescent="0.2">
      <c r="A14" s="42">
        <v>262</v>
      </c>
      <c r="B14" s="42" t="s">
        <v>1017</v>
      </c>
      <c r="C14" s="42" t="s">
        <v>973</v>
      </c>
      <c r="D14" s="42" t="s">
        <v>18</v>
      </c>
      <c r="E14" s="42">
        <v>1</v>
      </c>
      <c r="F14" s="42" t="s">
        <v>19</v>
      </c>
      <c r="G14" s="42" t="s">
        <v>28</v>
      </c>
      <c r="H14" s="42" t="s">
        <v>73</v>
      </c>
      <c r="I14" s="42" t="s">
        <v>330</v>
      </c>
      <c r="J14" s="42" t="s">
        <v>1018</v>
      </c>
      <c r="K14" s="42" t="s">
        <v>272</v>
      </c>
      <c r="L14" s="42" t="s">
        <v>1019</v>
      </c>
      <c r="M14" s="42">
        <f t="shared" si="0"/>
        <v>126</v>
      </c>
      <c r="N14" s="42" t="str">
        <f t="shared" si="1"/>
        <v>Uygun</v>
      </c>
      <c r="O14" s="42">
        <v>4</v>
      </c>
      <c r="P14" s="42" t="s">
        <v>1010</v>
      </c>
    </row>
    <row r="15" spans="1:16" ht="30" customHeight="1" x14ac:dyDescent="0.2">
      <c r="A15" s="42">
        <v>263</v>
      </c>
      <c r="B15" s="42" t="s">
        <v>1020</v>
      </c>
      <c r="C15" s="42" t="s">
        <v>973</v>
      </c>
      <c r="D15" s="42" t="s">
        <v>18</v>
      </c>
      <c r="E15" s="42">
        <v>1</v>
      </c>
      <c r="F15" s="42" t="s">
        <v>19</v>
      </c>
      <c r="G15" s="42" t="s">
        <v>28</v>
      </c>
      <c r="H15" s="42" t="s">
        <v>110</v>
      </c>
      <c r="I15" s="42" t="s">
        <v>762</v>
      </c>
      <c r="J15" s="42" t="s">
        <v>1021</v>
      </c>
      <c r="K15" s="42" t="s">
        <v>278</v>
      </c>
      <c r="L15" s="42" t="s">
        <v>1022</v>
      </c>
      <c r="M15" s="42">
        <f t="shared" si="0"/>
        <v>121</v>
      </c>
      <c r="N15" s="42" t="str">
        <f t="shared" si="1"/>
        <v>Uygun</v>
      </c>
      <c r="O15" s="42">
        <v>3</v>
      </c>
      <c r="P15" s="42" t="s">
        <v>1023</v>
      </c>
    </row>
    <row r="16" spans="1:16" ht="30" customHeight="1" x14ac:dyDescent="0.2">
      <c r="A16" s="42">
        <v>264</v>
      </c>
      <c r="B16" s="42" t="s">
        <v>411</v>
      </c>
      <c r="C16" s="42" t="s">
        <v>973</v>
      </c>
      <c r="D16" s="42" t="s">
        <v>18</v>
      </c>
      <c r="E16" s="42">
        <v>1</v>
      </c>
      <c r="F16" s="42" t="s">
        <v>412</v>
      </c>
      <c r="G16" s="42" t="s">
        <v>28</v>
      </c>
      <c r="H16" s="42" t="s">
        <v>116</v>
      </c>
      <c r="I16" s="42" t="s">
        <v>270</v>
      </c>
      <c r="J16" s="42" t="s">
        <v>1024</v>
      </c>
      <c r="K16" s="42" t="s">
        <v>283</v>
      </c>
      <c r="L16" s="42" t="s">
        <v>1025</v>
      </c>
      <c r="M16" s="42">
        <f t="shared" si="0"/>
        <v>125</v>
      </c>
      <c r="N16" s="42" t="str">
        <f t="shared" si="1"/>
        <v>Uygun</v>
      </c>
      <c r="O16" s="42">
        <v>4</v>
      </c>
      <c r="P16" s="42" t="s">
        <v>1026</v>
      </c>
    </row>
    <row r="17" spans="1:16" ht="45" customHeight="1" x14ac:dyDescent="0.2">
      <c r="A17" s="42">
        <v>265</v>
      </c>
      <c r="B17" s="42" t="s">
        <v>1027</v>
      </c>
      <c r="C17" s="42" t="s">
        <v>973</v>
      </c>
      <c r="D17" s="42" t="s">
        <v>18</v>
      </c>
      <c r="E17" s="42">
        <v>1</v>
      </c>
      <c r="F17" s="42" t="s">
        <v>19</v>
      </c>
      <c r="G17" s="42" t="s">
        <v>28</v>
      </c>
      <c r="H17" s="42" t="s">
        <v>174</v>
      </c>
      <c r="I17" s="42" t="s">
        <v>982</v>
      </c>
      <c r="J17" s="42" t="s">
        <v>1028</v>
      </c>
      <c r="K17" s="42" t="s">
        <v>287</v>
      </c>
      <c r="L17" s="42" t="s">
        <v>1029</v>
      </c>
      <c r="M17" s="42">
        <f t="shared" si="0"/>
        <v>121</v>
      </c>
      <c r="N17" s="42" t="str">
        <f t="shared" si="1"/>
        <v>Uygun</v>
      </c>
      <c r="O17" s="42">
        <v>3</v>
      </c>
      <c r="P17" s="42" t="s">
        <v>985</v>
      </c>
    </row>
    <row r="18" spans="1:16" ht="45" customHeight="1" x14ac:dyDescent="0.2">
      <c r="A18" s="42">
        <v>266</v>
      </c>
      <c r="B18" s="42" t="s">
        <v>1030</v>
      </c>
      <c r="C18" s="42" t="s">
        <v>973</v>
      </c>
      <c r="D18" s="42" t="s">
        <v>18</v>
      </c>
      <c r="E18" s="42">
        <v>1</v>
      </c>
      <c r="F18" s="42" t="s">
        <v>513</v>
      </c>
      <c r="G18" s="42" t="s">
        <v>28</v>
      </c>
      <c r="H18" s="42" t="s">
        <v>79</v>
      </c>
      <c r="I18" s="42" t="s">
        <v>270</v>
      </c>
      <c r="J18" s="42" t="s">
        <v>1031</v>
      </c>
      <c r="K18" s="42" t="s">
        <v>272</v>
      </c>
      <c r="L18" s="42" t="s">
        <v>1032</v>
      </c>
      <c r="M18" s="42">
        <f t="shared" si="0"/>
        <v>125</v>
      </c>
      <c r="N18" s="42" t="str">
        <f t="shared" si="1"/>
        <v>Uygun</v>
      </c>
      <c r="O18" s="42">
        <v>4</v>
      </c>
      <c r="P18" s="42" t="s">
        <v>1026</v>
      </c>
    </row>
    <row r="19" spans="1:16" ht="30" customHeight="1" x14ac:dyDescent="0.2">
      <c r="A19" s="42">
        <v>267</v>
      </c>
      <c r="B19" s="42" t="s">
        <v>1033</v>
      </c>
      <c r="C19" s="42" t="s">
        <v>973</v>
      </c>
      <c r="D19" s="42" t="s">
        <v>18</v>
      </c>
      <c r="E19" s="42">
        <v>1</v>
      </c>
      <c r="F19" s="42" t="s">
        <v>356</v>
      </c>
      <c r="G19" s="42" t="s">
        <v>269</v>
      </c>
      <c r="H19" s="42" t="s">
        <v>110</v>
      </c>
      <c r="I19" s="42" t="s">
        <v>982</v>
      </c>
      <c r="J19" s="42" t="s">
        <v>1034</v>
      </c>
      <c r="K19" s="42" t="s">
        <v>278</v>
      </c>
      <c r="L19" s="42" t="s">
        <v>1035</v>
      </c>
      <c r="M19" s="42">
        <f t="shared" si="0"/>
        <v>127</v>
      </c>
      <c r="N19" s="42" t="str">
        <f t="shared" si="1"/>
        <v>Uygun</v>
      </c>
      <c r="O19" s="42">
        <v>3</v>
      </c>
      <c r="P19" s="42" t="s">
        <v>985</v>
      </c>
    </row>
    <row r="20" spans="1:16" ht="45" customHeight="1" x14ac:dyDescent="0.2">
      <c r="A20" s="42">
        <v>268</v>
      </c>
      <c r="B20" s="42" t="s">
        <v>1036</v>
      </c>
      <c r="C20" s="42" t="s">
        <v>973</v>
      </c>
      <c r="D20" s="42" t="s">
        <v>18</v>
      </c>
      <c r="E20" s="42">
        <v>1</v>
      </c>
      <c r="F20" s="42" t="s">
        <v>19</v>
      </c>
      <c r="G20" s="42" t="s">
        <v>28</v>
      </c>
      <c r="H20" s="42" t="s">
        <v>21</v>
      </c>
      <c r="I20" s="42" t="s">
        <v>982</v>
      </c>
      <c r="J20" s="42" t="s">
        <v>1037</v>
      </c>
      <c r="K20" s="42" t="s">
        <v>283</v>
      </c>
      <c r="L20" s="42" t="s">
        <v>1038</v>
      </c>
      <c r="M20" s="42">
        <f t="shared" si="0"/>
        <v>122</v>
      </c>
      <c r="N20" s="42" t="str">
        <f t="shared" si="1"/>
        <v>Uygun</v>
      </c>
      <c r="O20" s="42">
        <v>4</v>
      </c>
      <c r="P20" s="42" t="s">
        <v>985</v>
      </c>
    </row>
    <row r="21" spans="1:16" ht="45" customHeight="1" x14ac:dyDescent="0.2">
      <c r="A21" s="42">
        <v>269</v>
      </c>
      <c r="B21" s="42" t="s">
        <v>1039</v>
      </c>
      <c r="C21" s="42" t="s">
        <v>973</v>
      </c>
      <c r="D21" s="42" t="s">
        <v>18</v>
      </c>
      <c r="E21" s="42">
        <v>1</v>
      </c>
      <c r="F21" s="42" t="s">
        <v>19</v>
      </c>
      <c r="G21" s="42" t="s">
        <v>269</v>
      </c>
      <c r="H21" s="42" t="s">
        <v>53</v>
      </c>
      <c r="I21" s="42" t="s">
        <v>330</v>
      </c>
      <c r="J21" s="42" t="s">
        <v>1040</v>
      </c>
      <c r="K21" s="42" t="s">
        <v>287</v>
      </c>
      <c r="L21" s="42" t="s">
        <v>1041</v>
      </c>
      <c r="M21" s="42">
        <f t="shared" si="0"/>
        <v>125</v>
      </c>
      <c r="N21" s="42" t="str">
        <f t="shared" si="1"/>
        <v>Uygun</v>
      </c>
      <c r="O21" s="42">
        <v>3</v>
      </c>
      <c r="P21" s="42" t="s">
        <v>1010</v>
      </c>
    </row>
    <row r="22" spans="1:16" ht="30" customHeight="1" x14ac:dyDescent="0.2">
      <c r="A22" s="42">
        <v>270</v>
      </c>
      <c r="B22" s="42" t="s">
        <v>1042</v>
      </c>
      <c r="C22" s="42" t="s">
        <v>973</v>
      </c>
      <c r="D22" s="42" t="s">
        <v>18</v>
      </c>
      <c r="E22" s="42">
        <v>1</v>
      </c>
      <c r="F22" s="42" t="s">
        <v>19</v>
      </c>
      <c r="G22" s="42" t="s">
        <v>28</v>
      </c>
      <c r="H22" s="42" t="s">
        <v>47</v>
      </c>
      <c r="I22" s="42" t="s">
        <v>522</v>
      </c>
      <c r="J22" s="42" t="s">
        <v>1043</v>
      </c>
      <c r="K22" s="42" t="s">
        <v>272</v>
      </c>
      <c r="L22" s="42" t="s">
        <v>1044</v>
      </c>
      <c r="M22" s="42">
        <f t="shared" si="0"/>
        <v>122</v>
      </c>
      <c r="N22" s="42" t="str">
        <f t="shared" si="1"/>
        <v>Uygun</v>
      </c>
      <c r="O22" s="42">
        <v>4</v>
      </c>
      <c r="P22" s="42" t="s">
        <v>980</v>
      </c>
    </row>
    <row r="23" spans="1:16" ht="30" customHeight="1" x14ac:dyDescent="0.2">
      <c r="A23" s="42">
        <v>271</v>
      </c>
      <c r="B23" s="42" t="s">
        <v>1045</v>
      </c>
      <c r="C23" s="42" t="s">
        <v>973</v>
      </c>
      <c r="D23" s="42" t="s">
        <v>18</v>
      </c>
      <c r="E23" s="42">
        <v>1</v>
      </c>
      <c r="F23" s="42" t="s">
        <v>19</v>
      </c>
      <c r="G23" s="42" t="s">
        <v>28</v>
      </c>
      <c r="H23" s="42" t="s">
        <v>34</v>
      </c>
      <c r="I23" s="42" t="s">
        <v>982</v>
      </c>
      <c r="J23" s="42" t="s">
        <v>1046</v>
      </c>
      <c r="K23" s="42" t="s">
        <v>278</v>
      </c>
      <c r="L23" s="42" t="s">
        <v>1047</v>
      </c>
      <c r="M23" s="42">
        <f t="shared" si="0"/>
        <v>122</v>
      </c>
      <c r="N23" s="42" t="str">
        <f t="shared" si="1"/>
        <v>Uygun</v>
      </c>
      <c r="O23" s="42">
        <v>3</v>
      </c>
      <c r="P23" s="42" t="s">
        <v>985</v>
      </c>
    </row>
    <row r="24" spans="1:16" ht="30" customHeight="1" x14ac:dyDescent="0.2">
      <c r="A24" s="42">
        <v>272</v>
      </c>
      <c r="B24" s="42" t="s">
        <v>1048</v>
      </c>
      <c r="C24" s="42" t="s">
        <v>973</v>
      </c>
      <c r="D24" s="42" t="s">
        <v>18</v>
      </c>
      <c r="E24" s="42">
        <v>1</v>
      </c>
      <c r="F24" s="42" t="s">
        <v>513</v>
      </c>
      <c r="G24" s="42" t="s">
        <v>20</v>
      </c>
      <c r="H24" s="42" t="s">
        <v>154</v>
      </c>
      <c r="I24" s="42" t="s">
        <v>982</v>
      </c>
      <c r="J24" s="42" t="s">
        <v>1049</v>
      </c>
      <c r="K24" s="42" t="s">
        <v>283</v>
      </c>
      <c r="L24" s="42" t="s">
        <v>1050</v>
      </c>
      <c r="M24" s="42">
        <f t="shared" si="0"/>
        <v>117</v>
      </c>
      <c r="N24" s="42" t="str">
        <f t="shared" si="1"/>
        <v>Uygun</v>
      </c>
      <c r="O24" s="42">
        <v>4</v>
      </c>
      <c r="P24" s="42" t="s">
        <v>985</v>
      </c>
    </row>
    <row r="25" spans="1:16" ht="30" customHeight="1" x14ac:dyDescent="0.2">
      <c r="A25" s="42">
        <v>273</v>
      </c>
      <c r="B25" s="42" t="s">
        <v>1051</v>
      </c>
      <c r="C25" s="42" t="s">
        <v>973</v>
      </c>
      <c r="D25" s="42" t="s">
        <v>18</v>
      </c>
      <c r="E25" s="42">
        <v>1</v>
      </c>
      <c r="F25" s="42" t="s">
        <v>59</v>
      </c>
      <c r="G25" s="42" t="s">
        <v>269</v>
      </c>
      <c r="H25" s="42" t="s">
        <v>60</v>
      </c>
      <c r="I25" s="42" t="s">
        <v>579</v>
      </c>
      <c r="J25" s="42" t="s">
        <v>1052</v>
      </c>
      <c r="K25" s="42" t="s">
        <v>287</v>
      </c>
      <c r="L25" s="42" t="s">
        <v>1053</v>
      </c>
      <c r="M25" s="42">
        <f t="shared" si="0"/>
        <v>116</v>
      </c>
      <c r="N25" s="42" t="str">
        <f t="shared" si="1"/>
        <v>Uygun</v>
      </c>
      <c r="O25" s="42">
        <v>3</v>
      </c>
      <c r="P25" s="42" t="s">
        <v>999</v>
      </c>
    </row>
    <row r="26" spans="1:16" ht="30" customHeight="1" x14ac:dyDescent="0.2">
      <c r="A26" s="42">
        <v>274</v>
      </c>
      <c r="B26" s="42" t="s">
        <v>1054</v>
      </c>
      <c r="C26" s="42" t="s">
        <v>973</v>
      </c>
      <c r="D26" s="42" t="s">
        <v>18</v>
      </c>
      <c r="E26" s="42">
        <v>1</v>
      </c>
      <c r="F26" s="42" t="s">
        <v>558</v>
      </c>
      <c r="G26" s="42" t="s">
        <v>269</v>
      </c>
      <c r="H26" s="42" t="s">
        <v>110</v>
      </c>
      <c r="I26" s="42" t="s">
        <v>982</v>
      </c>
      <c r="J26" s="42" t="s">
        <v>1055</v>
      </c>
      <c r="K26" s="42" t="s">
        <v>272</v>
      </c>
      <c r="L26" s="42" t="s">
        <v>1056</v>
      </c>
      <c r="M26" s="42">
        <f t="shared" si="0"/>
        <v>123</v>
      </c>
      <c r="N26" s="42" t="str">
        <f t="shared" si="1"/>
        <v>Uygun</v>
      </c>
      <c r="O26" s="42">
        <v>4</v>
      </c>
      <c r="P26" s="42" t="s">
        <v>985</v>
      </c>
    </row>
    <row r="27" spans="1:16" ht="30" customHeight="1" x14ac:dyDescent="0.2">
      <c r="A27" s="42">
        <v>275</v>
      </c>
      <c r="B27" s="42" t="s">
        <v>1057</v>
      </c>
      <c r="C27" s="42" t="s">
        <v>973</v>
      </c>
      <c r="D27" s="42" t="s">
        <v>18</v>
      </c>
      <c r="E27" s="42">
        <v>1</v>
      </c>
      <c r="F27" s="42" t="s">
        <v>19</v>
      </c>
      <c r="G27" s="42" t="s">
        <v>20</v>
      </c>
      <c r="H27" s="42" t="s">
        <v>110</v>
      </c>
      <c r="I27" s="42" t="s">
        <v>762</v>
      </c>
      <c r="J27" s="42" t="s">
        <v>1058</v>
      </c>
      <c r="K27" s="42" t="s">
        <v>278</v>
      </c>
      <c r="L27" s="42" t="s">
        <v>1059</v>
      </c>
      <c r="M27" s="42">
        <f t="shared" si="0"/>
        <v>117</v>
      </c>
      <c r="N27" s="42" t="str">
        <f t="shared" si="1"/>
        <v>Uygun</v>
      </c>
      <c r="O27" s="42">
        <v>3</v>
      </c>
      <c r="P27" s="42" t="s">
        <v>1023</v>
      </c>
    </row>
    <row r="28" spans="1:16" ht="45" customHeight="1" x14ac:dyDescent="0.2">
      <c r="A28" s="42">
        <v>276</v>
      </c>
      <c r="B28" s="42" t="s">
        <v>1060</v>
      </c>
      <c r="C28" s="42" t="s">
        <v>973</v>
      </c>
      <c r="D28" s="42" t="s">
        <v>18</v>
      </c>
      <c r="E28" s="42">
        <v>1</v>
      </c>
      <c r="F28" s="42" t="s">
        <v>19</v>
      </c>
      <c r="G28" s="42" t="s">
        <v>269</v>
      </c>
      <c r="H28" s="42" t="s">
        <v>21</v>
      </c>
      <c r="I28" s="42" t="s">
        <v>508</v>
      </c>
      <c r="J28" s="42" t="s">
        <v>1061</v>
      </c>
      <c r="K28" s="42" t="s">
        <v>283</v>
      </c>
      <c r="L28" s="42" t="s">
        <v>1062</v>
      </c>
      <c r="M28" s="42">
        <f t="shared" si="0"/>
        <v>128</v>
      </c>
      <c r="N28" s="42" t="str">
        <f t="shared" si="1"/>
        <v>Uygun</v>
      </c>
      <c r="O28" s="42">
        <v>4</v>
      </c>
      <c r="P28" s="42" t="s">
        <v>976</v>
      </c>
    </row>
    <row r="29" spans="1:16" ht="30" customHeight="1" x14ac:dyDescent="0.2">
      <c r="A29" s="42">
        <v>277</v>
      </c>
      <c r="B29" s="42" t="s">
        <v>1063</v>
      </c>
      <c r="C29" s="42" t="s">
        <v>973</v>
      </c>
      <c r="D29" s="42" t="s">
        <v>18</v>
      </c>
      <c r="E29" s="42">
        <v>1</v>
      </c>
      <c r="F29" s="42" t="s">
        <v>19</v>
      </c>
      <c r="G29" s="42" t="s">
        <v>28</v>
      </c>
      <c r="H29" s="42" t="s">
        <v>53</v>
      </c>
      <c r="I29" s="42" t="s">
        <v>330</v>
      </c>
      <c r="J29" s="42" t="s">
        <v>1064</v>
      </c>
      <c r="K29" s="42" t="s">
        <v>287</v>
      </c>
      <c r="L29" s="42" t="s">
        <v>1065</v>
      </c>
      <c r="M29" s="42">
        <f t="shared" si="0"/>
        <v>115</v>
      </c>
      <c r="N29" s="42" t="str">
        <f t="shared" si="1"/>
        <v>Uygun</v>
      </c>
      <c r="O29" s="42">
        <v>3</v>
      </c>
      <c r="P29" s="42" t="s">
        <v>1010</v>
      </c>
    </row>
    <row r="30" spans="1:16" ht="30" customHeight="1" x14ac:dyDescent="0.2">
      <c r="A30" s="42">
        <v>278</v>
      </c>
      <c r="B30" s="42" t="s">
        <v>1066</v>
      </c>
      <c r="C30" s="42" t="s">
        <v>973</v>
      </c>
      <c r="D30" s="42" t="s">
        <v>18</v>
      </c>
      <c r="E30" s="42">
        <v>1</v>
      </c>
      <c r="F30" s="42" t="s">
        <v>513</v>
      </c>
      <c r="G30" s="42" t="s">
        <v>28</v>
      </c>
      <c r="H30" s="42" t="s">
        <v>60</v>
      </c>
      <c r="I30" s="42" t="s">
        <v>579</v>
      </c>
      <c r="J30" s="42" t="s">
        <v>1067</v>
      </c>
      <c r="K30" s="42" t="s">
        <v>272</v>
      </c>
      <c r="L30" s="42" t="s">
        <v>1068</v>
      </c>
      <c r="M30" s="42">
        <f t="shared" si="0"/>
        <v>107</v>
      </c>
      <c r="N30" s="42" t="str">
        <f t="shared" si="1"/>
        <v>Uygun</v>
      </c>
      <c r="O30" s="42">
        <v>4</v>
      </c>
      <c r="P30" s="42" t="s">
        <v>999</v>
      </c>
    </row>
    <row r="31" spans="1:16" ht="30" customHeight="1" x14ac:dyDescent="0.2">
      <c r="A31" s="42">
        <v>279</v>
      </c>
      <c r="B31" s="42" t="s">
        <v>1069</v>
      </c>
      <c r="C31" s="42" t="s">
        <v>973</v>
      </c>
      <c r="D31" s="42" t="s">
        <v>18</v>
      </c>
      <c r="E31" s="42">
        <v>1</v>
      </c>
      <c r="F31" s="42" t="s">
        <v>40</v>
      </c>
      <c r="G31" s="42" t="s">
        <v>20</v>
      </c>
      <c r="H31" s="42" t="s">
        <v>164</v>
      </c>
      <c r="I31" s="42" t="s">
        <v>982</v>
      </c>
      <c r="J31" s="42" t="s">
        <v>1070</v>
      </c>
      <c r="K31" s="42" t="s">
        <v>278</v>
      </c>
      <c r="L31" s="42" t="s">
        <v>1071</v>
      </c>
      <c r="M31" s="42">
        <f t="shared" si="0"/>
        <v>127</v>
      </c>
      <c r="N31" s="42" t="str">
        <f t="shared" si="1"/>
        <v>Uygun</v>
      </c>
      <c r="O31" s="42">
        <v>3</v>
      </c>
      <c r="P31" s="42" t="s">
        <v>985</v>
      </c>
    </row>
    <row r="32" spans="1:16" ht="45" customHeight="1" x14ac:dyDescent="0.2">
      <c r="A32" s="42">
        <v>280</v>
      </c>
      <c r="B32" s="42" t="s">
        <v>1072</v>
      </c>
      <c r="C32" s="42" t="s">
        <v>973</v>
      </c>
      <c r="D32" s="42" t="s">
        <v>18</v>
      </c>
      <c r="E32" s="42">
        <v>1</v>
      </c>
      <c r="F32" s="42" t="s">
        <v>41</v>
      </c>
      <c r="G32" s="42" t="s">
        <v>20</v>
      </c>
      <c r="H32" s="42" t="s">
        <v>53</v>
      </c>
      <c r="I32" s="42" t="s">
        <v>330</v>
      </c>
      <c r="J32" s="42" t="s">
        <v>1073</v>
      </c>
      <c r="K32" s="42" t="s">
        <v>283</v>
      </c>
      <c r="L32" s="42" t="s">
        <v>1074</v>
      </c>
      <c r="M32" s="42">
        <f t="shared" si="0"/>
        <v>122</v>
      </c>
      <c r="N32" s="42" t="str">
        <f t="shared" si="1"/>
        <v>Uygun</v>
      </c>
      <c r="O32" s="42">
        <v>4</v>
      </c>
      <c r="P32" s="42" t="s">
        <v>1010</v>
      </c>
    </row>
    <row r="33" spans="1:16" ht="30" customHeight="1" x14ac:dyDescent="0.2">
      <c r="A33" s="42">
        <v>281</v>
      </c>
      <c r="B33" s="42" t="s">
        <v>1075</v>
      </c>
      <c r="C33" s="42" t="s">
        <v>973</v>
      </c>
      <c r="D33" s="42" t="s">
        <v>18</v>
      </c>
      <c r="E33" s="42">
        <v>1</v>
      </c>
      <c r="F33" s="42" t="s">
        <v>19</v>
      </c>
      <c r="G33" s="42" t="s">
        <v>28</v>
      </c>
      <c r="H33" s="42" t="s">
        <v>21</v>
      </c>
      <c r="I33" s="42" t="s">
        <v>508</v>
      </c>
      <c r="J33" s="42" t="s">
        <v>1076</v>
      </c>
      <c r="K33" s="42" t="s">
        <v>287</v>
      </c>
      <c r="L33" s="42" t="s">
        <v>1077</v>
      </c>
      <c r="M33" s="42">
        <f t="shared" si="0"/>
        <v>117</v>
      </c>
      <c r="N33" s="42" t="str">
        <f t="shared" si="1"/>
        <v>Uygun</v>
      </c>
      <c r="O33" s="42">
        <v>3</v>
      </c>
      <c r="P33" s="42" t="s">
        <v>976</v>
      </c>
    </row>
    <row r="34" spans="1:16" ht="30" customHeight="1" x14ac:dyDescent="0.2">
      <c r="A34" s="42">
        <v>282</v>
      </c>
      <c r="B34" s="42" t="s">
        <v>1078</v>
      </c>
      <c r="C34" s="42" t="s">
        <v>973</v>
      </c>
      <c r="D34" s="42" t="s">
        <v>163</v>
      </c>
      <c r="E34" s="42">
        <v>2</v>
      </c>
      <c r="F34" s="42" t="s">
        <v>513</v>
      </c>
      <c r="G34" s="42" t="s">
        <v>28</v>
      </c>
      <c r="H34" s="42" t="s">
        <v>47</v>
      </c>
      <c r="I34" s="42" t="s">
        <v>650</v>
      </c>
      <c r="J34" s="42" t="s">
        <v>1079</v>
      </c>
      <c r="K34" s="42" t="s">
        <v>380</v>
      </c>
      <c r="L34" s="42" t="s">
        <v>1080</v>
      </c>
      <c r="M34" s="42">
        <f t="shared" ref="M34:M63" si="2">LEN(L34)</f>
        <v>119</v>
      </c>
      <c r="N34" s="42" t="str">
        <f t="shared" ref="N34:N63" si="3">IF(L34="","Eksik",IF(M34&lt;=130,"Uygun","130 karakteri aşıyor"))</f>
        <v>Uygun</v>
      </c>
      <c r="O34" s="42">
        <v>5</v>
      </c>
      <c r="P34" s="42" t="s">
        <v>1081</v>
      </c>
    </row>
    <row r="35" spans="1:16" ht="45" customHeight="1" x14ac:dyDescent="0.2">
      <c r="A35" s="42">
        <v>283</v>
      </c>
      <c r="B35" s="42" t="s">
        <v>1082</v>
      </c>
      <c r="C35" s="42" t="s">
        <v>973</v>
      </c>
      <c r="D35" s="42" t="s">
        <v>163</v>
      </c>
      <c r="E35" s="42">
        <v>2</v>
      </c>
      <c r="F35" s="42" t="s">
        <v>513</v>
      </c>
      <c r="G35" s="42" t="s">
        <v>28</v>
      </c>
      <c r="H35" s="42" t="s">
        <v>53</v>
      </c>
      <c r="I35" s="42" t="s">
        <v>419</v>
      </c>
      <c r="J35" s="42" t="s">
        <v>1083</v>
      </c>
      <c r="K35" s="42" t="s">
        <v>385</v>
      </c>
      <c r="L35" s="42" t="s">
        <v>1084</v>
      </c>
      <c r="M35" s="42">
        <f t="shared" si="2"/>
        <v>122</v>
      </c>
      <c r="N35" s="42" t="str">
        <f t="shared" si="3"/>
        <v>Uygun</v>
      </c>
      <c r="O35" s="42">
        <v>5</v>
      </c>
      <c r="P35" s="42" t="s">
        <v>1085</v>
      </c>
    </row>
    <row r="36" spans="1:16" ht="45" customHeight="1" x14ac:dyDescent="0.2">
      <c r="A36" s="42">
        <v>284</v>
      </c>
      <c r="B36" s="42" t="s">
        <v>1086</v>
      </c>
      <c r="C36" s="42" t="s">
        <v>973</v>
      </c>
      <c r="D36" s="42" t="s">
        <v>163</v>
      </c>
      <c r="E36" s="42">
        <v>2</v>
      </c>
      <c r="F36" s="42" t="s">
        <v>513</v>
      </c>
      <c r="G36" s="42" t="s">
        <v>269</v>
      </c>
      <c r="H36" s="42" t="s">
        <v>154</v>
      </c>
      <c r="I36" s="42" t="s">
        <v>621</v>
      </c>
      <c r="J36" s="42" t="s">
        <v>1087</v>
      </c>
      <c r="K36" s="42" t="s">
        <v>389</v>
      </c>
      <c r="L36" s="42" t="s">
        <v>1088</v>
      </c>
      <c r="M36" s="42">
        <f t="shared" si="2"/>
        <v>128</v>
      </c>
      <c r="N36" s="42" t="str">
        <f t="shared" si="3"/>
        <v>Uygun</v>
      </c>
      <c r="O36" s="42">
        <v>5</v>
      </c>
      <c r="P36" s="42" t="s">
        <v>1089</v>
      </c>
    </row>
    <row r="37" spans="1:16" ht="45" customHeight="1" x14ac:dyDescent="0.2">
      <c r="A37" s="42">
        <v>285</v>
      </c>
      <c r="B37" s="42" t="s">
        <v>1090</v>
      </c>
      <c r="C37" s="42" t="s">
        <v>973</v>
      </c>
      <c r="D37" s="42" t="s">
        <v>163</v>
      </c>
      <c r="E37" s="42">
        <v>2</v>
      </c>
      <c r="F37" s="42" t="s">
        <v>245</v>
      </c>
      <c r="G37" s="42" t="s">
        <v>28</v>
      </c>
      <c r="H37" s="42" t="s">
        <v>73</v>
      </c>
      <c r="I37" s="42" t="s">
        <v>419</v>
      </c>
      <c r="J37" s="42" t="s">
        <v>1091</v>
      </c>
      <c r="K37" s="42" t="s">
        <v>394</v>
      </c>
      <c r="L37" s="42" t="s">
        <v>1092</v>
      </c>
      <c r="M37" s="42">
        <f t="shared" si="2"/>
        <v>118</v>
      </c>
      <c r="N37" s="42" t="str">
        <f t="shared" si="3"/>
        <v>Uygun</v>
      </c>
      <c r="O37" s="42">
        <v>5</v>
      </c>
      <c r="P37" s="42" t="s">
        <v>1085</v>
      </c>
    </row>
    <row r="38" spans="1:16" ht="30" customHeight="1" x14ac:dyDescent="0.2">
      <c r="A38" s="42">
        <v>286</v>
      </c>
      <c r="B38" s="42" t="s">
        <v>1093</v>
      </c>
      <c r="C38" s="42" t="s">
        <v>973</v>
      </c>
      <c r="D38" s="42" t="s">
        <v>163</v>
      </c>
      <c r="E38" s="42">
        <v>2</v>
      </c>
      <c r="F38" s="42" t="s">
        <v>554</v>
      </c>
      <c r="G38" s="42" t="s">
        <v>28</v>
      </c>
      <c r="H38" s="42" t="s">
        <v>110</v>
      </c>
      <c r="I38" s="42" t="s">
        <v>398</v>
      </c>
      <c r="J38" s="42" t="s">
        <v>1094</v>
      </c>
      <c r="K38" s="42" t="s">
        <v>380</v>
      </c>
      <c r="L38" s="42" t="s">
        <v>1095</v>
      </c>
      <c r="M38" s="42">
        <f t="shared" si="2"/>
        <v>120</v>
      </c>
      <c r="N38" s="42" t="str">
        <f t="shared" si="3"/>
        <v>Uygun</v>
      </c>
      <c r="O38" s="42">
        <v>5</v>
      </c>
      <c r="P38" s="42" t="s">
        <v>1096</v>
      </c>
    </row>
    <row r="39" spans="1:16" ht="30" customHeight="1" x14ac:dyDescent="0.2">
      <c r="A39" s="42">
        <v>287</v>
      </c>
      <c r="B39" s="42" t="s">
        <v>1097</v>
      </c>
      <c r="C39" s="42" t="s">
        <v>973</v>
      </c>
      <c r="D39" s="42" t="s">
        <v>163</v>
      </c>
      <c r="E39" s="42">
        <v>2</v>
      </c>
      <c r="F39" s="42" t="s">
        <v>412</v>
      </c>
      <c r="G39" s="42" t="s">
        <v>20</v>
      </c>
      <c r="H39" s="42" t="s">
        <v>60</v>
      </c>
      <c r="I39" s="42" t="s">
        <v>665</v>
      </c>
      <c r="J39" s="42" t="s">
        <v>1098</v>
      </c>
      <c r="K39" s="42" t="s">
        <v>385</v>
      </c>
      <c r="L39" s="42" t="s">
        <v>1099</v>
      </c>
      <c r="M39" s="42">
        <f t="shared" si="2"/>
        <v>126</v>
      </c>
      <c r="N39" s="42" t="str">
        <f t="shared" si="3"/>
        <v>Uygun</v>
      </c>
      <c r="O39" s="42">
        <v>5</v>
      </c>
      <c r="P39" s="42" t="s">
        <v>1100</v>
      </c>
    </row>
    <row r="40" spans="1:16" ht="30" customHeight="1" x14ac:dyDescent="0.2">
      <c r="A40" s="42">
        <v>288</v>
      </c>
      <c r="B40" s="42" t="s">
        <v>1101</v>
      </c>
      <c r="C40" s="42" t="s">
        <v>973</v>
      </c>
      <c r="D40" s="42" t="s">
        <v>163</v>
      </c>
      <c r="E40" s="42">
        <v>2</v>
      </c>
      <c r="F40" s="42" t="s">
        <v>64</v>
      </c>
      <c r="G40" s="42" t="s">
        <v>28</v>
      </c>
      <c r="H40" s="42" t="s">
        <v>93</v>
      </c>
      <c r="I40" s="42" t="s">
        <v>876</v>
      </c>
      <c r="J40" s="42" t="s">
        <v>1102</v>
      </c>
      <c r="K40" s="42" t="s">
        <v>389</v>
      </c>
      <c r="L40" s="42" t="s">
        <v>1103</v>
      </c>
      <c r="M40" s="42">
        <f t="shared" si="2"/>
        <v>112</v>
      </c>
      <c r="N40" s="42" t="str">
        <f t="shared" si="3"/>
        <v>Uygun</v>
      </c>
      <c r="O40" s="42">
        <v>5</v>
      </c>
      <c r="P40" s="42" t="s">
        <v>1104</v>
      </c>
    </row>
    <row r="41" spans="1:16" ht="45" customHeight="1" x14ac:dyDescent="0.2">
      <c r="A41" s="42">
        <v>289</v>
      </c>
      <c r="B41" s="42" t="s">
        <v>1105</v>
      </c>
      <c r="C41" s="42" t="s">
        <v>973</v>
      </c>
      <c r="D41" s="42" t="s">
        <v>163</v>
      </c>
      <c r="E41" s="42">
        <v>2</v>
      </c>
      <c r="F41" s="42" t="s">
        <v>245</v>
      </c>
      <c r="G41" s="42" t="s">
        <v>20</v>
      </c>
      <c r="H41" s="42" t="s">
        <v>178</v>
      </c>
      <c r="I41" s="42" t="s">
        <v>1106</v>
      </c>
      <c r="J41" s="42" t="s">
        <v>1107</v>
      </c>
      <c r="K41" s="42" t="s">
        <v>394</v>
      </c>
      <c r="L41" s="42" t="s">
        <v>1108</v>
      </c>
      <c r="M41" s="42">
        <f t="shared" si="2"/>
        <v>130</v>
      </c>
      <c r="N41" s="42" t="str">
        <f t="shared" si="3"/>
        <v>Uygun</v>
      </c>
      <c r="O41" s="42">
        <v>5</v>
      </c>
      <c r="P41" s="42" t="s">
        <v>1109</v>
      </c>
    </row>
    <row r="42" spans="1:16" ht="30" customHeight="1" x14ac:dyDescent="0.2">
      <c r="A42" s="42">
        <v>290</v>
      </c>
      <c r="B42" s="42" t="s">
        <v>1110</v>
      </c>
      <c r="C42" s="42" t="s">
        <v>973</v>
      </c>
      <c r="D42" s="42" t="s">
        <v>163</v>
      </c>
      <c r="E42" s="42">
        <v>2</v>
      </c>
      <c r="F42" s="42" t="s">
        <v>245</v>
      </c>
      <c r="G42" s="42" t="s">
        <v>28</v>
      </c>
      <c r="H42" s="42" t="s">
        <v>123</v>
      </c>
      <c r="I42" s="42" t="s">
        <v>670</v>
      </c>
      <c r="J42" s="42" t="s">
        <v>1111</v>
      </c>
      <c r="K42" s="42" t="s">
        <v>380</v>
      </c>
      <c r="L42" s="42" t="s">
        <v>1112</v>
      </c>
      <c r="M42" s="42">
        <f t="shared" si="2"/>
        <v>121</v>
      </c>
      <c r="N42" s="42" t="str">
        <f t="shared" si="3"/>
        <v>Uygun</v>
      </c>
      <c r="O42" s="42">
        <v>5</v>
      </c>
      <c r="P42" s="42" t="s">
        <v>1113</v>
      </c>
    </row>
    <row r="43" spans="1:16" ht="30" customHeight="1" x14ac:dyDescent="0.2">
      <c r="A43" s="42">
        <v>291</v>
      </c>
      <c r="B43" s="42" t="s">
        <v>1114</v>
      </c>
      <c r="C43" s="42" t="s">
        <v>973</v>
      </c>
      <c r="D43" s="42" t="s">
        <v>163</v>
      </c>
      <c r="E43" s="42">
        <v>2</v>
      </c>
      <c r="F43" s="42" t="s">
        <v>41</v>
      </c>
      <c r="G43" s="42" t="s">
        <v>28</v>
      </c>
      <c r="H43" s="42" t="s">
        <v>41</v>
      </c>
      <c r="I43" s="42" t="s">
        <v>881</v>
      </c>
      <c r="J43" s="42" t="s">
        <v>1115</v>
      </c>
      <c r="K43" s="42" t="s">
        <v>385</v>
      </c>
      <c r="L43" s="42" t="s">
        <v>1116</v>
      </c>
      <c r="M43" s="42">
        <f t="shared" si="2"/>
        <v>111</v>
      </c>
      <c r="N43" s="42" t="str">
        <f t="shared" si="3"/>
        <v>Uygun</v>
      </c>
      <c r="O43" s="42">
        <v>5</v>
      </c>
      <c r="P43" s="42" t="s">
        <v>1117</v>
      </c>
    </row>
    <row r="44" spans="1:16" ht="45" customHeight="1" x14ac:dyDescent="0.2">
      <c r="A44" s="42">
        <v>292</v>
      </c>
      <c r="B44" s="42" t="s">
        <v>1118</v>
      </c>
      <c r="C44" s="42" t="s">
        <v>973</v>
      </c>
      <c r="D44" s="42" t="s">
        <v>163</v>
      </c>
      <c r="E44" s="42">
        <v>2</v>
      </c>
      <c r="F44" s="42" t="s">
        <v>356</v>
      </c>
      <c r="G44" s="42" t="s">
        <v>269</v>
      </c>
      <c r="H44" s="42" t="s">
        <v>110</v>
      </c>
      <c r="I44" s="42" t="s">
        <v>1106</v>
      </c>
      <c r="J44" s="42" t="s">
        <v>1119</v>
      </c>
      <c r="K44" s="42" t="s">
        <v>389</v>
      </c>
      <c r="L44" s="42" t="s">
        <v>1120</v>
      </c>
      <c r="M44" s="42">
        <f t="shared" si="2"/>
        <v>119</v>
      </c>
      <c r="N44" s="42" t="str">
        <f t="shared" si="3"/>
        <v>Uygun</v>
      </c>
      <c r="O44" s="42">
        <v>5</v>
      </c>
      <c r="P44" s="42" t="s">
        <v>1109</v>
      </c>
    </row>
    <row r="45" spans="1:16" ht="45" customHeight="1" x14ac:dyDescent="0.2">
      <c r="A45" s="42">
        <v>293</v>
      </c>
      <c r="B45" s="42" t="s">
        <v>1121</v>
      </c>
      <c r="C45" s="42" t="s">
        <v>973</v>
      </c>
      <c r="D45" s="42" t="s">
        <v>163</v>
      </c>
      <c r="E45" s="42">
        <v>2</v>
      </c>
      <c r="F45" s="42" t="s">
        <v>513</v>
      </c>
      <c r="G45" s="42" t="s">
        <v>28</v>
      </c>
      <c r="H45" s="42" t="s">
        <v>132</v>
      </c>
      <c r="I45" s="42" t="s">
        <v>419</v>
      </c>
      <c r="J45" s="42" t="s">
        <v>1122</v>
      </c>
      <c r="K45" s="42" t="s">
        <v>394</v>
      </c>
      <c r="L45" s="42" t="s">
        <v>1123</v>
      </c>
      <c r="M45" s="42">
        <f t="shared" si="2"/>
        <v>124</v>
      </c>
      <c r="N45" s="42" t="str">
        <f t="shared" si="3"/>
        <v>Uygun</v>
      </c>
      <c r="O45" s="42">
        <v>5</v>
      </c>
      <c r="P45" s="42" t="s">
        <v>1085</v>
      </c>
    </row>
    <row r="46" spans="1:16" ht="30" customHeight="1" x14ac:dyDescent="0.2">
      <c r="A46" s="42">
        <v>294</v>
      </c>
      <c r="B46" s="42" t="s">
        <v>1124</v>
      </c>
      <c r="C46" s="42" t="s">
        <v>973</v>
      </c>
      <c r="D46" s="42" t="s">
        <v>163</v>
      </c>
      <c r="E46" s="42">
        <v>2</v>
      </c>
      <c r="F46" s="42" t="s">
        <v>41</v>
      </c>
      <c r="G46" s="42" t="s">
        <v>28</v>
      </c>
      <c r="H46" s="42" t="s">
        <v>41</v>
      </c>
      <c r="I46" s="42" t="s">
        <v>881</v>
      </c>
      <c r="J46" s="42" t="s">
        <v>1125</v>
      </c>
      <c r="K46" s="42" t="s">
        <v>380</v>
      </c>
      <c r="L46" s="42" t="s">
        <v>1126</v>
      </c>
      <c r="M46" s="42">
        <f t="shared" si="2"/>
        <v>124</v>
      </c>
      <c r="N46" s="42" t="str">
        <f t="shared" si="3"/>
        <v>Uygun</v>
      </c>
      <c r="O46" s="42">
        <v>5</v>
      </c>
      <c r="P46" s="42" t="s">
        <v>1117</v>
      </c>
    </row>
    <row r="47" spans="1:16" ht="45" customHeight="1" x14ac:dyDescent="0.2">
      <c r="A47" s="42">
        <v>295</v>
      </c>
      <c r="B47" s="42" t="s">
        <v>1127</v>
      </c>
      <c r="C47" s="42" t="s">
        <v>973</v>
      </c>
      <c r="D47" s="42" t="s">
        <v>163</v>
      </c>
      <c r="E47" s="42">
        <v>2</v>
      </c>
      <c r="F47" s="42" t="s">
        <v>554</v>
      </c>
      <c r="G47" s="42" t="s">
        <v>28</v>
      </c>
      <c r="H47" s="42" t="s">
        <v>47</v>
      </c>
      <c r="I47" s="42" t="s">
        <v>650</v>
      </c>
      <c r="J47" s="42" t="s">
        <v>1128</v>
      </c>
      <c r="K47" s="42" t="s">
        <v>385</v>
      </c>
      <c r="L47" s="42" t="s">
        <v>1129</v>
      </c>
      <c r="M47" s="42">
        <f t="shared" si="2"/>
        <v>119</v>
      </c>
      <c r="N47" s="42" t="str">
        <f t="shared" si="3"/>
        <v>Uygun</v>
      </c>
      <c r="O47" s="42">
        <v>5</v>
      </c>
      <c r="P47" s="42" t="s">
        <v>1081</v>
      </c>
    </row>
    <row r="48" spans="1:16" ht="45" customHeight="1" x14ac:dyDescent="0.2">
      <c r="A48" s="42">
        <v>296</v>
      </c>
      <c r="B48" s="42" t="s">
        <v>1130</v>
      </c>
      <c r="C48" s="42" t="s">
        <v>973</v>
      </c>
      <c r="D48" s="42" t="s">
        <v>163</v>
      </c>
      <c r="E48" s="42">
        <v>2</v>
      </c>
      <c r="F48" s="42" t="s">
        <v>245</v>
      </c>
      <c r="G48" s="42" t="s">
        <v>28</v>
      </c>
      <c r="H48" s="42" t="s">
        <v>214</v>
      </c>
      <c r="I48" s="42" t="s">
        <v>1106</v>
      </c>
      <c r="J48" s="42" t="s">
        <v>1131</v>
      </c>
      <c r="K48" s="42" t="s">
        <v>389</v>
      </c>
      <c r="L48" s="42" t="s">
        <v>1132</v>
      </c>
      <c r="M48" s="42">
        <f t="shared" si="2"/>
        <v>120</v>
      </c>
      <c r="N48" s="42" t="str">
        <f t="shared" si="3"/>
        <v>Uygun</v>
      </c>
      <c r="O48" s="42">
        <v>5</v>
      </c>
      <c r="P48" s="42" t="s">
        <v>1109</v>
      </c>
    </row>
    <row r="49" spans="1:16" ht="45" customHeight="1" x14ac:dyDescent="0.2">
      <c r="A49" s="42">
        <v>297</v>
      </c>
      <c r="B49" s="42" t="s">
        <v>1133</v>
      </c>
      <c r="C49" s="42" t="s">
        <v>973</v>
      </c>
      <c r="D49" s="42" t="s">
        <v>163</v>
      </c>
      <c r="E49" s="42">
        <v>2</v>
      </c>
      <c r="F49" s="42" t="s">
        <v>212</v>
      </c>
      <c r="G49" s="42" t="s">
        <v>28</v>
      </c>
      <c r="H49" s="42" t="s">
        <v>231</v>
      </c>
      <c r="I49" s="42" t="s">
        <v>1106</v>
      </c>
      <c r="J49" s="42" t="s">
        <v>1134</v>
      </c>
      <c r="K49" s="42" t="s">
        <v>394</v>
      </c>
      <c r="L49" s="42" t="s">
        <v>1135</v>
      </c>
      <c r="M49" s="42">
        <f t="shared" si="2"/>
        <v>110</v>
      </c>
      <c r="N49" s="42" t="str">
        <f t="shared" si="3"/>
        <v>Uygun</v>
      </c>
      <c r="O49" s="42">
        <v>5</v>
      </c>
      <c r="P49" s="42" t="s">
        <v>1109</v>
      </c>
    </row>
    <row r="50" spans="1:16" ht="45" customHeight="1" x14ac:dyDescent="0.2">
      <c r="A50" s="42">
        <v>298</v>
      </c>
      <c r="B50" s="42" t="s">
        <v>1136</v>
      </c>
      <c r="C50" s="42" t="s">
        <v>973</v>
      </c>
      <c r="D50" s="42" t="s">
        <v>218</v>
      </c>
      <c r="E50" s="42">
        <v>3</v>
      </c>
      <c r="F50" s="42" t="s">
        <v>554</v>
      </c>
      <c r="G50" s="42" t="s">
        <v>28</v>
      </c>
      <c r="H50" s="42" t="s">
        <v>79</v>
      </c>
      <c r="I50" s="42" t="s">
        <v>445</v>
      </c>
      <c r="J50" s="42" t="s">
        <v>1137</v>
      </c>
      <c r="K50" s="42" t="s">
        <v>441</v>
      </c>
      <c r="L50" s="42" t="s">
        <v>1138</v>
      </c>
      <c r="M50" s="42">
        <f t="shared" si="2"/>
        <v>116</v>
      </c>
      <c r="N50" s="42" t="str">
        <f t="shared" si="3"/>
        <v>Uygun</v>
      </c>
      <c r="O50" s="42">
        <v>7</v>
      </c>
      <c r="P50" s="42" t="s">
        <v>1139</v>
      </c>
    </row>
    <row r="51" spans="1:16" ht="30" customHeight="1" x14ac:dyDescent="0.2">
      <c r="A51" s="42">
        <v>299</v>
      </c>
      <c r="B51" s="42" t="s">
        <v>1140</v>
      </c>
      <c r="C51" s="42" t="s">
        <v>973</v>
      </c>
      <c r="D51" s="42" t="s">
        <v>218</v>
      </c>
      <c r="E51" s="42">
        <v>3</v>
      </c>
      <c r="F51" s="42" t="s">
        <v>554</v>
      </c>
      <c r="G51" s="42" t="s">
        <v>28</v>
      </c>
      <c r="H51" s="42" t="s">
        <v>60</v>
      </c>
      <c r="I51" s="42" t="s">
        <v>692</v>
      </c>
      <c r="J51" s="42" t="s">
        <v>1141</v>
      </c>
      <c r="K51" s="42" t="s">
        <v>447</v>
      </c>
      <c r="L51" s="42" t="s">
        <v>1142</v>
      </c>
      <c r="M51" s="42">
        <f t="shared" si="2"/>
        <v>110</v>
      </c>
      <c r="N51" s="42" t="str">
        <f t="shared" si="3"/>
        <v>Uygun</v>
      </c>
      <c r="O51" s="42">
        <v>6</v>
      </c>
      <c r="P51" s="42" t="s">
        <v>1143</v>
      </c>
    </row>
    <row r="52" spans="1:16" ht="45" customHeight="1" x14ac:dyDescent="0.2">
      <c r="A52" s="42">
        <v>300</v>
      </c>
      <c r="B52" s="42" t="s">
        <v>1144</v>
      </c>
      <c r="C52" s="42" t="s">
        <v>973</v>
      </c>
      <c r="D52" s="42" t="s">
        <v>218</v>
      </c>
      <c r="E52" s="42">
        <v>3</v>
      </c>
      <c r="F52" s="42" t="s">
        <v>59</v>
      </c>
      <c r="G52" s="42" t="s">
        <v>28</v>
      </c>
      <c r="H52" s="42" t="s">
        <v>34</v>
      </c>
      <c r="I52" s="42" t="s">
        <v>1145</v>
      </c>
      <c r="J52" s="42" t="s">
        <v>1146</v>
      </c>
      <c r="K52" s="42" t="s">
        <v>453</v>
      </c>
      <c r="L52" s="42" t="s">
        <v>1147</v>
      </c>
      <c r="M52" s="42">
        <f t="shared" si="2"/>
        <v>127</v>
      </c>
      <c r="N52" s="42" t="str">
        <f t="shared" si="3"/>
        <v>Uygun</v>
      </c>
      <c r="O52" s="42">
        <v>7</v>
      </c>
      <c r="P52" s="42" t="s">
        <v>1148</v>
      </c>
    </row>
    <row r="53" spans="1:16" ht="30" customHeight="1" x14ac:dyDescent="0.2">
      <c r="A53" s="42">
        <v>301</v>
      </c>
      <c r="B53" s="42" t="s">
        <v>1149</v>
      </c>
      <c r="C53" s="42" t="s">
        <v>973</v>
      </c>
      <c r="D53" s="42" t="s">
        <v>218</v>
      </c>
      <c r="E53" s="42">
        <v>3</v>
      </c>
      <c r="F53" s="42" t="s">
        <v>554</v>
      </c>
      <c r="G53" s="42" t="s">
        <v>269</v>
      </c>
      <c r="H53" s="42" t="s">
        <v>21</v>
      </c>
      <c r="I53" s="42" t="s">
        <v>682</v>
      </c>
      <c r="J53" s="42" t="s">
        <v>1150</v>
      </c>
      <c r="K53" s="42" t="s">
        <v>458</v>
      </c>
      <c r="L53" s="42" t="s">
        <v>1151</v>
      </c>
      <c r="M53" s="42">
        <f t="shared" si="2"/>
        <v>117</v>
      </c>
      <c r="N53" s="42" t="str">
        <f t="shared" si="3"/>
        <v>Uygun</v>
      </c>
      <c r="O53" s="42">
        <v>6</v>
      </c>
      <c r="P53" s="42" t="s">
        <v>1152</v>
      </c>
    </row>
    <row r="54" spans="1:16" ht="45" customHeight="1" x14ac:dyDescent="0.2">
      <c r="A54" s="42">
        <v>302</v>
      </c>
      <c r="B54" s="42" t="s">
        <v>1153</v>
      </c>
      <c r="C54" s="42" t="s">
        <v>973</v>
      </c>
      <c r="D54" s="42" t="s">
        <v>218</v>
      </c>
      <c r="E54" s="42">
        <v>3</v>
      </c>
      <c r="F54" s="42" t="s">
        <v>513</v>
      </c>
      <c r="G54" s="42" t="s">
        <v>28</v>
      </c>
      <c r="H54" s="42" t="s">
        <v>53</v>
      </c>
      <c r="I54" s="42" t="s">
        <v>701</v>
      </c>
      <c r="J54" s="42" t="s">
        <v>1154</v>
      </c>
      <c r="K54" s="42" t="s">
        <v>441</v>
      </c>
      <c r="L54" s="42" t="s">
        <v>1155</v>
      </c>
      <c r="M54" s="42">
        <f t="shared" si="2"/>
        <v>129</v>
      </c>
      <c r="N54" s="42" t="str">
        <f t="shared" si="3"/>
        <v>Uygun</v>
      </c>
      <c r="O54" s="42">
        <v>7</v>
      </c>
      <c r="P54" s="42" t="s">
        <v>1156</v>
      </c>
    </row>
    <row r="55" spans="1:16" ht="45" customHeight="1" x14ac:dyDescent="0.2">
      <c r="A55" s="42">
        <v>303</v>
      </c>
      <c r="B55" s="42" t="s">
        <v>1157</v>
      </c>
      <c r="C55" s="42" t="s">
        <v>973</v>
      </c>
      <c r="D55" s="42" t="s">
        <v>218</v>
      </c>
      <c r="E55" s="42">
        <v>3</v>
      </c>
      <c r="F55" s="42" t="s">
        <v>245</v>
      </c>
      <c r="G55" s="42" t="s">
        <v>28</v>
      </c>
      <c r="H55" s="42" t="s">
        <v>47</v>
      </c>
      <c r="I55" s="42" t="s">
        <v>687</v>
      </c>
      <c r="J55" s="42" t="s">
        <v>1158</v>
      </c>
      <c r="K55" s="42" t="s">
        <v>447</v>
      </c>
      <c r="L55" s="42" t="s">
        <v>1159</v>
      </c>
      <c r="M55" s="42">
        <f t="shared" si="2"/>
        <v>127</v>
      </c>
      <c r="N55" s="42" t="str">
        <f t="shared" si="3"/>
        <v>Uygun</v>
      </c>
      <c r="O55" s="42">
        <v>6</v>
      </c>
      <c r="P55" s="42" t="s">
        <v>1160</v>
      </c>
    </row>
    <row r="56" spans="1:16" ht="45" customHeight="1" x14ac:dyDescent="0.2">
      <c r="A56" s="42">
        <v>304</v>
      </c>
      <c r="B56" s="42" t="s">
        <v>1161</v>
      </c>
      <c r="C56" s="42" t="s">
        <v>973</v>
      </c>
      <c r="D56" s="42" t="s">
        <v>218</v>
      </c>
      <c r="E56" s="42">
        <v>3</v>
      </c>
      <c r="F56" s="42" t="s">
        <v>554</v>
      </c>
      <c r="G56" s="42" t="s">
        <v>28</v>
      </c>
      <c r="H56" s="42" t="s">
        <v>231</v>
      </c>
      <c r="I56" s="42" t="s">
        <v>1145</v>
      </c>
      <c r="J56" s="42" t="s">
        <v>1162</v>
      </c>
      <c r="K56" s="42" t="s">
        <v>453</v>
      </c>
      <c r="L56" s="42" t="s">
        <v>1163</v>
      </c>
      <c r="M56" s="42">
        <f t="shared" si="2"/>
        <v>115</v>
      </c>
      <c r="N56" s="42" t="str">
        <f t="shared" si="3"/>
        <v>Uygun</v>
      </c>
      <c r="O56" s="42">
        <v>7</v>
      </c>
      <c r="P56" s="42" t="s">
        <v>1148</v>
      </c>
    </row>
    <row r="57" spans="1:16" ht="45" customHeight="1" x14ac:dyDescent="0.2">
      <c r="A57" s="42">
        <v>305</v>
      </c>
      <c r="B57" s="42" t="s">
        <v>1164</v>
      </c>
      <c r="C57" s="42" t="s">
        <v>973</v>
      </c>
      <c r="D57" s="42" t="s">
        <v>218</v>
      </c>
      <c r="E57" s="42">
        <v>3</v>
      </c>
      <c r="F57" s="42" t="s">
        <v>79</v>
      </c>
      <c r="G57" s="42" t="s">
        <v>269</v>
      </c>
      <c r="H57" s="42" t="s">
        <v>79</v>
      </c>
      <c r="I57" s="42" t="s">
        <v>445</v>
      </c>
      <c r="J57" s="42" t="s">
        <v>1165</v>
      </c>
      <c r="K57" s="42" t="s">
        <v>458</v>
      </c>
      <c r="L57" s="42" t="s">
        <v>1166</v>
      </c>
      <c r="M57" s="42">
        <f t="shared" si="2"/>
        <v>121</v>
      </c>
      <c r="N57" s="42" t="str">
        <f t="shared" si="3"/>
        <v>Uygun</v>
      </c>
      <c r="O57" s="42">
        <v>6</v>
      </c>
      <c r="P57" s="42" t="s">
        <v>1139</v>
      </c>
    </row>
    <row r="58" spans="1:16" ht="60" customHeight="1" x14ac:dyDescent="0.2">
      <c r="A58" s="42">
        <v>306</v>
      </c>
      <c r="B58" s="42" t="s">
        <v>1167</v>
      </c>
      <c r="C58" s="42" t="s">
        <v>973</v>
      </c>
      <c r="D58" s="42" t="s">
        <v>244</v>
      </c>
      <c r="E58" s="42">
        <v>4</v>
      </c>
      <c r="F58" s="42" t="s">
        <v>59</v>
      </c>
      <c r="G58" s="42" t="s">
        <v>28</v>
      </c>
      <c r="H58" s="42" t="s">
        <v>60</v>
      </c>
      <c r="I58" s="42" t="s">
        <v>1168</v>
      </c>
      <c r="J58" s="42" t="s">
        <v>1169</v>
      </c>
      <c r="K58" s="42" t="s">
        <v>475</v>
      </c>
      <c r="L58" s="42" t="s">
        <v>1170</v>
      </c>
      <c r="M58" s="42">
        <f t="shared" si="2"/>
        <v>121</v>
      </c>
      <c r="N58" s="42" t="str">
        <f t="shared" si="3"/>
        <v>Uygun</v>
      </c>
      <c r="O58" s="42">
        <v>8</v>
      </c>
      <c r="P58" s="42" t="s">
        <v>1171</v>
      </c>
    </row>
    <row r="59" spans="1:16" ht="45" customHeight="1" x14ac:dyDescent="0.2">
      <c r="A59" s="42">
        <v>307</v>
      </c>
      <c r="B59" s="42" t="s">
        <v>1172</v>
      </c>
      <c r="C59" s="42" t="s">
        <v>973</v>
      </c>
      <c r="D59" s="42" t="s">
        <v>244</v>
      </c>
      <c r="E59" s="42">
        <v>4</v>
      </c>
      <c r="F59" s="42" t="s">
        <v>245</v>
      </c>
      <c r="G59" s="42" t="s">
        <v>20</v>
      </c>
      <c r="H59" s="42" t="s">
        <v>123</v>
      </c>
      <c r="I59" s="42" t="s">
        <v>479</v>
      </c>
      <c r="J59" s="42" t="s">
        <v>1173</v>
      </c>
      <c r="K59" s="42" t="s">
        <v>481</v>
      </c>
      <c r="L59" s="42" t="s">
        <v>1174</v>
      </c>
      <c r="M59" s="42">
        <f t="shared" si="2"/>
        <v>122</v>
      </c>
      <c r="N59" s="42" t="str">
        <f t="shared" si="3"/>
        <v>Uygun</v>
      </c>
      <c r="O59" s="42">
        <v>8</v>
      </c>
      <c r="P59" s="42" t="s">
        <v>1175</v>
      </c>
    </row>
    <row r="60" spans="1:16" ht="60" customHeight="1" x14ac:dyDescent="0.2">
      <c r="A60" s="42">
        <v>308</v>
      </c>
      <c r="B60" s="42" t="s">
        <v>1176</v>
      </c>
      <c r="C60" s="42" t="s">
        <v>973</v>
      </c>
      <c r="D60" s="42" t="s">
        <v>244</v>
      </c>
      <c r="E60" s="42">
        <v>4</v>
      </c>
      <c r="F60" s="42" t="s">
        <v>554</v>
      </c>
      <c r="G60" s="42" t="s">
        <v>28</v>
      </c>
      <c r="H60" s="42" t="s">
        <v>34</v>
      </c>
      <c r="I60" s="42" t="s">
        <v>1177</v>
      </c>
      <c r="J60" s="42" t="s">
        <v>1178</v>
      </c>
      <c r="K60" s="42" t="s">
        <v>487</v>
      </c>
      <c r="L60" s="42" t="s">
        <v>1179</v>
      </c>
      <c r="M60" s="42">
        <f t="shared" si="2"/>
        <v>122</v>
      </c>
      <c r="N60" s="42" t="str">
        <f t="shared" si="3"/>
        <v>Uygun</v>
      </c>
      <c r="O60" s="42">
        <v>8</v>
      </c>
      <c r="P60" s="42" t="s">
        <v>1180</v>
      </c>
    </row>
    <row r="61" spans="1:16" ht="45" customHeight="1" x14ac:dyDescent="0.2">
      <c r="A61" s="42">
        <v>309</v>
      </c>
      <c r="B61" s="42" t="s">
        <v>1181</v>
      </c>
      <c r="C61" s="42" t="s">
        <v>973</v>
      </c>
      <c r="D61" s="42" t="s">
        <v>244</v>
      </c>
      <c r="E61" s="42">
        <v>4</v>
      </c>
      <c r="F61" s="42" t="s">
        <v>79</v>
      </c>
      <c r="G61" s="42" t="s">
        <v>28</v>
      </c>
      <c r="H61" s="42" t="s">
        <v>79</v>
      </c>
      <c r="I61" s="42" t="s">
        <v>473</v>
      </c>
      <c r="J61" s="42" t="s">
        <v>1182</v>
      </c>
      <c r="K61" s="42" t="s">
        <v>492</v>
      </c>
      <c r="L61" s="42" t="s">
        <v>1183</v>
      </c>
      <c r="M61" s="42">
        <f t="shared" si="2"/>
        <v>122</v>
      </c>
      <c r="N61" s="42" t="str">
        <f t="shared" si="3"/>
        <v>Uygun</v>
      </c>
      <c r="O61" s="42">
        <v>8</v>
      </c>
      <c r="P61" s="42" t="s">
        <v>1184</v>
      </c>
    </row>
    <row r="62" spans="1:16" ht="60" customHeight="1" x14ac:dyDescent="0.2">
      <c r="A62" s="42">
        <v>310</v>
      </c>
      <c r="B62" s="42" t="s">
        <v>1185</v>
      </c>
      <c r="C62" s="42" t="s">
        <v>973</v>
      </c>
      <c r="D62" s="42" t="s">
        <v>258</v>
      </c>
      <c r="E62" s="42">
        <v>5</v>
      </c>
      <c r="F62" s="42" t="s">
        <v>212</v>
      </c>
      <c r="G62" s="42" t="s">
        <v>269</v>
      </c>
      <c r="H62" s="42" t="s">
        <v>34</v>
      </c>
      <c r="I62" s="42" t="s">
        <v>1186</v>
      </c>
      <c r="J62" s="42" t="s">
        <v>1187</v>
      </c>
      <c r="K62" s="42" t="s">
        <v>497</v>
      </c>
      <c r="L62" s="42" t="s">
        <v>1188</v>
      </c>
      <c r="M62" s="42">
        <f t="shared" si="2"/>
        <v>123</v>
      </c>
      <c r="N62" s="42" t="str">
        <f t="shared" si="3"/>
        <v>Uygun</v>
      </c>
      <c r="O62" s="42">
        <v>10</v>
      </c>
      <c r="P62" s="42" t="s">
        <v>1189</v>
      </c>
    </row>
    <row r="63" spans="1:16" ht="60" customHeight="1" x14ac:dyDescent="0.2">
      <c r="A63" s="42">
        <v>311</v>
      </c>
      <c r="B63" s="42" t="s">
        <v>1190</v>
      </c>
      <c r="C63" s="42" t="s">
        <v>973</v>
      </c>
      <c r="D63" s="42" t="s">
        <v>258</v>
      </c>
      <c r="E63" s="42">
        <v>5</v>
      </c>
      <c r="F63" s="42" t="s">
        <v>41</v>
      </c>
      <c r="G63" s="42" t="s">
        <v>269</v>
      </c>
      <c r="H63" s="42" t="s">
        <v>123</v>
      </c>
      <c r="I63" s="42" t="s">
        <v>495</v>
      </c>
      <c r="J63" s="42" t="s">
        <v>1191</v>
      </c>
      <c r="K63" s="42" t="s">
        <v>503</v>
      </c>
      <c r="L63" s="42" t="s">
        <v>1192</v>
      </c>
      <c r="M63" s="42">
        <f t="shared" si="2"/>
        <v>128</v>
      </c>
      <c r="N63" s="42" t="str">
        <f t="shared" si="3"/>
        <v>Uygun</v>
      </c>
      <c r="O63" s="42">
        <v>10</v>
      </c>
      <c r="P63" s="42" t="s">
        <v>1193</v>
      </c>
    </row>
  </sheetData>
  <pageMargins left="0.7" right="0.7" top="0.75" bottom="0.75" header="0.511811023622047" footer="0.511811023622047"/>
  <pageSetup paperSize="9" orientation="portrait" horizontalDpi="300" verticalDpi="300"/>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8"/>
  <sheetViews>
    <sheetView zoomScaleNormal="100" workbookViewId="0"/>
  </sheetViews>
  <sheetFormatPr defaultColWidth="8.7109375" defaultRowHeight="12.75" x14ac:dyDescent="0.2"/>
  <cols>
    <col min="1" max="1" width="26" customWidth="1"/>
    <col min="2" max="2" width="38" customWidth="1"/>
    <col min="3" max="3" width="70" customWidth="1"/>
    <col min="4" max="4" width="45" customWidth="1"/>
    <col min="5" max="5" width="36" customWidth="1"/>
  </cols>
  <sheetData>
    <row r="1" spans="1:5" ht="15" customHeight="1" x14ac:dyDescent="0.25">
      <c r="A1" s="77" t="s">
        <v>8</v>
      </c>
      <c r="B1" s="77" t="s">
        <v>1664</v>
      </c>
      <c r="C1" s="77" t="s">
        <v>9</v>
      </c>
      <c r="D1" s="77" t="s">
        <v>1665</v>
      </c>
      <c r="E1" s="77" t="s">
        <v>1666</v>
      </c>
    </row>
    <row r="2" spans="1:5" ht="30" customHeight="1" x14ac:dyDescent="0.2">
      <c r="A2" s="42" t="s">
        <v>22</v>
      </c>
      <c r="B2" s="42" t="s">
        <v>1667</v>
      </c>
      <c r="C2" s="42" t="s">
        <v>1668</v>
      </c>
      <c r="D2" s="42" t="s">
        <v>1669</v>
      </c>
      <c r="E2" s="42" t="s">
        <v>1670</v>
      </c>
    </row>
    <row r="3" spans="1:5" ht="60" customHeight="1" x14ac:dyDescent="0.2">
      <c r="A3" s="42" t="s">
        <v>29</v>
      </c>
      <c r="B3" s="42" t="s">
        <v>1671</v>
      </c>
      <c r="C3" s="42" t="s">
        <v>1672</v>
      </c>
      <c r="D3" s="42" t="s">
        <v>1673</v>
      </c>
      <c r="E3" s="42" t="s">
        <v>1674</v>
      </c>
    </row>
    <row r="4" spans="1:5" ht="45" customHeight="1" x14ac:dyDescent="0.2">
      <c r="A4" s="42" t="s">
        <v>35</v>
      </c>
      <c r="B4" s="42" t="s">
        <v>1675</v>
      </c>
      <c r="C4" s="42" t="s">
        <v>1676</v>
      </c>
      <c r="D4" s="42" t="s">
        <v>1677</v>
      </c>
      <c r="E4" s="42" t="s">
        <v>1678</v>
      </c>
    </row>
    <row r="5" spans="1:5" ht="45" customHeight="1" x14ac:dyDescent="0.2">
      <c r="A5" s="42" t="s">
        <v>42</v>
      </c>
      <c r="B5" s="42" t="s">
        <v>1679</v>
      </c>
      <c r="C5" s="42" t="s">
        <v>1680</v>
      </c>
      <c r="D5" s="42" t="s">
        <v>1681</v>
      </c>
      <c r="E5" s="42" t="s">
        <v>1682</v>
      </c>
    </row>
    <row r="6" spans="1:5" ht="45" customHeight="1" x14ac:dyDescent="0.2">
      <c r="A6" s="42" t="s">
        <v>48</v>
      </c>
      <c r="B6" s="42" t="s">
        <v>1683</v>
      </c>
      <c r="C6" s="42" t="s">
        <v>1684</v>
      </c>
      <c r="D6" s="42" t="s">
        <v>1685</v>
      </c>
      <c r="E6" s="42" t="s">
        <v>1686</v>
      </c>
    </row>
    <row r="7" spans="1:5" ht="45" customHeight="1" x14ac:dyDescent="0.2">
      <c r="A7" s="42" t="s">
        <v>74</v>
      </c>
      <c r="B7" s="42" t="s">
        <v>1687</v>
      </c>
      <c r="C7" s="42" t="s">
        <v>1688</v>
      </c>
      <c r="D7" s="42" t="s">
        <v>1689</v>
      </c>
      <c r="E7" s="42" t="s">
        <v>1690</v>
      </c>
    </row>
    <row r="8" spans="1:5" ht="45" customHeight="1" x14ac:dyDescent="0.2">
      <c r="A8" s="42" t="s">
        <v>68</v>
      </c>
      <c r="B8" s="42" t="s">
        <v>1691</v>
      </c>
      <c r="C8" s="42" t="s">
        <v>1692</v>
      </c>
      <c r="D8" s="42" t="s">
        <v>1693</v>
      </c>
      <c r="E8" s="42" t="s">
        <v>1694</v>
      </c>
    </row>
    <row r="9" spans="1:5" ht="45" customHeight="1" x14ac:dyDescent="0.2">
      <c r="A9" s="42" t="s">
        <v>111</v>
      </c>
      <c r="B9" s="42" t="s">
        <v>1695</v>
      </c>
      <c r="C9" s="42" t="s">
        <v>1696</v>
      </c>
      <c r="D9" s="42" t="s">
        <v>1697</v>
      </c>
      <c r="E9" s="42" t="s">
        <v>1698</v>
      </c>
    </row>
    <row r="10" spans="1:5" ht="45" customHeight="1" x14ac:dyDescent="0.2">
      <c r="A10" s="42" t="s">
        <v>127</v>
      </c>
      <c r="B10" s="42" t="s">
        <v>1699</v>
      </c>
      <c r="C10" s="42" t="s">
        <v>1700</v>
      </c>
      <c r="D10" s="42" t="s">
        <v>1701</v>
      </c>
      <c r="E10" s="42" t="s">
        <v>1702</v>
      </c>
    </row>
    <row r="11" spans="1:5" ht="45" customHeight="1" x14ac:dyDescent="0.2">
      <c r="A11" s="42" t="s">
        <v>155</v>
      </c>
      <c r="B11" s="42" t="s">
        <v>1703</v>
      </c>
      <c r="C11" s="42" t="s">
        <v>1704</v>
      </c>
      <c r="D11" s="42" t="s">
        <v>1705</v>
      </c>
      <c r="E11" s="42" t="s">
        <v>1706</v>
      </c>
    </row>
    <row r="12" spans="1:5" ht="45" customHeight="1" x14ac:dyDescent="0.2">
      <c r="A12" s="42" t="s">
        <v>54</v>
      </c>
      <c r="B12" s="42" t="s">
        <v>1707</v>
      </c>
      <c r="C12" s="42" t="s">
        <v>1708</v>
      </c>
      <c r="D12" s="42" t="s">
        <v>1709</v>
      </c>
      <c r="E12" s="42" t="s">
        <v>1710</v>
      </c>
    </row>
    <row r="13" spans="1:5" ht="45" customHeight="1" x14ac:dyDescent="0.2">
      <c r="A13" s="42" t="s">
        <v>80</v>
      </c>
      <c r="B13" s="42" t="s">
        <v>1711</v>
      </c>
      <c r="C13" s="42" t="s">
        <v>1712</v>
      </c>
      <c r="D13" s="42" t="s">
        <v>1713</v>
      </c>
      <c r="E13" s="42" t="s">
        <v>1714</v>
      </c>
    </row>
    <row r="14" spans="1:5" ht="45" customHeight="1" x14ac:dyDescent="0.2">
      <c r="A14" s="42" t="s">
        <v>88</v>
      </c>
      <c r="B14" s="42" t="s">
        <v>1715</v>
      </c>
      <c r="C14" s="42" t="s">
        <v>1716</v>
      </c>
      <c r="D14" s="42" t="s">
        <v>1717</v>
      </c>
      <c r="E14" s="42" t="s">
        <v>1718</v>
      </c>
    </row>
    <row r="15" spans="1:5" ht="15" customHeight="1" x14ac:dyDescent="0.2">
      <c r="A15" s="42" t="s">
        <v>270</v>
      </c>
      <c r="B15" s="42" t="s">
        <v>1719</v>
      </c>
      <c r="C15" s="42" t="s">
        <v>1720</v>
      </c>
      <c r="D15" s="42" t="s">
        <v>1721</v>
      </c>
      <c r="E15" s="42" t="s">
        <v>1722</v>
      </c>
    </row>
    <row r="16" spans="1:5" ht="30" customHeight="1" x14ac:dyDescent="0.2">
      <c r="A16" s="42" t="s">
        <v>276</v>
      </c>
      <c r="B16" s="42" t="s">
        <v>1723</v>
      </c>
      <c r="C16" s="42" t="s">
        <v>1724</v>
      </c>
      <c r="D16" s="42" t="s">
        <v>1725</v>
      </c>
      <c r="E16" s="42" t="s">
        <v>1722</v>
      </c>
    </row>
    <row r="17" spans="1:5" ht="15" customHeight="1" x14ac:dyDescent="0.2">
      <c r="A17" s="42" t="s">
        <v>508</v>
      </c>
      <c r="B17" s="42" t="s">
        <v>1726</v>
      </c>
      <c r="C17" s="42" t="s">
        <v>1727</v>
      </c>
      <c r="D17" s="42" t="s">
        <v>1728</v>
      </c>
      <c r="E17" s="42" t="s">
        <v>1722</v>
      </c>
    </row>
    <row r="18" spans="1:5" ht="15" customHeight="1" x14ac:dyDescent="0.2">
      <c r="A18" s="42" t="s">
        <v>762</v>
      </c>
      <c r="B18" s="42" t="s">
        <v>1729</v>
      </c>
      <c r="C18" s="42" t="s">
        <v>1730</v>
      </c>
      <c r="D18" s="42" t="s">
        <v>1731</v>
      </c>
      <c r="E18" s="42" t="s">
        <v>1722</v>
      </c>
    </row>
    <row r="19" spans="1:5" ht="15" customHeight="1" x14ac:dyDescent="0.2">
      <c r="A19" s="42" t="s">
        <v>579</v>
      </c>
      <c r="B19" s="42" t="s">
        <v>1732</v>
      </c>
      <c r="C19" s="42" t="s">
        <v>1733</v>
      </c>
      <c r="D19" s="42" t="s">
        <v>1734</v>
      </c>
      <c r="E19" s="42" t="s">
        <v>1722</v>
      </c>
    </row>
    <row r="20" spans="1:5" ht="30" customHeight="1" x14ac:dyDescent="0.2">
      <c r="A20" s="42" t="s">
        <v>527</v>
      </c>
      <c r="B20" s="42" t="s">
        <v>1735</v>
      </c>
      <c r="C20" s="42" t="s">
        <v>1736</v>
      </c>
      <c r="D20" s="42" t="s">
        <v>1737</v>
      </c>
      <c r="E20" s="42" t="s">
        <v>1722</v>
      </c>
    </row>
    <row r="21" spans="1:5" ht="15" customHeight="1" x14ac:dyDescent="0.2">
      <c r="A21" s="42" t="s">
        <v>770</v>
      </c>
      <c r="B21" s="42" t="s">
        <v>1738</v>
      </c>
      <c r="C21" s="42" t="s">
        <v>1739</v>
      </c>
      <c r="D21" s="42" t="s">
        <v>1740</v>
      </c>
      <c r="E21" s="42" t="s">
        <v>1722</v>
      </c>
    </row>
    <row r="22" spans="1:5" ht="15" customHeight="1" x14ac:dyDescent="0.2">
      <c r="A22" s="42" t="s">
        <v>784</v>
      </c>
      <c r="B22" s="42" t="s">
        <v>1741</v>
      </c>
      <c r="C22" s="42" t="s">
        <v>1730</v>
      </c>
      <c r="D22" s="42" t="s">
        <v>1742</v>
      </c>
      <c r="E22" s="42" t="s">
        <v>1722</v>
      </c>
    </row>
    <row r="23" spans="1:5" ht="30" customHeight="1" x14ac:dyDescent="0.2">
      <c r="A23" s="42" t="s">
        <v>1743</v>
      </c>
      <c r="B23" s="42" t="s">
        <v>1744</v>
      </c>
      <c r="C23" s="42" t="s">
        <v>1745</v>
      </c>
      <c r="D23" s="42" t="s">
        <v>1746</v>
      </c>
      <c r="E23" s="42" t="s">
        <v>1722</v>
      </c>
    </row>
    <row r="24" spans="1:5" ht="30" customHeight="1" x14ac:dyDescent="0.2">
      <c r="A24" s="42" t="s">
        <v>330</v>
      </c>
      <c r="B24" s="42" t="s">
        <v>1747</v>
      </c>
      <c r="C24" s="42" t="s">
        <v>1748</v>
      </c>
      <c r="D24" s="42" t="s">
        <v>1749</v>
      </c>
      <c r="E24" s="42" t="s">
        <v>1722</v>
      </c>
    </row>
    <row r="25" spans="1:5" ht="15" customHeight="1" x14ac:dyDescent="0.2">
      <c r="A25" s="42" t="s">
        <v>522</v>
      </c>
      <c r="B25" s="42" t="s">
        <v>1750</v>
      </c>
      <c r="C25" s="42" t="s">
        <v>1751</v>
      </c>
      <c r="D25" s="42" t="s">
        <v>1752</v>
      </c>
      <c r="E25" s="42" t="s">
        <v>1722</v>
      </c>
    </row>
    <row r="26" spans="1:5" ht="15" customHeight="1" x14ac:dyDescent="0.2">
      <c r="A26" s="42" t="s">
        <v>568</v>
      </c>
      <c r="B26" s="42" t="s">
        <v>1753</v>
      </c>
      <c r="C26" s="42" t="s">
        <v>1754</v>
      </c>
      <c r="D26" s="42" t="s">
        <v>1755</v>
      </c>
      <c r="E26" s="42" t="s">
        <v>1722</v>
      </c>
    </row>
    <row r="27" spans="1:5" ht="30" customHeight="1" x14ac:dyDescent="0.2">
      <c r="A27" s="42" t="s">
        <v>517</v>
      </c>
      <c r="B27" s="42" t="s">
        <v>1756</v>
      </c>
      <c r="C27" s="42" t="s">
        <v>507</v>
      </c>
      <c r="D27" s="42" t="s">
        <v>1757</v>
      </c>
      <c r="E27" s="42" t="s">
        <v>1722</v>
      </c>
    </row>
    <row r="28" spans="1:5" ht="15" customHeight="1" x14ac:dyDescent="0.2">
      <c r="A28" s="42" t="s">
        <v>982</v>
      </c>
      <c r="B28" s="42" t="s">
        <v>1758</v>
      </c>
      <c r="C28" s="42" t="s">
        <v>973</v>
      </c>
      <c r="D28" s="42" t="s">
        <v>1759</v>
      </c>
      <c r="E28" s="42" t="s">
        <v>1722</v>
      </c>
    </row>
  </sheetData>
  <pageMargins left="0.7" right="0.7" top="0.75" bottom="0.75" header="0.511811023622047" footer="0.511811023622047"/>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196"/>
  <sheetViews>
    <sheetView zoomScaleNormal="100" workbookViewId="0">
      <selection activeCell="A3" sqref="A3"/>
    </sheetView>
  </sheetViews>
  <sheetFormatPr defaultColWidth="8.7109375" defaultRowHeight="12.75" x14ac:dyDescent="0.2"/>
  <sheetData>
    <row r="1" spans="1:1" ht="19.5" customHeight="1" x14ac:dyDescent="0.2">
      <c r="A1" s="78" t="s">
        <v>1760</v>
      </c>
    </row>
    <row r="2" spans="1:1" ht="19.5" customHeight="1" x14ac:dyDescent="0.2">
      <c r="A2" s="79" t="s">
        <v>1761</v>
      </c>
    </row>
    <row r="3" spans="1:1" ht="19.5" customHeight="1" x14ac:dyDescent="0.2">
      <c r="A3" s="80" t="s">
        <v>1762</v>
      </c>
    </row>
    <row r="4" spans="1:1" ht="19.5" customHeight="1" x14ac:dyDescent="0.2">
      <c r="A4" s="80" t="s">
        <v>1763</v>
      </c>
    </row>
    <row r="5" spans="1:1" ht="19.5" customHeight="1" x14ac:dyDescent="0.2">
      <c r="A5" s="79" t="s">
        <v>1764</v>
      </c>
    </row>
    <row r="6" spans="1:1" ht="19.5" customHeight="1" x14ac:dyDescent="0.2">
      <c r="A6" s="80" t="s">
        <v>1765</v>
      </c>
    </row>
    <row r="7" spans="1:1" ht="19.5" customHeight="1" x14ac:dyDescent="0.2">
      <c r="A7" s="80" t="s">
        <v>1766</v>
      </c>
    </row>
    <row r="8" spans="1:1" ht="19.5" customHeight="1" x14ac:dyDescent="0.2">
      <c r="A8" s="79" t="s">
        <v>1767</v>
      </c>
    </row>
    <row r="9" spans="1:1" ht="19.5" customHeight="1" x14ac:dyDescent="0.2">
      <c r="A9" s="80" t="s">
        <v>1768</v>
      </c>
    </row>
    <row r="10" spans="1:1" ht="19.5" customHeight="1" x14ac:dyDescent="0.2">
      <c r="A10" s="80" t="s">
        <v>1769</v>
      </c>
    </row>
    <row r="11" spans="1:1" ht="19.5" customHeight="1" x14ac:dyDescent="0.2">
      <c r="A11" s="79" t="s">
        <v>1770</v>
      </c>
    </row>
    <row r="12" spans="1:1" ht="19.5" customHeight="1" x14ac:dyDescent="0.2">
      <c r="A12" s="80" t="s">
        <v>1771</v>
      </c>
    </row>
    <row r="13" spans="1:1" ht="19.5" customHeight="1" x14ac:dyDescent="0.2">
      <c r="A13" s="80" t="s">
        <v>1772</v>
      </c>
    </row>
    <row r="14" spans="1:1" ht="19.5" customHeight="1" x14ac:dyDescent="0.2">
      <c r="A14" s="79" t="s">
        <v>1773</v>
      </c>
    </row>
    <row r="15" spans="1:1" ht="19.5" customHeight="1" x14ac:dyDescent="0.2">
      <c r="A15" s="80" t="s">
        <v>1774</v>
      </c>
    </row>
    <row r="16" spans="1:1" ht="19.5" customHeight="1" x14ac:dyDescent="0.2">
      <c r="A16" s="80" t="s">
        <v>1775</v>
      </c>
    </row>
    <row r="17" spans="1:1" ht="19.5" customHeight="1" x14ac:dyDescent="0.2">
      <c r="A17" s="79" t="s">
        <v>1776</v>
      </c>
    </row>
    <row r="18" spans="1:1" ht="19.5" customHeight="1" x14ac:dyDescent="0.2">
      <c r="A18" s="80" t="s">
        <v>1777</v>
      </c>
    </row>
    <row r="19" spans="1:1" ht="19.5" customHeight="1" x14ac:dyDescent="0.2">
      <c r="A19" s="80" t="s">
        <v>1778</v>
      </c>
    </row>
    <row r="20" spans="1:1" ht="19.5" customHeight="1" x14ac:dyDescent="0.2">
      <c r="A20" s="79" t="s">
        <v>1779</v>
      </c>
    </row>
    <row r="21" spans="1:1" ht="19.5" customHeight="1" x14ac:dyDescent="0.2">
      <c r="A21" s="80" t="s">
        <v>1780</v>
      </c>
    </row>
    <row r="22" spans="1:1" ht="19.5" customHeight="1" x14ac:dyDescent="0.2">
      <c r="A22" s="80" t="s">
        <v>1781</v>
      </c>
    </row>
    <row r="23" spans="1:1" ht="19.5" customHeight="1" x14ac:dyDescent="0.2">
      <c r="A23" s="79" t="s">
        <v>1782</v>
      </c>
    </row>
    <row r="24" spans="1:1" ht="19.5" customHeight="1" x14ac:dyDescent="0.2">
      <c r="A24" s="80" t="s">
        <v>1783</v>
      </c>
    </row>
    <row r="25" spans="1:1" ht="19.5" customHeight="1" x14ac:dyDescent="0.2">
      <c r="A25" s="80" t="s">
        <v>1784</v>
      </c>
    </row>
    <row r="26" spans="1:1" ht="19.5" customHeight="1" x14ac:dyDescent="0.2">
      <c r="A26" s="79" t="s">
        <v>1785</v>
      </c>
    </row>
    <row r="27" spans="1:1" ht="19.5" customHeight="1" x14ac:dyDescent="0.2">
      <c r="A27" s="80" t="s">
        <v>1786</v>
      </c>
    </row>
    <row r="28" spans="1:1" ht="19.5" customHeight="1" x14ac:dyDescent="0.2">
      <c r="A28" s="80" t="s">
        <v>1787</v>
      </c>
    </row>
    <row r="29" spans="1:1" ht="19.5" customHeight="1" x14ac:dyDescent="0.2">
      <c r="A29" s="79" t="s">
        <v>1788</v>
      </c>
    </row>
    <row r="30" spans="1:1" ht="19.5" customHeight="1" x14ac:dyDescent="0.2">
      <c r="A30" s="80" t="s">
        <v>1789</v>
      </c>
    </row>
    <row r="31" spans="1:1" ht="19.5" customHeight="1" x14ac:dyDescent="0.2">
      <c r="A31" s="80" t="s">
        <v>1790</v>
      </c>
    </row>
    <row r="32" spans="1:1" ht="19.5" customHeight="1" x14ac:dyDescent="0.2">
      <c r="A32" s="79" t="s">
        <v>1791</v>
      </c>
    </row>
    <row r="33" spans="1:1" ht="19.5" customHeight="1" x14ac:dyDescent="0.2">
      <c r="A33" s="80" t="s">
        <v>1792</v>
      </c>
    </row>
    <row r="34" spans="1:1" ht="19.5" customHeight="1" x14ac:dyDescent="0.2">
      <c r="A34" s="80" t="s">
        <v>1793</v>
      </c>
    </row>
    <row r="35" spans="1:1" ht="19.5" customHeight="1" x14ac:dyDescent="0.2">
      <c r="A35" s="79" t="s">
        <v>1794</v>
      </c>
    </row>
    <row r="36" spans="1:1" ht="19.5" customHeight="1" x14ac:dyDescent="0.2">
      <c r="A36" s="80" t="s">
        <v>1795</v>
      </c>
    </row>
    <row r="37" spans="1:1" ht="19.5" customHeight="1" x14ac:dyDescent="0.2">
      <c r="A37" s="80" t="s">
        <v>1796</v>
      </c>
    </row>
    <row r="38" spans="1:1" ht="19.5" customHeight="1" x14ac:dyDescent="0.2">
      <c r="A38" s="79" t="s">
        <v>1797</v>
      </c>
    </row>
    <row r="39" spans="1:1" ht="19.5" customHeight="1" x14ac:dyDescent="0.2">
      <c r="A39" s="80" t="s">
        <v>1798</v>
      </c>
    </row>
    <row r="40" spans="1:1" ht="19.5" customHeight="1" x14ac:dyDescent="0.2">
      <c r="A40" s="80" t="s">
        <v>1799</v>
      </c>
    </row>
    <row r="41" spans="1:1" ht="19.5" customHeight="1" x14ac:dyDescent="0.2">
      <c r="A41" s="79" t="s">
        <v>1800</v>
      </c>
    </row>
    <row r="42" spans="1:1" ht="19.5" customHeight="1" x14ac:dyDescent="0.2">
      <c r="A42" s="80" t="s">
        <v>1801</v>
      </c>
    </row>
    <row r="43" spans="1:1" ht="19.5" customHeight="1" x14ac:dyDescent="0.2">
      <c r="A43" s="80" t="s">
        <v>1802</v>
      </c>
    </row>
    <row r="44" spans="1:1" ht="19.5" customHeight="1" x14ac:dyDescent="0.2">
      <c r="A44" s="79" t="s">
        <v>1803</v>
      </c>
    </row>
    <row r="45" spans="1:1" ht="19.5" customHeight="1" x14ac:dyDescent="0.2">
      <c r="A45" s="80" t="s">
        <v>1804</v>
      </c>
    </row>
    <row r="46" spans="1:1" ht="19.5" customHeight="1" x14ac:dyDescent="0.2">
      <c r="A46" s="80" t="s">
        <v>1805</v>
      </c>
    </row>
    <row r="47" spans="1:1" ht="19.5" customHeight="1" x14ac:dyDescent="0.2">
      <c r="A47" s="79" t="s">
        <v>1806</v>
      </c>
    </row>
    <row r="48" spans="1:1" ht="19.5" customHeight="1" x14ac:dyDescent="0.2">
      <c r="A48" s="80" t="s">
        <v>1807</v>
      </c>
    </row>
    <row r="49" spans="1:1" ht="19.5" customHeight="1" x14ac:dyDescent="0.2">
      <c r="A49" s="80" t="s">
        <v>1808</v>
      </c>
    </row>
    <row r="50" spans="1:1" ht="19.5" customHeight="1" x14ac:dyDescent="0.2">
      <c r="A50" s="79" t="s">
        <v>1809</v>
      </c>
    </row>
    <row r="51" spans="1:1" ht="19.5" customHeight="1" x14ac:dyDescent="0.2">
      <c r="A51" s="80" t="s">
        <v>1810</v>
      </c>
    </row>
    <row r="52" spans="1:1" ht="19.5" customHeight="1" x14ac:dyDescent="0.2">
      <c r="A52" s="80" t="s">
        <v>1811</v>
      </c>
    </row>
    <row r="53" spans="1:1" ht="19.5" customHeight="1" x14ac:dyDescent="0.2">
      <c r="A53" s="79" t="s">
        <v>1812</v>
      </c>
    </row>
    <row r="54" spans="1:1" ht="19.5" customHeight="1" x14ac:dyDescent="0.2">
      <c r="A54" s="80" t="s">
        <v>1813</v>
      </c>
    </row>
    <row r="55" spans="1:1" ht="19.5" customHeight="1" x14ac:dyDescent="0.2">
      <c r="A55" s="80" t="s">
        <v>1814</v>
      </c>
    </row>
    <row r="56" spans="1:1" ht="19.5" customHeight="1" x14ac:dyDescent="0.2">
      <c r="A56" s="79" t="s">
        <v>1815</v>
      </c>
    </row>
    <row r="57" spans="1:1" ht="19.5" customHeight="1" x14ac:dyDescent="0.2">
      <c r="A57" s="80" t="s">
        <v>1816</v>
      </c>
    </row>
    <row r="58" spans="1:1" ht="19.5" customHeight="1" x14ac:dyDescent="0.2">
      <c r="A58" s="80" t="s">
        <v>1817</v>
      </c>
    </row>
    <row r="59" spans="1:1" ht="19.5" customHeight="1" x14ac:dyDescent="0.2">
      <c r="A59" s="79" t="s">
        <v>1818</v>
      </c>
    </row>
    <row r="60" spans="1:1" ht="19.5" customHeight="1" x14ac:dyDescent="0.2">
      <c r="A60" s="80" t="s">
        <v>1819</v>
      </c>
    </row>
    <row r="61" spans="1:1" ht="19.5" customHeight="1" x14ac:dyDescent="0.2">
      <c r="A61" s="80" t="s">
        <v>1820</v>
      </c>
    </row>
    <row r="62" spans="1:1" ht="19.5" customHeight="1" x14ac:dyDescent="0.2">
      <c r="A62" s="79" t="s">
        <v>1821</v>
      </c>
    </row>
    <row r="63" spans="1:1" ht="19.5" customHeight="1" x14ac:dyDescent="0.2">
      <c r="A63" s="80" t="s">
        <v>1822</v>
      </c>
    </row>
    <row r="64" spans="1:1" ht="19.5" customHeight="1" x14ac:dyDescent="0.2">
      <c r="A64" s="80" t="s">
        <v>1823</v>
      </c>
    </row>
    <row r="65" spans="1:1" ht="19.5" customHeight="1" x14ac:dyDescent="0.2">
      <c r="A65" s="79" t="s">
        <v>1824</v>
      </c>
    </row>
    <row r="66" spans="1:1" ht="19.5" customHeight="1" x14ac:dyDescent="0.2">
      <c r="A66" s="80" t="s">
        <v>1825</v>
      </c>
    </row>
    <row r="67" spans="1:1" ht="19.5" customHeight="1" x14ac:dyDescent="0.2">
      <c r="A67" s="80" t="s">
        <v>1826</v>
      </c>
    </row>
    <row r="68" spans="1:1" ht="19.5" customHeight="1" x14ac:dyDescent="0.2">
      <c r="A68" s="79" t="s">
        <v>1827</v>
      </c>
    </row>
    <row r="69" spans="1:1" ht="19.5" customHeight="1" x14ac:dyDescent="0.2">
      <c r="A69" s="80" t="s">
        <v>1828</v>
      </c>
    </row>
    <row r="70" spans="1:1" ht="19.5" customHeight="1" x14ac:dyDescent="0.2">
      <c r="A70" s="80" t="s">
        <v>1829</v>
      </c>
    </row>
    <row r="71" spans="1:1" ht="19.5" customHeight="1" x14ac:dyDescent="0.2">
      <c r="A71" s="79" t="s">
        <v>1830</v>
      </c>
    </row>
    <row r="72" spans="1:1" ht="19.5" customHeight="1" x14ac:dyDescent="0.2">
      <c r="A72" s="80" t="s">
        <v>1831</v>
      </c>
    </row>
    <row r="73" spans="1:1" ht="19.5" customHeight="1" x14ac:dyDescent="0.2">
      <c r="A73" s="80" t="s">
        <v>1832</v>
      </c>
    </row>
    <row r="74" spans="1:1" ht="19.5" customHeight="1" x14ac:dyDescent="0.2">
      <c r="A74" s="79" t="s">
        <v>1833</v>
      </c>
    </row>
    <row r="75" spans="1:1" ht="19.5" customHeight="1" x14ac:dyDescent="0.2">
      <c r="A75" s="80" t="s">
        <v>1834</v>
      </c>
    </row>
    <row r="76" spans="1:1" ht="19.5" customHeight="1" x14ac:dyDescent="0.2">
      <c r="A76" s="80" t="s">
        <v>1835</v>
      </c>
    </row>
    <row r="77" spans="1:1" ht="19.5" customHeight="1" x14ac:dyDescent="0.2">
      <c r="A77" s="79" t="s">
        <v>1836</v>
      </c>
    </row>
    <row r="78" spans="1:1" ht="19.5" customHeight="1" x14ac:dyDescent="0.2">
      <c r="A78" s="80" t="s">
        <v>1837</v>
      </c>
    </row>
    <row r="79" spans="1:1" ht="19.5" customHeight="1" x14ac:dyDescent="0.2">
      <c r="A79" s="80" t="s">
        <v>1838</v>
      </c>
    </row>
    <row r="80" spans="1:1" ht="19.5" customHeight="1" x14ac:dyDescent="0.2">
      <c r="A80" s="79" t="s">
        <v>1839</v>
      </c>
    </row>
    <row r="81" spans="1:1" ht="19.5" customHeight="1" x14ac:dyDescent="0.2">
      <c r="A81" s="80" t="s">
        <v>1840</v>
      </c>
    </row>
    <row r="82" spans="1:1" ht="19.5" customHeight="1" x14ac:dyDescent="0.2">
      <c r="A82" s="80" t="s">
        <v>1841</v>
      </c>
    </row>
    <row r="83" spans="1:1" ht="19.5" customHeight="1" x14ac:dyDescent="0.2">
      <c r="A83" s="79" t="s">
        <v>1842</v>
      </c>
    </row>
    <row r="84" spans="1:1" ht="19.5" customHeight="1" x14ac:dyDescent="0.2">
      <c r="A84" s="80" t="s">
        <v>1843</v>
      </c>
    </row>
    <row r="85" spans="1:1" ht="19.5" customHeight="1" x14ac:dyDescent="0.2">
      <c r="A85" s="80" t="s">
        <v>1844</v>
      </c>
    </row>
    <row r="86" spans="1:1" ht="19.5" customHeight="1" x14ac:dyDescent="0.2">
      <c r="A86" s="79" t="s">
        <v>1845</v>
      </c>
    </row>
    <row r="87" spans="1:1" ht="19.5" customHeight="1" x14ac:dyDescent="0.2">
      <c r="A87" s="80" t="s">
        <v>1846</v>
      </c>
    </row>
    <row r="88" spans="1:1" ht="19.5" customHeight="1" x14ac:dyDescent="0.2">
      <c r="A88" s="80" t="s">
        <v>1847</v>
      </c>
    </row>
    <row r="89" spans="1:1" ht="19.5" customHeight="1" x14ac:dyDescent="0.2">
      <c r="A89" s="79" t="s">
        <v>1848</v>
      </c>
    </row>
    <row r="90" spans="1:1" ht="19.5" customHeight="1" x14ac:dyDescent="0.2">
      <c r="A90" s="80" t="s">
        <v>1849</v>
      </c>
    </row>
    <row r="91" spans="1:1" ht="19.5" customHeight="1" x14ac:dyDescent="0.2">
      <c r="A91" s="80" t="s">
        <v>1850</v>
      </c>
    </row>
    <row r="92" spans="1:1" ht="19.5" customHeight="1" x14ac:dyDescent="0.2">
      <c r="A92" s="79" t="s">
        <v>1851</v>
      </c>
    </row>
    <row r="93" spans="1:1" ht="19.5" customHeight="1" x14ac:dyDescent="0.2">
      <c r="A93" s="80" t="s">
        <v>1852</v>
      </c>
    </row>
    <row r="94" spans="1:1" ht="19.5" customHeight="1" x14ac:dyDescent="0.2">
      <c r="A94" s="80" t="s">
        <v>1853</v>
      </c>
    </row>
    <row r="95" spans="1:1" ht="19.5" customHeight="1" x14ac:dyDescent="0.2">
      <c r="A95" s="79" t="s">
        <v>1854</v>
      </c>
    </row>
    <row r="96" spans="1:1" ht="19.5" customHeight="1" x14ac:dyDescent="0.2">
      <c r="A96" s="80" t="s">
        <v>1855</v>
      </c>
    </row>
    <row r="97" spans="1:1" ht="19.5" customHeight="1" x14ac:dyDescent="0.2">
      <c r="A97" s="80" t="s">
        <v>1856</v>
      </c>
    </row>
    <row r="98" spans="1:1" ht="19.5" customHeight="1" x14ac:dyDescent="0.2">
      <c r="A98" s="80"/>
    </row>
    <row r="99" spans="1:1" ht="19.5" customHeight="1" x14ac:dyDescent="0.2">
      <c r="A99" s="80"/>
    </row>
    <row r="100" spans="1:1" ht="19.5" customHeight="1" x14ac:dyDescent="0.2">
      <c r="A100" s="78" t="s">
        <v>1857</v>
      </c>
    </row>
    <row r="101" spans="1:1" ht="19.5" customHeight="1" x14ac:dyDescent="0.2">
      <c r="A101" s="79" t="s">
        <v>1858</v>
      </c>
    </row>
    <row r="102" spans="1:1" ht="19.5" customHeight="1" x14ac:dyDescent="0.2">
      <c r="A102" s="80" t="s">
        <v>1859</v>
      </c>
    </row>
    <row r="103" spans="1:1" ht="19.5" customHeight="1" x14ac:dyDescent="0.2">
      <c r="A103" s="80" t="s">
        <v>1860</v>
      </c>
    </row>
    <row r="104" spans="1:1" ht="19.5" customHeight="1" x14ac:dyDescent="0.2">
      <c r="A104" s="79" t="s">
        <v>1861</v>
      </c>
    </row>
    <row r="105" spans="1:1" ht="19.5" customHeight="1" x14ac:dyDescent="0.2">
      <c r="A105" s="80" t="s">
        <v>1862</v>
      </c>
    </row>
    <row r="106" spans="1:1" ht="19.5" customHeight="1" x14ac:dyDescent="0.2">
      <c r="A106" s="80" t="s">
        <v>1863</v>
      </c>
    </row>
    <row r="107" spans="1:1" ht="19.5" customHeight="1" x14ac:dyDescent="0.2">
      <c r="A107" s="79" t="s">
        <v>1864</v>
      </c>
    </row>
    <row r="108" spans="1:1" ht="19.5" customHeight="1" x14ac:dyDescent="0.2">
      <c r="A108" s="80" t="s">
        <v>1865</v>
      </c>
    </row>
    <row r="109" spans="1:1" ht="19.5" customHeight="1" x14ac:dyDescent="0.2">
      <c r="A109" s="80" t="s">
        <v>1866</v>
      </c>
    </row>
    <row r="110" spans="1:1" ht="19.5" customHeight="1" x14ac:dyDescent="0.2">
      <c r="A110" s="79" t="s">
        <v>1867</v>
      </c>
    </row>
    <row r="111" spans="1:1" ht="19.5" customHeight="1" x14ac:dyDescent="0.2">
      <c r="A111" s="80" t="s">
        <v>1868</v>
      </c>
    </row>
    <row r="112" spans="1:1" ht="19.5" customHeight="1" x14ac:dyDescent="0.2">
      <c r="A112" s="80" t="s">
        <v>1869</v>
      </c>
    </row>
    <row r="113" spans="1:1" ht="19.5" customHeight="1" x14ac:dyDescent="0.2">
      <c r="A113" s="79" t="s">
        <v>1870</v>
      </c>
    </row>
    <row r="114" spans="1:1" ht="19.5" customHeight="1" x14ac:dyDescent="0.2">
      <c r="A114" s="80" t="s">
        <v>1871</v>
      </c>
    </row>
    <row r="115" spans="1:1" ht="19.5" customHeight="1" x14ac:dyDescent="0.2">
      <c r="A115" s="80" t="s">
        <v>1872</v>
      </c>
    </row>
    <row r="116" spans="1:1" ht="19.5" customHeight="1" x14ac:dyDescent="0.2">
      <c r="A116" s="79" t="s">
        <v>1873</v>
      </c>
    </row>
    <row r="117" spans="1:1" ht="19.5" customHeight="1" x14ac:dyDescent="0.2">
      <c r="A117" s="80" t="s">
        <v>1874</v>
      </c>
    </row>
    <row r="118" spans="1:1" ht="19.5" customHeight="1" x14ac:dyDescent="0.2">
      <c r="A118" s="80" t="s">
        <v>1875</v>
      </c>
    </row>
    <row r="119" spans="1:1" ht="19.5" customHeight="1" x14ac:dyDescent="0.2">
      <c r="A119" s="79" t="s">
        <v>1876</v>
      </c>
    </row>
    <row r="120" spans="1:1" ht="19.5" customHeight="1" x14ac:dyDescent="0.2">
      <c r="A120" s="80" t="s">
        <v>1877</v>
      </c>
    </row>
    <row r="121" spans="1:1" ht="19.5" customHeight="1" x14ac:dyDescent="0.2">
      <c r="A121" s="80" t="s">
        <v>1878</v>
      </c>
    </row>
    <row r="122" spans="1:1" ht="19.5" customHeight="1" x14ac:dyDescent="0.2">
      <c r="A122" s="79" t="s">
        <v>1879</v>
      </c>
    </row>
    <row r="123" spans="1:1" ht="19.5" customHeight="1" x14ac:dyDescent="0.2">
      <c r="A123" s="80" t="s">
        <v>1880</v>
      </c>
    </row>
    <row r="124" spans="1:1" ht="19.5" customHeight="1" x14ac:dyDescent="0.2">
      <c r="A124" s="80" t="s">
        <v>1881</v>
      </c>
    </row>
    <row r="125" spans="1:1" ht="19.5" customHeight="1" x14ac:dyDescent="0.2">
      <c r="A125" s="79" t="s">
        <v>1882</v>
      </c>
    </row>
    <row r="126" spans="1:1" ht="19.5" customHeight="1" x14ac:dyDescent="0.2">
      <c r="A126" s="80" t="s">
        <v>1883</v>
      </c>
    </row>
    <row r="127" spans="1:1" ht="19.5" customHeight="1" x14ac:dyDescent="0.2">
      <c r="A127" s="80" t="s">
        <v>1884</v>
      </c>
    </row>
    <row r="128" spans="1:1" ht="19.5" customHeight="1" x14ac:dyDescent="0.2">
      <c r="A128" s="79" t="s">
        <v>1885</v>
      </c>
    </row>
    <row r="129" spans="1:1" ht="19.5" customHeight="1" x14ac:dyDescent="0.2">
      <c r="A129" s="80" t="s">
        <v>1886</v>
      </c>
    </row>
    <row r="130" spans="1:1" ht="19.5" customHeight="1" x14ac:dyDescent="0.2">
      <c r="A130" s="80" t="s">
        <v>1887</v>
      </c>
    </row>
    <row r="131" spans="1:1" ht="19.5" customHeight="1" x14ac:dyDescent="0.2">
      <c r="A131" s="79" t="s">
        <v>1888</v>
      </c>
    </row>
    <row r="132" spans="1:1" ht="19.5" customHeight="1" x14ac:dyDescent="0.2">
      <c r="A132" s="80" t="s">
        <v>1889</v>
      </c>
    </row>
    <row r="133" spans="1:1" ht="19.5" customHeight="1" x14ac:dyDescent="0.2">
      <c r="A133" s="80" t="s">
        <v>1890</v>
      </c>
    </row>
    <row r="134" spans="1:1" ht="19.5" customHeight="1" x14ac:dyDescent="0.2">
      <c r="A134" s="79" t="s">
        <v>1891</v>
      </c>
    </row>
    <row r="135" spans="1:1" ht="19.5" customHeight="1" x14ac:dyDescent="0.2">
      <c r="A135" s="80" t="s">
        <v>1892</v>
      </c>
    </row>
    <row r="136" spans="1:1" ht="19.5" customHeight="1" x14ac:dyDescent="0.2">
      <c r="A136" s="80" t="s">
        <v>1893</v>
      </c>
    </row>
    <row r="137" spans="1:1" ht="19.5" customHeight="1" x14ac:dyDescent="0.2">
      <c r="A137" s="79" t="s">
        <v>1894</v>
      </c>
    </row>
    <row r="138" spans="1:1" ht="19.5" customHeight="1" x14ac:dyDescent="0.2">
      <c r="A138" s="80" t="s">
        <v>1895</v>
      </c>
    </row>
    <row r="139" spans="1:1" ht="19.5" customHeight="1" x14ac:dyDescent="0.2">
      <c r="A139" s="80" t="s">
        <v>1896</v>
      </c>
    </row>
    <row r="140" spans="1:1" ht="19.5" customHeight="1" x14ac:dyDescent="0.2">
      <c r="A140" s="79" t="s">
        <v>1897</v>
      </c>
    </row>
    <row r="141" spans="1:1" ht="19.5" customHeight="1" x14ac:dyDescent="0.2">
      <c r="A141" s="80" t="s">
        <v>1898</v>
      </c>
    </row>
    <row r="142" spans="1:1" ht="19.5" customHeight="1" x14ac:dyDescent="0.2">
      <c r="A142" s="80" t="s">
        <v>1899</v>
      </c>
    </row>
    <row r="143" spans="1:1" ht="19.5" customHeight="1" x14ac:dyDescent="0.2">
      <c r="A143" s="79" t="s">
        <v>1900</v>
      </c>
    </row>
    <row r="144" spans="1:1" ht="19.5" customHeight="1" x14ac:dyDescent="0.2">
      <c r="A144" s="80" t="s">
        <v>1901</v>
      </c>
    </row>
    <row r="145" spans="1:1" ht="19.5" customHeight="1" x14ac:dyDescent="0.2">
      <c r="A145" s="80" t="s">
        <v>1902</v>
      </c>
    </row>
    <row r="146" spans="1:1" ht="19.5" customHeight="1" x14ac:dyDescent="0.2">
      <c r="A146" s="79" t="s">
        <v>1903</v>
      </c>
    </row>
    <row r="147" spans="1:1" ht="19.5" customHeight="1" x14ac:dyDescent="0.2">
      <c r="A147" s="80" t="s">
        <v>1904</v>
      </c>
    </row>
    <row r="148" spans="1:1" ht="19.5" customHeight="1" x14ac:dyDescent="0.2">
      <c r="A148" s="80" t="s">
        <v>1905</v>
      </c>
    </row>
    <row r="149" spans="1:1" ht="19.5" customHeight="1" x14ac:dyDescent="0.2">
      <c r="A149" s="80"/>
    </row>
    <row r="150" spans="1:1" ht="19.5" customHeight="1" x14ac:dyDescent="0.2">
      <c r="A150" s="78" t="s">
        <v>1906</v>
      </c>
    </row>
    <row r="151" spans="1:1" ht="19.5" customHeight="1" x14ac:dyDescent="0.2">
      <c r="A151" s="79" t="s">
        <v>1907</v>
      </c>
    </row>
    <row r="152" spans="1:1" ht="19.5" customHeight="1" x14ac:dyDescent="0.2">
      <c r="A152" s="80" t="s">
        <v>1908</v>
      </c>
    </row>
    <row r="153" spans="1:1" ht="19.5" customHeight="1" x14ac:dyDescent="0.2">
      <c r="A153" s="80" t="s">
        <v>1909</v>
      </c>
    </row>
    <row r="154" spans="1:1" ht="19.5" customHeight="1" x14ac:dyDescent="0.2">
      <c r="A154" s="79" t="s">
        <v>1910</v>
      </c>
    </row>
    <row r="155" spans="1:1" ht="19.5" customHeight="1" x14ac:dyDescent="0.2">
      <c r="A155" s="80" t="s">
        <v>1911</v>
      </c>
    </row>
    <row r="156" spans="1:1" ht="19.5" customHeight="1" x14ac:dyDescent="0.2">
      <c r="A156" s="80" t="s">
        <v>1912</v>
      </c>
    </row>
    <row r="157" spans="1:1" ht="19.5" customHeight="1" x14ac:dyDescent="0.2">
      <c r="A157" s="79" t="s">
        <v>1913</v>
      </c>
    </row>
    <row r="158" spans="1:1" ht="19.5" customHeight="1" x14ac:dyDescent="0.2">
      <c r="A158" s="80" t="s">
        <v>1914</v>
      </c>
    </row>
    <row r="159" spans="1:1" ht="19.5" customHeight="1" x14ac:dyDescent="0.2">
      <c r="A159" s="80" t="s">
        <v>1915</v>
      </c>
    </row>
    <row r="160" spans="1:1" ht="19.5" customHeight="1" x14ac:dyDescent="0.2">
      <c r="A160" s="79" t="s">
        <v>1916</v>
      </c>
    </row>
    <row r="161" spans="1:1" ht="19.5" customHeight="1" x14ac:dyDescent="0.2">
      <c r="A161" s="80" t="s">
        <v>1917</v>
      </c>
    </row>
    <row r="162" spans="1:1" ht="19.5" customHeight="1" x14ac:dyDescent="0.2">
      <c r="A162" s="80" t="s">
        <v>1918</v>
      </c>
    </row>
    <row r="163" spans="1:1" ht="19.5" customHeight="1" x14ac:dyDescent="0.2">
      <c r="A163" s="79" t="s">
        <v>1919</v>
      </c>
    </row>
    <row r="164" spans="1:1" ht="19.5" customHeight="1" x14ac:dyDescent="0.2">
      <c r="A164" s="80" t="s">
        <v>1920</v>
      </c>
    </row>
    <row r="165" spans="1:1" ht="19.5" customHeight="1" x14ac:dyDescent="0.2">
      <c r="A165" s="80" t="s">
        <v>1921</v>
      </c>
    </row>
    <row r="166" spans="1:1" ht="19.5" customHeight="1" x14ac:dyDescent="0.2">
      <c r="A166" s="79" t="s">
        <v>1922</v>
      </c>
    </row>
    <row r="167" spans="1:1" ht="19.5" customHeight="1" x14ac:dyDescent="0.2">
      <c r="A167" s="80" t="s">
        <v>1923</v>
      </c>
    </row>
    <row r="168" spans="1:1" ht="19.5" customHeight="1" x14ac:dyDescent="0.2">
      <c r="A168" s="80" t="s">
        <v>1924</v>
      </c>
    </row>
    <row r="169" spans="1:1" ht="19.5" customHeight="1" x14ac:dyDescent="0.2">
      <c r="A169" s="79" t="s">
        <v>1925</v>
      </c>
    </row>
    <row r="170" spans="1:1" ht="19.5" customHeight="1" x14ac:dyDescent="0.2">
      <c r="A170" s="80" t="s">
        <v>1926</v>
      </c>
    </row>
    <row r="171" spans="1:1" ht="19.5" customHeight="1" x14ac:dyDescent="0.2">
      <c r="A171" s="80" t="s">
        <v>1927</v>
      </c>
    </row>
    <row r="172" spans="1:1" ht="19.5" customHeight="1" x14ac:dyDescent="0.2">
      <c r="A172" s="79" t="s">
        <v>1928</v>
      </c>
    </row>
    <row r="173" spans="1:1" ht="19.5" customHeight="1" x14ac:dyDescent="0.2">
      <c r="A173" s="80" t="s">
        <v>1929</v>
      </c>
    </row>
    <row r="174" spans="1:1" ht="19.5" customHeight="1" x14ac:dyDescent="0.2">
      <c r="A174" s="80" t="s">
        <v>1930</v>
      </c>
    </row>
    <row r="175" spans="1:1" ht="19.5" customHeight="1" x14ac:dyDescent="0.2">
      <c r="A175" s="78"/>
    </row>
    <row r="176" spans="1:1" ht="19.5" customHeight="1" x14ac:dyDescent="0.2">
      <c r="A176" s="78" t="s">
        <v>1931</v>
      </c>
    </row>
    <row r="177" spans="1:1" ht="19.5" customHeight="1" x14ac:dyDescent="0.2">
      <c r="A177" s="79" t="s">
        <v>1932</v>
      </c>
    </row>
    <row r="178" spans="1:1" ht="19.5" customHeight="1" x14ac:dyDescent="0.2">
      <c r="A178" s="80" t="s">
        <v>1933</v>
      </c>
    </row>
    <row r="179" spans="1:1" ht="19.5" customHeight="1" x14ac:dyDescent="0.2">
      <c r="A179" s="80" t="s">
        <v>1934</v>
      </c>
    </row>
    <row r="180" spans="1:1" ht="19.5" customHeight="1" x14ac:dyDescent="0.2">
      <c r="A180" s="79" t="s">
        <v>1935</v>
      </c>
    </row>
    <row r="181" spans="1:1" ht="19.5" customHeight="1" x14ac:dyDescent="0.2">
      <c r="A181" s="80" t="s">
        <v>1936</v>
      </c>
    </row>
    <row r="182" spans="1:1" ht="19.5" customHeight="1" x14ac:dyDescent="0.2">
      <c r="A182" s="80" t="s">
        <v>1937</v>
      </c>
    </row>
    <row r="183" spans="1:1" ht="19.5" customHeight="1" x14ac:dyDescent="0.2">
      <c r="A183" s="79" t="s">
        <v>1938</v>
      </c>
    </row>
    <row r="184" spans="1:1" ht="19.5" customHeight="1" x14ac:dyDescent="0.2">
      <c r="A184" s="80" t="s">
        <v>1939</v>
      </c>
    </row>
    <row r="185" spans="1:1" ht="19.5" customHeight="1" x14ac:dyDescent="0.2">
      <c r="A185" s="80" t="s">
        <v>1940</v>
      </c>
    </row>
    <row r="186" spans="1:1" ht="19.5" customHeight="1" x14ac:dyDescent="0.2">
      <c r="A186" s="79" t="s">
        <v>1941</v>
      </c>
    </row>
    <row r="187" spans="1:1" ht="19.5" customHeight="1" x14ac:dyDescent="0.2">
      <c r="A187" s="80" t="s">
        <v>1942</v>
      </c>
    </row>
    <row r="188" spans="1:1" ht="19.5" customHeight="1" x14ac:dyDescent="0.2">
      <c r="A188" s="80" t="s">
        <v>1943</v>
      </c>
    </row>
    <row r="189" spans="1:1" ht="19.5" customHeight="1" x14ac:dyDescent="0.2">
      <c r="A189" s="80"/>
    </row>
    <row r="190" spans="1:1" ht="19.5" customHeight="1" x14ac:dyDescent="0.2">
      <c r="A190" s="78" t="s">
        <v>1944</v>
      </c>
    </row>
    <row r="191" spans="1:1" ht="19.5" customHeight="1" x14ac:dyDescent="0.2">
      <c r="A191" s="79" t="s">
        <v>1945</v>
      </c>
    </row>
    <row r="192" spans="1:1" ht="19.5" customHeight="1" x14ac:dyDescent="0.2">
      <c r="A192" s="80" t="s">
        <v>1946</v>
      </c>
    </row>
    <row r="193" spans="1:1" ht="19.5" customHeight="1" x14ac:dyDescent="0.2">
      <c r="A193" s="80" t="s">
        <v>1947</v>
      </c>
    </row>
    <row r="194" spans="1:1" ht="19.5" customHeight="1" x14ac:dyDescent="0.2">
      <c r="A194" s="79" t="s">
        <v>1948</v>
      </c>
    </row>
    <row r="195" spans="1:1" ht="19.5" customHeight="1" x14ac:dyDescent="0.2">
      <c r="A195" s="80" t="s">
        <v>1949</v>
      </c>
    </row>
    <row r="196" spans="1:1" ht="19.5" customHeight="1" x14ac:dyDescent="0.2">
      <c r="A196" s="80" t="s">
        <v>1950</v>
      </c>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212"/>
  <sheetViews>
    <sheetView zoomScaleNormal="100" workbookViewId="0"/>
  </sheetViews>
  <sheetFormatPr defaultColWidth="8.7109375" defaultRowHeight="12.75" x14ac:dyDescent="0.2"/>
  <sheetData>
    <row r="1" spans="1:1" ht="19.5" customHeight="1" x14ac:dyDescent="0.2">
      <c r="A1" s="81"/>
    </row>
    <row r="2" spans="1:1" ht="19.5" customHeight="1" x14ac:dyDescent="0.2">
      <c r="A2" s="78" t="s">
        <v>1951</v>
      </c>
    </row>
    <row r="3" spans="1:1" ht="19.5" customHeight="1" x14ac:dyDescent="0.2">
      <c r="A3" s="82" t="s">
        <v>1952</v>
      </c>
    </row>
    <row r="4" spans="1:1" ht="19.5" customHeight="1" x14ac:dyDescent="0.2">
      <c r="A4" s="80" t="s">
        <v>1953</v>
      </c>
    </row>
    <row r="5" spans="1:1" ht="19.5" customHeight="1" x14ac:dyDescent="0.2">
      <c r="A5" s="80" t="s">
        <v>1954</v>
      </c>
    </row>
    <row r="6" spans="1:1" ht="19.5" customHeight="1" x14ac:dyDescent="0.2">
      <c r="A6" s="82" t="s">
        <v>1955</v>
      </c>
    </row>
    <row r="7" spans="1:1" ht="19.5" customHeight="1" x14ac:dyDescent="0.2">
      <c r="A7" s="80" t="s">
        <v>1956</v>
      </c>
    </row>
    <row r="8" spans="1:1" ht="19.5" customHeight="1" x14ac:dyDescent="0.2">
      <c r="A8" s="80" t="s">
        <v>1957</v>
      </c>
    </row>
    <row r="9" spans="1:1" ht="19.5" customHeight="1" x14ac:dyDescent="0.2">
      <c r="A9" s="82" t="s">
        <v>1958</v>
      </c>
    </row>
    <row r="10" spans="1:1" ht="19.5" customHeight="1" x14ac:dyDescent="0.2">
      <c r="A10" s="80" t="s">
        <v>1959</v>
      </c>
    </row>
    <row r="11" spans="1:1" ht="19.5" customHeight="1" x14ac:dyDescent="0.2">
      <c r="A11" s="80" t="s">
        <v>1960</v>
      </c>
    </row>
    <row r="12" spans="1:1" ht="19.5" customHeight="1" x14ac:dyDescent="0.2">
      <c r="A12" s="79" t="s">
        <v>1961</v>
      </c>
    </row>
    <row r="13" spans="1:1" ht="19.5" customHeight="1" x14ac:dyDescent="0.2">
      <c r="A13" s="80" t="s">
        <v>1962</v>
      </c>
    </row>
    <row r="14" spans="1:1" ht="19.5" customHeight="1" x14ac:dyDescent="0.2">
      <c r="A14" s="80" t="s">
        <v>1963</v>
      </c>
    </row>
    <row r="15" spans="1:1" ht="19.5" customHeight="1" x14ac:dyDescent="0.2">
      <c r="A15" s="79" t="s">
        <v>1964</v>
      </c>
    </row>
    <row r="16" spans="1:1" ht="19.5" customHeight="1" x14ac:dyDescent="0.2">
      <c r="A16" s="80" t="s">
        <v>1965</v>
      </c>
    </row>
    <row r="17" spans="1:1" ht="19.5" customHeight="1" x14ac:dyDescent="0.2">
      <c r="A17" s="80" t="s">
        <v>1966</v>
      </c>
    </row>
    <row r="18" spans="1:1" ht="19.5" customHeight="1" x14ac:dyDescent="0.2">
      <c r="A18" s="79" t="s">
        <v>1967</v>
      </c>
    </row>
    <row r="19" spans="1:1" ht="19.5" customHeight="1" x14ac:dyDescent="0.2">
      <c r="A19" s="81" t="s">
        <v>1968</v>
      </c>
    </row>
    <row r="20" spans="1:1" ht="19.5" customHeight="1" x14ac:dyDescent="0.2">
      <c r="A20" s="81" t="s">
        <v>1969</v>
      </c>
    </row>
    <row r="21" spans="1:1" ht="19.5" customHeight="1" x14ac:dyDescent="0.2">
      <c r="A21" s="79" t="s">
        <v>1970</v>
      </c>
    </row>
    <row r="22" spans="1:1" ht="19.5" customHeight="1" x14ac:dyDescent="0.2">
      <c r="A22" s="81" t="s">
        <v>1971</v>
      </c>
    </row>
    <row r="23" spans="1:1" ht="19.5" customHeight="1" x14ac:dyDescent="0.2">
      <c r="A23" s="81" t="s">
        <v>1972</v>
      </c>
    </row>
    <row r="24" spans="1:1" ht="19.5" customHeight="1" x14ac:dyDescent="0.2">
      <c r="A24" s="79" t="s">
        <v>1973</v>
      </c>
    </row>
    <row r="25" spans="1:1" ht="19.5" customHeight="1" x14ac:dyDescent="0.2">
      <c r="A25" s="81" t="s">
        <v>1974</v>
      </c>
    </row>
    <row r="26" spans="1:1" ht="19.5" customHeight="1" x14ac:dyDescent="0.2">
      <c r="A26" s="81" t="s">
        <v>1975</v>
      </c>
    </row>
    <row r="27" spans="1:1" ht="19.5" customHeight="1" x14ac:dyDescent="0.2">
      <c r="A27" s="79" t="s">
        <v>1976</v>
      </c>
    </row>
    <row r="28" spans="1:1" ht="19.5" customHeight="1" x14ac:dyDescent="0.2">
      <c r="A28" s="81" t="s">
        <v>1977</v>
      </c>
    </row>
    <row r="29" spans="1:1" ht="19.5" customHeight="1" x14ac:dyDescent="0.2">
      <c r="A29" s="81" t="s">
        <v>1978</v>
      </c>
    </row>
    <row r="30" spans="1:1" ht="19.5" customHeight="1" x14ac:dyDescent="0.2">
      <c r="A30" s="79" t="s">
        <v>1979</v>
      </c>
    </row>
    <row r="31" spans="1:1" ht="19.5" customHeight="1" x14ac:dyDescent="0.2">
      <c r="A31" s="81" t="s">
        <v>1980</v>
      </c>
    </row>
    <row r="32" spans="1:1" ht="19.5" customHeight="1" x14ac:dyDescent="0.2">
      <c r="A32" s="81" t="s">
        <v>1981</v>
      </c>
    </row>
    <row r="33" spans="1:1" ht="19.5" customHeight="1" x14ac:dyDescent="0.2">
      <c r="A33" s="79" t="s">
        <v>1982</v>
      </c>
    </row>
    <row r="34" spans="1:1" ht="19.5" customHeight="1" x14ac:dyDescent="0.2">
      <c r="A34" s="81" t="s">
        <v>1983</v>
      </c>
    </row>
    <row r="35" spans="1:1" ht="19.5" customHeight="1" x14ac:dyDescent="0.2">
      <c r="A35" s="81" t="s">
        <v>1984</v>
      </c>
    </row>
    <row r="36" spans="1:1" ht="19.5" customHeight="1" x14ac:dyDescent="0.2">
      <c r="A36" s="79" t="s">
        <v>1985</v>
      </c>
    </row>
    <row r="37" spans="1:1" ht="19.5" customHeight="1" x14ac:dyDescent="0.2">
      <c r="A37" s="81" t="s">
        <v>1986</v>
      </c>
    </row>
    <row r="38" spans="1:1" ht="19.5" customHeight="1" x14ac:dyDescent="0.2">
      <c r="A38" s="81" t="s">
        <v>1987</v>
      </c>
    </row>
    <row r="39" spans="1:1" ht="19.5" customHeight="1" x14ac:dyDescent="0.2">
      <c r="A39" s="79" t="s">
        <v>1988</v>
      </c>
    </row>
    <row r="40" spans="1:1" ht="19.5" customHeight="1" x14ac:dyDescent="0.2">
      <c r="A40" s="81" t="s">
        <v>1989</v>
      </c>
    </row>
    <row r="41" spans="1:1" ht="19.5" customHeight="1" x14ac:dyDescent="0.2">
      <c r="A41" s="81" t="s">
        <v>1990</v>
      </c>
    </row>
    <row r="42" spans="1:1" ht="19.5" customHeight="1" x14ac:dyDescent="0.2">
      <c r="A42" s="79" t="s">
        <v>1991</v>
      </c>
    </row>
    <row r="43" spans="1:1" ht="19.5" customHeight="1" x14ac:dyDescent="0.2">
      <c r="A43" s="81" t="s">
        <v>1992</v>
      </c>
    </row>
    <row r="44" spans="1:1" ht="19.5" customHeight="1" x14ac:dyDescent="0.2">
      <c r="A44" s="81" t="s">
        <v>1993</v>
      </c>
    </row>
    <row r="45" spans="1:1" ht="19.5" customHeight="1" x14ac:dyDescent="0.2">
      <c r="A45" s="79" t="s">
        <v>1994</v>
      </c>
    </row>
    <row r="46" spans="1:1" ht="19.5" customHeight="1" x14ac:dyDescent="0.2">
      <c r="A46" s="81" t="s">
        <v>1995</v>
      </c>
    </row>
    <row r="47" spans="1:1" ht="19.5" customHeight="1" x14ac:dyDescent="0.2">
      <c r="A47" s="81" t="s">
        <v>1996</v>
      </c>
    </row>
    <row r="48" spans="1:1" ht="19.5" customHeight="1" x14ac:dyDescent="0.2">
      <c r="A48" s="79" t="s">
        <v>1997</v>
      </c>
    </row>
    <row r="49" spans="1:1" ht="19.5" customHeight="1" x14ac:dyDescent="0.2">
      <c r="A49" s="81" t="s">
        <v>1998</v>
      </c>
    </row>
    <row r="50" spans="1:1" ht="19.5" customHeight="1" x14ac:dyDescent="0.2">
      <c r="A50" s="81" t="s">
        <v>1999</v>
      </c>
    </row>
    <row r="51" spans="1:1" ht="19.5" customHeight="1" x14ac:dyDescent="0.2">
      <c r="A51" s="79" t="s">
        <v>2000</v>
      </c>
    </row>
    <row r="52" spans="1:1" ht="19.5" customHeight="1" x14ac:dyDescent="0.2">
      <c r="A52" s="81" t="s">
        <v>2001</v>
      </c>
    </row>
    <row r="53" spans="1:1" ht="19.5" customHeight="1" x14ac:dyDescent="0.2">
      <c r="A53" s="81" t="s">
        <v>2002</v>
      </c>
    </row>
    <row r="54" spans="1:1" ht="19.5" customHeight="1" x14ac:dyDescent="0.2">
      <c r="A54" s="79" t="s">
        <v>2003</v>
      </c>
    </row>
    <row r="55" spans="1:1" ht="19.5" customHeight="1" x14ac:dyDescent="0.2">
      <c r="A55" s="81" t="s">
        <v>2004</v>
      </c>
    </row>
    <row r="56" spans="1:1" ht="19.5" customHeight="1" x14ac:dyDescent="0.2">
      <c r="A56" s="81" t="s">
        <v>2005</v>
      </c>
    </row>
    <row r="57" spans="1:1" ht="19.5" customHeight="1" x14ac:dyDescent="0.2">
      <c r="A57" s="79" t="s">
        <v>2006</v>
      </c>
    </row>
    <row r="58" spans="1:1" ht="19.5" customHeight="1" x14ac:dyDescent="0.2">
      <c r="A58" s="81" t="s">
        <v>2007</v>
      </c>
    </row>
    <row r="59" spans="1:1" ht="19.5" customHeight="1" x14ac:dyDescent="0.2">
      <c r="A59" s="81" t="s">
        <v>2008</v>
      </c>
    </row>
    <row r="60" spans="1:1" ht="19.5" customHeight="1" x14ac:dyDescent="0.2">
      <c r="A60" s="79" t="s">
        <v>2009</v>
      </c>
    </row>
    <row r="61" spans="1:1" ht="19.5" customHeight="1" x14ac:dyDescent="0.2">
      <c r="A61" s="81" t="s">
        <v>2010</v>
      </c>
    </row>
    <row r="62" spans="1:1" ht="19.5" customHeight="1" x14ac:dyDescent="0.2">
      <c r="A62" s="81" t="s">
        <v>2011</v>
      </c>
    </row>
    <row r="63" spans="1:1" ht="19.5" customHeight="1" x14ac:dyDescent="0.2">
      <c r="A63" s="79" t="s">
        <v>2012</v>
      </c>
    </row>
    <row r="64" spans="1:1" ht="19.5" customHeight="1" x14ac:dyDescent="0.2">
      <c r="A64" s="81" t="s">
        <v>2013</v>
      </c>
    </row>
    <row r="65" spans="1:1" ht="19.5" customHeight="1" x14ac:dyDescent="0.2">
      <c r="A65" s="81" t="s">
        <v>2014</v>
      </c>
    </row>
    <row r="66" spans="1:1" ht="19.5" customHeight="1" x14ac:dyDescent="0.2">
      <c r="A66" s="79" t="s">
        <v>2015</v>
      </c>
    </row>
    <row r="67" spans="1:1" ht="19.5" customHeight="1" x14ac:dyDescent="0.2">
      <c r="A67" s="81" t="s">
        <v>2016</v>
      </c>
    </row>
    <row r="68" spans="1:1" ht="19.5" customHeight="1" x14ac:dyDescent="0.2">
      <c r="A68" s="81" t="s">
        <v>2017</v>
      </c>
    </row>
    <row r="69" spans="1:1" ht="19.5" customHeight="1" x14ac:dyDescent="0.2">
      <c r="A69" s="79" t="s">
        <v>2018</v>
      </c>
    </row>
    <row r="70" spans="1:1" ht="19.5" customHeight="1" x14ac:dyDescent="0.2">
      <c r="A70" s="81" t="s">
        <v>2019</v>
      </c>
    </row>
    <row r="71" spans="1:1" ht="19.5" customHeight="1" x14ac:dyDescent="0.2">
      <c r="A71" s="81" t="s">
        <v>2020</v>
      </c>
    </row>
    <row r="72" spans="1:1" ht="19.5" customHeight="1" x14ac:dyDescent="0.2">
      <c r="A72" s="79" t="s">
        <v>2021</v>
      </c>
    </row>
    <row r="73" spans="1:1" ht="19.5" customHeight="1" x14ac:dyDescent="0.2">
      <c r="A73" s="81" t="s">
        <v>2022</v>
      </c>
    </row>
    <row r="74" spans="1:1" ht="19.5" customHeight="1" x14ac:dyDescent="0.2">
      <c r="A74" s="81" t="s">
        <v>2023</v>
      </c>
    </row>
    <row r="75" spans="1:1" ht="19.5" customHeight="1" x14ac:dyDescent="0.2">
      <c r="A75" s="79" t="s">
        <v>2024</v>
      </c>
    </row>
    <row r="76" spans="1:1" ht="19.5" customHeight="1" x14ac:dyDescent="0.2">
      <c r="A76" s="81" t="s">
        <v>2025</v>
      </c>
    </row>
    <row r="77" spans="1:1" ht="19.5" customHeight="1" x14ac:dyDescent="0.2">
      <c r="A77" s="81" t="s">
        <v>2026</v>
      </c>
    </row>
    <row r="78" spans="1:1" ht="19.5" customHeight="1" x14ac:dyDescent="0.2">
      <c r="A78" s="79" t="s">
        <v>2027</v>
      </c>
    </row>
    <row r="79" spans="1:1" ht="19.5" customHeight="1" x14ac:dyDescent="0.2">
      <c r="A79" s="81" t="s">
        <v>2028</v>
      </c>
    </row>
    <row r="80" spans="1:1" ht="19.5" customHeight="1" x14ac:dyDescent="0.2">
      <c r="A80" s="81" t="s">
        <v>2029</v>
      </c>
    </row>
    <row r="81" spans="1:1" ht="19.5" customHeight="1" x14ac:dyDescent="0.2">
      <c r="A81" s="79" t="s">
        <v>2030</v>
      </c>
    </row>
    <row r="82" spans="1:1" ht="19.5" customHeight="1" x14ac:dyDescent="0.2">
      <c r="A82" s="81" t="s">
        <v>2031</v>
      </c>
    </row>
    <row r="83" spans="1:1" ht="19.5" customHeight="1" x14ac:dyDescent="0.2">
      <c r="A83" s="81" t="s">
        <v>2032</v>
      </c>
    </row>
    <row r="84" spans="1:1" ht="19.5" customHeight="1" x14ac:dyDescent="0.2">
      <c r="A84" s="79" t="s">
        <v>2033</v>
      </c>
    </row>
    <row r="85" spans="1:1" ht="19.5" customHeight="1" x14ac:dyDescent="0.2">
      <c r="A85" s="81" t="s">
        <v>2034</v>
      </c>
    </row>
    <row r="86" spans="1:1" ht="19.5" customHeight="1" x14ac:dyDescent="0.2">
      <c r="A86" s="81" t="s">
        <v>2035</v>
      </c>
    </row>
    <row r="87" spans="1:1" ht="19.5" customHeight="1" x14ac:dyDescent="0.2">
      <c r="A87" s="79" t="s">
        <v>2036</v>
      </c>
    </row>
    <row r="88" spans="1:1" ht="19.5" customHeight="1" x14ac:dyDescent="0.2">
      <c r="A88" s="81" t="s">
        <v>2037</v>
      </c>
    </row>
    <row r="89" spans="1:1" ht="19.5" customHeight="1" x14ac:dyDescent="0.2">
      <c r="A89" s="81" t="s">
        <v>2038</v>
      </c>
    </row>
    <row r="90" spans="1:1" ht="19.5" customHeight="1" x14ac:dyDescent="0.2">
      <c r="A90" s="79" t="s">
        <v>2039</v>
      </c>
    </row>
    <row r="91" spans="1:1" ht="19.5" customHeight="1" x14ac:dyDescent="0.2">
      <c r="A91" s="81" t="s">
        <v>2040</v>
      </c>
    </row>
    <row r="92" spans="1:1" ht="19.5" customHeight="1" x14ac:dyDescent="0.2">
      <c r="A92" s="81" t="s">
        <v>2041</v>
      </c>
    </row>
    <row r="93" spans="1:1" ht="19.5" customHeight="1" x14ac:dyDescent="0.2">
      <c r="A93" s="79" t="s">
        <v>2042</v>
      </c>
    </row>
    <row r="94" spans="1:1" ht="19.5" customHeight="1" x14ac:dyDescent="0.2">
      <c r="A94" s="81" t="s">
        <v>2043</v>
      </c>
    </row>
    <row r="95" spans="1:1" ht="19.5" customHeight="1" x14ac:dyDescent="0.2">
      <c r="A95" s="81" t="s">
        <v>2044</v>
      </c>
    </row>
    <row r="96" spans="1:1" ht="19.5" customHeight="1" x14ac:dyDescent="0.2">
      <c r="A96" s="79" t="s">
        <v>2045</v>
      </c>
    </row>
    <row r="97" spans="1:1" ht="19.5" customHeight="1" x14ac:dyDescent="0.2">
      <c r="A97" s="81" t="s">
        <v>2046</v>
      </c>
    </row>
    <row r="98" spans="1:1" ht="19.5" customHeight="1" x14ac:dyDescent="0.2">
      <c r="A98" s="81" t="s">
        <v>2047</v>
      </c>
    </row>
    <row r="99" spans="1:1" ht="19.5" customHeight="1" x14ac:dyDescent="0.2">
      <c r="A99" s="80"/>
    </row>
    <row r="100" spans="1:1" ht="19.5" customHeight="1" x14ac:dyDescent="0.2">
      <c r="A100" s="78" t="s">
        <v>2048</v>
      </c>
    </row>
    <row r="101" spans="1:1" ht="19.5" customHeight="1" x14ac:dyDescent="0.2">
      <c r="A101" s="82" t="s">
        <v>2049</v>
      </c>
    </row>
    <row r="102" spans="1:1" ht="19.5" customHeight="1" x14ac:dyDescent="0.2">
      <c r="A102" s="80" t="s">
        <v>2050</v>
      </c>
    </row>
    <row r="103" spans="1:1" ht="19.5" customHeight="1" x14ac:dyDescent="0.2">
      <c r="A103" s="80" t="s">
        <v>2051</v>
      </c>
    </row>
    <row r="104" spans="1:1" ht="19.5" customHeight="1" x14ac:dyDescent="0.2">
      <c r="A104" s="82" t="s">
        <v>2052</v>
      </c>
    </row>
    <row r="105" spans="1:1" ht="19.5" customHeight="1" x14ac:dyDescent="0.2">
      <c r="A105" s="80" t="s">
        <v>2053</v>
      </c>
    </row>
    <row r="106" spans="1:1" ht="19.5" customHeight="1" x14ac:dyDescent="0.2">
      <c r="A106" s="80" t="s">
        <v>2054</v>
      </c>
    </row>
    <row r="107" spans="1:1" ht="19.5" customHeight="1" x14ac:dyDescent="0.2">
      <c r="A107" s="82" t="s">
        <v>2055</v>
      </c>
    </row>
    <row r="108" spans="1:1" ht="19.5" customHeight="1" x14ac:dyDescent="0.2">
      <c r="A108" s="80" t="s">
        <v>2056</v>
      </c>
    </row>
    <row r="109" spans="1:1" ht="19.5" customHeight="1" x14ac:dyDescent="0.2">
      <c r="A109" s="80" t="s">
        <v>2057</v>
      </c>
    </row>
    <row r="110" spans="1:1" ht="19.5" customHeight="1" x14ac:dyDescent="0.2">
      <c r="A110" s="79" t="s">
        <v>2058</v>
      </c>
    </row>
    <row r="111" spans="1:1" ht="19.5" customHeight="1" x14ac:dyDescent="0.2">
      <c r="A111" s="80" t="s">
        <v>2059</v>
      </c>
    </row>
    <row r="112" spans="1:1" ht="19.5" customHeight="1" x14ac:dyDescent="0.2">
      <c r="A112" s="80" t="s">
        <v>2060</v>
      </c>
    </row>
    <row r="113" spans="1:1" ht="19.5" customHeight="1" x14ac:dyDescent="0.2">
      <c r="A113" s="79" t="s">
        <v>2061</v>
      </c>
    </row>
    <row r="114" spans="1:1" ht="19.5" customHeight="1" x14ac:dyDescent="0.2">
      <c r="A114" s="81" t="s">
        <v>2062</v>
      </c>
    </row>
    <row r="115" spans="1:1" ht="19.5" customHeight="1" x14ac:dyDescent="0.2">
      <c r="A115" s="81" t="s">
        <v>2063</v>
      </c>
    </row>
    <row r="116" spans="1:1" ht="19.5" customHeight="1" x14ac:dyDescent="0.2">
      <c r="A116" s="79" t="s">
        <v>2064</v>
      </c>
    </row>
    <row r="117" spans="1:1" ht="19.5" customHeight="1" x14ac:dyDescent="0.2">
      <c r="A117" s="81" t="s">
        <v>2065</v>
      </c>
    </row>
    <row r="118" spans="1:1" ht="19.5" customHeight="1" x14ac:dyDescent="0.2">
      <c r="A118" s="81" t="s">
        <v>2066</v>
      </c>
    </row>
    <row r="119" spans="1:1" ht="19.5" customHeight="1" x14ac:dyDescent="0.2">
      <c r="A119" s="79" t="s">
        <v>2067</v>
      </c>
    </row>
    <row r="120" spans="1:1" ht="19.5" customHeight="1" x14ac:dyDescent="0.2">
      <c r="A120" s="81" t="s">
        <v>2068</v>
      </c>
    </row>
    <row r="121" spans="1:1" ht="19.5" customHeight="1" x14ac:dyDescent="0.2">
      <c r="A121" s="81" t="s">
        <v>2069</v>
      </c>
    </row>
    <row r="122" spans="1:1" ht="19.5" customHeight="1" x14ac:dyDescent="0.2">
      <c r="A122" s="79" t="s">
        <v>2070</v>
      </c>
    </row>
    <row r="123" spans="1:1" ht="19.5" customHeight="1" x14ac:dyDescent="0.2">
      <c r="A123" s="81" t="s">
        <v>2071</v>
      </c>
    </row>
    <row r="124" spans="1:1" ht="19.5" customHeight="1" x14ac:dyDescent="0.2">
      <c r="A124" s="81" t="s">
        <v>2072</v>
      </c>
    </row>
    <row r="125" spans="1:1" ht="19.5" customHeight="1" x14ac:dyDescent="0.2">
      <c r="A125" s="79" t="s">
        <v>2073</v>
      </c>
    </row>
    <row r="126" spans="1:1" ht="19.5" customHeight="1" x14ac:dyDescent="0.2">
      <c r="A126" s="81" t="s">
        <v>2074</v>
      </c>
    </row>
    <row r="127" spans="1:1" ht="19.5" customHeight="1" x14ac:dyDescent="0.2">
      <c r="A127" s="81" t="s">
        <v>2075</v>
      </c>
    </row>
    <row r="128" spans="1:1" ht="19.5" customHeight="1" x14ac:dyDescent="0.2">
      <c r="A128" s="79" t="s">
        <v>2076</v>
      </c>
    </row>
    <row r="129" spans="1:1" ht="19.5" customHeight="1" x14ac:dyDescent="0.2">
      <c r="A129" s="81" t="s">
        <v>2077</v>
      </c>
    </row>
    <row r="130" spans="1:1" ht="19.5" customHeight="1" x14ac:dyDescent="0.2">
      <c r="A130" s="81" t="s">
        <v>2078</v>
      </c>
    </row>
    <row r="131" spans="1:1" ht="19.5" customHeight="1" x14ac:dyDescent="0.2">
      <c r="A131" s="79" t="s">
        <v>2079</v>
      </c>
    </row>
    <row r="132" spans="1:1" ht="19.5" customHeight="1" x14ac:dyDescent="0.2">
      <c r="A132" s="81" t="s">
        <v>2080</v>
      </c>
    </row>
    <row r="133" spans="1:1" ht="19.5" customHeight="1" x14ac:dyDescent="0.2">
      <c r="A133" s="81" t="s">
        <v>2081</v>
      </c>
    </row>
    <row r="134" spans="1:1" ht="19.5" customHeight="1" x14ac:dyDescent="0.2">
      <c r="A134" s="79" t="s">
        <v>2082</v>
      </c>
    </row>
    <row r="135" spans="1:1" ht="19.5" customHeight="1" x14ac:dyDescent="0.2">
      <c r="A135" s="81" t="s">
        <v>2083</v>
      </c>
    </row>
    <row r="136" spans="1:1" ht="19.5" customHeight="1" x14ac:dyDescent="0.2">
      <c r="A136" s="81" t="s">
        <v>2084</v>
      </c>
    </row>
    <row r="137" spans="1:1" ht="19.5" customHeight="1" x14ac:dyDescent="0.2">
      <c r="A137" s="79" t="s">
        <v>2085</v>
      </c>
    </row>
    <row r="138" spans="1:1" ht="19.5" customHeight="1" x14ac:dyDescent="0.2">
      <c r="A138" s="81" t="s">
        <v>2086</v>
      </c>
    </row>
    <row r="139" spans="1:1" ht="19.5" customHeight="1" x14ac:dyDescent="0.2">
      <c r="A139" s="81" t="s">
        <v>2087</v>
      </c>
    </row>
    <row r="140" spans="1:1" ht="19.5" customHeight="1" x14ac:dyDescent="0.2">
      <c r="A140" s="79" t="s">
        <v>2088</v>
      </c>
    </row>
    <row r="141" spans="1:1" ht="19.5" customHeight="1" x14ac:dyDescent="0.2">
      <c r="A141" s="81" t="s">
        <v>2089</v>
      </c>
    </row>
    <row r="142" spans="1:1" ht="19.5" customHeight="1" x14ac:dyDescent="0.2">
      <c r="A142" s="81" t="s">
        <v>2090</v>
      </c>
    </row>
    <row r="143" spans="1:1" ht="19.5" customHeight="1" x14ac:dyDescent="0.2">
      <c r="A143" s="79" t="s">
        <v>2091</v>
      </c>
    </row>
    <row r="144" spans="1:1" ht="19.5" customHeight="1" x14ac:dyDescent="0.2">
      <c r="A144" s="81" t="s">
        <v>2092</v>
      </c>
    </row>
    <row r="145" spans="1:1" ht="19.5" customHeight="1" x14ac:dyDescent="0.2">
      <c r="A145" s="81" t="s">
        <v>2093</v>
      </c>
    </row>
    <row r="146" spans="1:1" ht="19.5" customHeight="1" x14ac:dyDescent="0.2">
      <c r="A146" s="79" t="s">
        <v>2094</v>
      </c>
    </row>
    <row r="147" spans="1:1" ht="19.5" customHeight="1" x14ac:dyDescent="0.2">
      <c r="A147" s="81" t="s">
        <v>2095</v>
      </c>
    </row>
    <row r="148" spans="1:1" ht="19.5" customHeight="1" x14ac:dyDescent="0.2">
      <c r="A148" s="81" t="s">
        <v>2096</v>
      </c>
    </row>
    <row r="149" spans="1:1" ht="19.5" customHeight="1" x14ac:dyDescent="0.2">
      <c r="A149" s="80"/>
    </row>
    <row r="150" spans="1:1" ht="19.5" customHeight="1" x14ac:dyDescent="0.2">
      <c r="A150" s="78" t="s">
        <v>2097</v>
      </c>
    </row>
    <row r="151" spans="1:1" ht="19.5" customHeight="1" x14ac:dyDescent="0.2">
      <c r="A151" s="82" t="s">
        <v>2098</v>
      </c>
    </row>
    <row r="152" spans="1:1" ht="19.5" customHeight="1" x14ac:dyDescent="0.2">
      <c r="A152" s="80" t="s">
        <v>2099</v>
      </c>
    </row>
    <row r="153" spans="1:1" ht="19.5" customHeight="1" x14ac:dyDescent="0.2">
      <c r="A153" s="80" t="s">
        <v>2100</v>
      </c>
    </row>
    <row r="154" spans="1:1" ht="19.5" customHeight="1" x14ac:dyDescent="0.2">
      <c r="A154" s="82" t="s">
        <v>2101</v>
      </c>
    </row>
    <row r="155" spans="1:1" ht="19.5" customHeight="1" x14ac:dyDescent="0.2">
      <c r="A155" s="80" t="s">
        <v>2102</v>
      </c>
    </row>
    <row r="156" spans="1:1" ht="19.5" customHeight="1" x14ac:dyDescent="0.2">
      <c r="A156" s="80" t="s">
        <v>2103</v>
      </c>
    </row>
    <row r="157" spans="1:1" ht="19.5" customHeight="1" x14ac:dyDescent="0.2">
      <c r="A157" s="82" t="s">
        <v>2104</v>
      </c>
    </row>
    <row r="158" spans="1:1" ht="19.5" customHeight="1" x14ac:dyDescent="0.2">
      <c r="A158" s="80" t="s">
        <v>2105</v>
      </c>
    </row>
    <row r="159" spans="1:1" ht="19.5" customHeight="1" x14ac:dyDescent="0.2">
      <c r="A159" s="80" t="s">
        <v>2106</v>
      </c>
    </row>
    <row r="160" spans="1:1" ht="19.5" customHeight="1" x14ac:dyDescent="0.2">
      <c r="A160" s="79" t="s">
        <v>2107</v>
      </c>
    </row>
    <row r="161" spans="1:1" ht="19.5" customHeight="1" x14ac:dyDescent="0.2">
      <c r="A161" s="81" t="s">
        <v>2108</v>
      </c>
    </row>
    <row r="162" spans="1:1" ht="19.5" customHeight="1" x14ac:dyDescent="0.2">
      <c r="A162" s="81" t="s">
        <v>2109</v>
      </c>
    </row>
    <row r="163" spans="1:1" ht="19.5" customHeight="1" x14ac:dyDescent="0.2">
      <c r="A163" s="81" t="s">
        <v>2110</v>
      </c>
    </row>
    <row r="164" spans="1:1" ht="19.5" customHeight="1" x14ac:dyDescent="0.2">
      <c r="A164" s="81" t="s">
        <v>2111</v>
      </c>
    </row>
    <row r="165" spans="1:1" ht="19.5" customHeight="1" x14ac:dyDescent="0.2">
      <c r="A165" s="79" t="s">
        <v>2112</v>
      </c>
    </row>
    <row r="166" spans="1:1" ht="19.5" customHeight="1" x14ac:dyDescent="0.2">
      <c r="A166" s="81" t="s">
        <v>2113</v>
      </c>
    </row>
    <row r="167" spans="1:1" ht="19.5" customHeight="1" x14ac:dyDescent="0.2">
      <c r="A167" s="81" t="s">
        <v>2114</v>
      </c>
    </row>
    <row r="168" spans="1:1" ht="19.5" customHeight="1" x14ac:dyDescent="0.2">
      <c r="A168" s="79" t="s">
        <v>2115</v>
      </c>
    </row>
    <row r="169" spans="1:1" ht="19.5" customHeight="1" x14ac:dyDescent="0.2">
      <c r="A169" s="81" t="s">
        <v>2116</v>
      </c>
    </row>
    <row r="170" spans="1:1" ht="19.5" customHeight="1" x14ac:dyDescent="0.2">
      <c r="A170" s="81" t="s">
        <v>2117</v>
      </c>
    </row>
    <row r="171" spans="1:1" ht="19.5" customHeight="1" x14ac:dyDescent="0.2">
      <c r="A171" s="79" t="s">
        <v>2118</v>
      </c>
    </row>
    <row r="172" spans="1:1" ht="19.5" customHeight="1" x14ac:dyDescent="0.2">
      <c r="A172" s="81" t="s">
        <v>2119</v>
      </c>
    </row>
    <row r="173" spans="1:1" ht="19.5" customHeight="1" x14ac:dyDescent="0.2">
      <c r="A173" s="81" t="s">
        <v>2120</v>
      </c>
    </row>
    <row r="174" spans="1:1" ht="19.5" customHeight="1" x14ac:dyDescent="0.2">
      <c r="A174" s="79" t="s">
        <v>2121</v>
      </c>
    </row>
    <row r="175" spans="1:1" ht="19.5" customHeight="1" x14ac:dyDescent="0.2">
      <c r="A175" s="81" t="s">
        <v>2122</v>
      </c>
    </row>
    <row r="176" spans="1:1" ht="19.5" customHeight="1" x14ac:dyDescent="0.2">
      <c r="A176" s="81" t="s">
        <v>2123</v>
      </c>
    </row>
    <row r="177" spans="1:1" ht="19.5" customHeight="1" x14ac:dyDescent="0.2">
      <c r="A177" s="80"/>
    </row>
    <row r="178" spans="1:1" ht="19.5" customHeight="1" x14ac:dyDescent="0.2">
      <c r="A178" s="78" t="s">
        <v>2124</v>
      </c>
    </row>
    <row r="179" spans="1:1" ht="19.5" customHeight="1" x14ac:dyDescent="0.2">
      <c r="A179" s="82" t="s">
        <v>2125</v>
      </c>
    </row>
    <row r="180" spans="1:1" ht="19.5" customHeight="1" x14ac:dyDescent="0.2">
      <c r="A180" s="80" t="s">
        <v>2126</v>
      </c>
    </row>
    <row r="181" spans="1:1" ht="19.5" customHeight="1" x14ac:dyDescent="0.2">
      <c r="A181" s="80" t="s">
        <v>2127</v>
      </c>
    </row>
    <row r="182" spans="1:1" ht="19.5" customHeight="1" x14ac:dyDescent="0.2">
      <c r="A182" s="82" t="s">
        <v>2128</v>
      </c>
    </row>
    <row r="183" spans="1:1" ht="19.5" customHeight="1" x14ac:dyDescent="0.2">
      <c r="A183" s="80" t="s">
        <v>2129</v>
      </c>
    </row>
    <row r="184" spans="1:1" ht="19.5" customHeight="1" x14ac:dyDescent="0.2">
      <c r="A184" s="80" t="s">
        <v>2130</v>
      </c>
    </row>
    <row r="185" spans="1:1" ht="19.5" customHeight="1" x14ac:dyDescent="0.2">
      <c r="A185" s="82" t="s">
        <v>2131</v>
      </c>
    </row>
    <row r="186" spans="1:1" ht="19.5" customHeight="1" x14ac:dyDescent="0.2">
      <c r="A186" s="80" t="s">
        <v>2132</v>
      </c>
    </row>
    <row r="187" spans="1:1" ht="19.5" customHeight="1" x14ac:dyDescent="0.2">
      <c r="A187" s="80" t="s">
        <v>2133</v>
      </c>
    </row>
    <row r="188" spans="1:1" ht="19.5" customHeight="1" x14ac:dyDescent="0.2">
      <c r="A188" s="79" t="s">
        <v>2134</v>
      </c>
    </row>
    <row r="189" spans="1:1" ht="19.5" customHeight="1" x14ac:dyDescent="0.2">
      <c r="A189" s="81" t="s">
        <v>2135</v>
      </c>
    </row>
    <row r="190" spans="1:1" ht="19.5" customHeight="1" x14ac:dyDescent="0.2">
      <c r="A190" s="81" t="s">
        <v>2136</v>
      </c>
    </row>
    <row r="191" spans="1:1" ht="19.5" customHeight="1" x14ac:dyDescent="0.2">
      <c r="A191" s="80"/>
    </row>
    <row r="192" spans="1:1" ht="19.5" customHeight="1" x14ac:dyDescent="0.2">
      <c r="A192" s="80"/>
    </row>
    <row r="193" spans="1:1" ht="19.5" customHeight="1" x14ac:dyDescent="0.2">
      <c r="A193" s="78" t="s">
        <v>2137</v>
      </c>
    </row>
    <row r="194" spans="1:1" ht="19.5" customHeight="1" x14ac:dyDescent="0.2">
      <c r="A194" s="82" t="s">
        <v>2138</v>
      </c>
    </row>
    <row r="195" spans="1:1" ht="19.5" customHeight="1" x14ac:dyDescent="0.2">
      <c r="A195" s="80" t="s">
        <v>2139</v>
      </c>
    </row>
    <row r="196" spans="1:1" ht="19.5" customHeight="1" x14ac:dyDescent="0.2">
      <c r="A196" s="80" t="s">
        <v>2140</v>
      </c>
    </row>
    <row r="197" spans="1:1" ht="19.5" customHeight="1" x14ac:dyDescent="0.2">
      <c r="A197" s="82" t="s">
        <v>2141</v>
      </c>
    </row>
    <row r="198" spans="1:1" ht="19.5" customHeight="1" x14ac:dyDescent="0.2">
      <c r="A198" s="80" t="s">
        <v>2142</v>
      </c>
    </row>
    <row r="199" spans="1:1" ht="19.5" customHeight="1" x14ac:dyDescent="0.2">
      <c r="A199" s="80" t="s">
        <v>2143</v>
      </c>
    </row>
    <row r="200" spans="1:1" ht="19.5" customHeight="1" x14ac:dyDescent="0.2">
      <c r="A200" s="80"/>
    </row>
    <row r="201" spans="1:1" ht="19.5" customHeight="1" x14ac:dyDescent="0.2">
      <c r="A201" s="83" t="s">
        <v>2144</v>
      </c>
    </row>
    <row r="202" spans="1:1" ht="19.5" customHeight="1" x14ac:dyDescent="0.2">
      <c r="A202" s="80"/>
    </row>
    <row r="203" spans="1:1" ht="19.5" customHeight="1" x14ac:dyDescent="0.2">
      <c r="A203" s="80" t="s">
        <v>2145</v>
      </c>
    </row>
    <row r="204" spans="1:1" ht="19.5" customHeight="1" x14ac:dyDescent="0.2">
      <c r="A204" s="80" t="s">
        <v>2146</v>
      </c>
    </row>
    <row r="205" spans="1:1" ht="19.5" customHeight="1" x14ac:dyDescent="0.2">
      <c r="A205" s="80"/>
    </row>
    <row r="206" spans="1:1" ht="19.5" customHeight="1" x14ac:dyDescent="0.2">
      <c r="A206" s="80" t="s">
        <v>2147</v>
      </c>
    </row>
    <row r="207" spans="1:1" ht="19.5" customHeight="1" x14ac:dyDescent="0.2">
      <c r="A207" s="80" t="s">
        <v>2148</v>
      </c>
    </row>
    <row r="208" spans="1:1" ht="19.5" customHeight="1" x14ac:dyDescent="0.2">
      <c r="A208" s="80"/>
    </row>
    <row r="209" spans="1:1" ht="19.5" customHeight="1" x14ac:dyDescent="0.2">
      <c r="A209" s="80" t="s">
        <v>2149</v>
      </c>
    </row>
    <row r="210" spans="1:1" ht="19.5" customHeight="1" x14ac:dyDescent="0.2">
      <c r="A210" s="80"/>
    </row>
    <row r="211" spans="1:1" ht="19.5" customHeight="1" x14ac:dyDescent="0.2">
      <c r="A211" s="80" t="s">
        <v>2150</v>
      </c>
    </row>
    <row r="212" spans="1:1" ht="15" customHeight="1" x14ac:dyDescent="0.2">
      <c r="A212" s="84"/>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201"/>
  <sheetViews>
    <sheetView zoomScaleNormal="100" workbookViewId="0"/>
  </sheetViews>
  <sheetFormatPr defaultColWidth="8.7109375" defaultRowHeight="12.75" x14ac:dyDescent="0.2"/>
  <sheetData>
    <row r="1" spans="1:1" ht="19.5" customHeight="1" x14ac:dyDescent="0.2">
      <c r="A1" s="78" t="s">
        <v>2151</v>
      </c>
    </row>
    <row r="2" spans="1:1" ht="19.5" customHeight="1" x14ac:dyDescent="0.2">
      <c r="A2" s="82" t="s">
        <v>2152</v>
      </c>
    </row>
    <row r="3" spans="1:1" ht="19.5" customHeight="1" x14ac:dyDescent="0.2">
      <c r="A3" s="80" t="s">
        <v>2153</v>
      </c>
    </row>
    <row r="4" spans="1:1" ht="19.5" customHeight="1" x14ac:dyDescent="0.2">
      <c r="A4" s="80" t="s">
        <v>2154</v>
      </c>
    </row>
    <row r="5" spans="1:1" ht="19.5" customHeight="1" x14ac:dyDescent="0.2">
      <c r="A5" s="82" t="s">
        <v>2155</v>
      </c>
    </row>
    <row r="6" spans="1:1" ht="19.5" customHeight="1" x14ac:dyDescent="0.2">
      <c r="A6" s="80" t="s">
        <v>2156</v>
      </c>
    </row>
    <row r="7" spans="1:1" ht="19.5" customHeight="1" x14ac:dyDescent="0.2">
      <c r="A7" s="80" t="s">
        <v>2157</v>
      </c>
    </row>
    <row r="8" spans="1:1" ht="19.5" customHeight="1" x14ac:dyDescent="0.2">
      <c r="A8" s="82" t="s">
        <v>2158</v>
      </c>
    </row>
    <row r="9" spans="1:1" ht="19.5" customHeight="1" x14ac:dyDescent="0.2">
      <c r="A9" s="80" t="s">
        <v>2159</v>
      </c>
    </row>
    <row r="10" spans="1:1" ht="19.5" customHeight="1" x14ac:dyDescent="0.2">
      <c r="A10" s="80" t="s">
        <v>2160</v>
      </c>
    </row>
    <row r="11" spans="1:1" ht="19.5" customHeight="1" x14ac:dyDescent="0.2">
      <c r="A11" s="83" t="s">
        <v>2161</v>
      </c>
    </row>
    <row r="12" spans="1:1" ht="19.5" customHeight="1" x14ac:dyDescent="0.2">
      <c r="A12" s="80" t="s">
        <v>2162</v>
      </c>
    </row>
    <row r="13" spans="1:1" ht="19.5" customHeight="1" x14ac:dyDescent="0.2">
      <c r="A13" s="80" t="s">
        <v>2163</v>
      </c>
    </row>
    <row r="14" spans="1:1" ht="19.5" customHeight="1" x14ac:dyDescent="0.2">
      <c r="A14" s="83" t="s">
        <v>2164</v>
      </c>
    </row>
    <row r="15" spans="1:1" ht="19.5" customHeight="1" x14ac:dyDescent="0.2">
      <c r="A15" s="80" t="s">
        <v>2165</v>
      </c>
    </row>
    <row r="16" spans="1:1" ht="19.5" customHeight="1" x14ac:dyDescent="0.2">
      <c r="A16" s="80" t="s">
        <v>2166</v>
      </c>
    </row>
    <row r="17" spans="1:1" ht="19.5" customHeight="1" x14ac:dyDescent="0.2">
      <c r="A17" s="83" t="s">
        <v>2167</v>
      </c>
    </row>
    <row r="18" spans="1:1" ht="19.5" customHeight="1" x14ac:dyDescent="0.2">
      <c r="A18" s="81" t="s">
        <v>2168</v>
      </c>
    </row>
    <row r="19" spans="1:1" ht="19.5" customHeight="1" x14ac:dyDescent="0.2">
      <c r="A19" s="81" t="s">
        <v>2169</v>
      </c>
    </row>
    <row r="20" spans="1:1" ht="19.5" customHeight="1" x14ac:dyDescent="0.2">
      <c r="A20" s="83" t="s">
        <v>2170</v>
      </c>
    </row>
    <row r="21" spans="1:1" ht="19.5" customHeight="1" x14ac:dyDescent="0.2">
      <c r="A21" s="81" t="s">
        <v>2171</v>
      </c>
    </row>
    <row r="22" spans="1:1" ht="19.5" customHeight="1" x14ac:dyDescent="0.2">
      <c r="A22" s="81" t="s">
        <v>2172</v>
      </c>
    </row>
    <row r="23" spans="1:1" ht="19.5" customHeight="1" x14ac:dyDescent="0.2">
      <c r="A23" s="83" t="s">
        <v>2173</v>
      </c>
    </row>
    <row r="24" spans="1:1" ht="19.5" customHeight="1" x14ac:dyDescent="0.2">
      <c r="A24" s="81" t="s">
        <v>2174</v>
      </c>
    </row>
    <row r="25" spans="1:1" ht="19.5" customHeight="1" x14ac:dyDescent="0.2">
      <c r="A25" s="81" t="s">
        <v>2175</v>
      </c>
    </row>
    <row r="26" spans="1:1" ht="19.5" customHeight="1" x14ac:dyDescent="0.2">
      <c r="A26" s="83" t="s">
        <v>2176</v>
      </c>
    </row>
    <row r="27" spans="1:1" ht="19.5" customHeight="1" x14ac:dyDescent="0.2">
      <c r="A27" s="81" t="s">
        <v>2177</v>
      </c>
    </row>
    <row r="28" spans="1:1" ht="19.5" customHeight="1" x14ac:dyDescent="0.2">
      <c r="A28" s="81" t="s">
        <v>2178</v>
      </c>
    </row>
    <row r="29" spans="1:1" ht="19.5" customHeight="1" x14ac:dyDescent="0.2">
      <c r="A29" s="83" t="s">
        <v>2179</v>
      </c>
    </row>
    <row r="30" spans="1:1" ht="19.5" customHeight="1" x14ac:dyDescent="0.2">
      <c r="A30" s="81" t="s">
        <v>2180</v>
      </c>
    </row>
    <row r="31" spans="1:1" ht="19.5" customHeight="1" x14ac:dyDescent="0.2">
      <c r="A31" s="81" t="s">
        <v>2181</v>
      </c>
    </row>
    <row r="32" spans="1:1" ht="19.5" customHeight="1" x14ac:dyDescent="0.2">
      <c r="A32" s="83" t="s">
        <v>2182</v>
      </c>
    </row>
    <row r="33" spans="1:1" ht="19.5" customHeight="1" x14ac:dyDescent="0.2">
      <c r="A33" s="81" t="s">
        <v>2183</v>
      </c>
    </row>
    <row r="34" spans="1:1" ht="19.5" customHeight="1" x14ac:dyDescent="0.2">
      <c r="A34" s="81" t="s">
        <v>2184</v>
      </c>
    </row>
    <row r="35" spans="1:1" ht="19.5" customHeight="1" x14ac:dyDescent="0.2">
      <c r="A35" s="81" t="s">
        <v>2185</v>
      </c>
    </row>
    <row r="36" spans="1:1" ht="19.5" customHeight="1" x14ac:dyDescent="0.2">
      <c r="A36" s="81" t="s">
        <v>2186</v>
      </c>
    </row>
    <row r="37" spans="1:1" ht="19.5" customHeight="1" x14ac:dyDescent="0.2">
      <c r="A37" s="81" t="s">
        <v>2187</v>
      </c>
    </row>
    <row r="38" spans="1:1" ht="19.5" customHeight="1" x14ac:dyDescent="0.2">
      <c r="A38" s="83" t="s">
        <v>2188</v>
      </c>
    </row>
    <row r="39" spans="1:1" ht="19.5" customHeight="1" x14ac:dyDescent="0.2">
      <c r="A39" s="81" t="s">
        <v>2189</v>
      </c>
    </row>
    <row r="40" spans="1:1" ht="19.5" customHeight="1" x14ac:dyDescent="0.2">
      <c r="A40" s="81" t="s">
        <v>2190</v>
      </c>
    </row>
    <row r="41" spans="1:1" ht="19.5" customHeight="1" x14ac:dyDescent="0.2">
      <c r="A41" s="83" t="s">
        <v>2191</v>
      </c>
    </row>
    <row r="42" spans="1:1" ht="19.5" customHeight="1" x14ac:dyDescent="0.2">
      <c r="A42" s="81" t="s">
        <v>2192</v>
      </c>
    </row>
    <row r="43" spans="1:1" ht="19.5" customHeight="1" x14ac:dyDescent="0.2">
      <c r="A43" s="81" t="s">
        <v>2193</v>
      </c>
    </row>
    <row r="44" spans="1:1" ht="19.5" customHeight="1" x14ac:dyDescent="0.2">
      <c r="A44" s="83" t="s">
        <v>2194</v>
      </c>
    </row>
    <row r="45" spans="1:1" ht="19.5" customHeight="1" x14ac:dyDescent="0.2">
      <c r="A45" s="81" t="s">
        <v>2195</v>
      </c>
    </row>
    <row r="46" spans="1:1" ht="19.5" customHeight="1" x14ac:dyDescent="0.2">
      <c r="A46" s="81" t="s">
        <v>2196</v>
      </c>
    </row>
    <row r="47" spans="1:1" ht="19.5" customHeight="1" x14ac:dyDescent="0.2">
      <c r="A47" s="83" t="s">
        <v>2197</v>
      </c>
    </row>
    <row r="48" spans="1:1" ht="19.5" customHeight="1" x14ac:dyDescent="0.2">
      <c r="A48" s="81" t="s">
        <v>2198</v>
      </c>
    </row>
    <row r="49" spans="1:1" ht="19.5" customHeight="1" x14ac:dyDescent="0.2">
      <c r="A49" s="81" t="s">
        <v>2199</v>
      </c>
    </row>
    <row r="50" spans="1:1" ht="19.5" customHeight="1" x14ac:dyDescent="0.2">
      <c r="A50" s="83" t="s">
        <v>2200</v>
      </c>
    </row>
    <row r="51" spans="1:1" ht="19.5" customHeight="1" x14ac:dyDescent="0.2">
      <c r="A51" s="81" t="s">
        <v>2201</v>
      </c>
    </row>
    <row r="52" spans="1:1" ht="19.5" customHeight="1" x14ac:dyDescent="0.2">
      <c r="A52" s="81" t="s">
        <v>2202</v>
      </c>
    </row>
    <row r="53" spans="1:1" ht="19.5" customHeight="1" x14ac:dyDescent="0.2">
      <c r="A53" s="83" t="s">
        <v>2203</v>
      </c>
    </row>
    <row r="54" spans="1:1" ht="19.5" customHeight="1" x14ac:dyDescent="0.2">
      <c r="A54" s="81" t="s">
        <v>2204</v>
      </c>
    </row>
    <row r="55" spans="1:1" ht="19.5" customHeight="1" x14ac:dyDescent="0.2">
      <c r="A55" s="81" t="s">
        <v>2205</v>
      </c>
    </row>
    <row r="56" spans="1:1" ht="19.5" customHeight="1" x14ac:dyDescent="0.2">
      <c r="A56" s="83" t="s">
        <v>2206</v>
      </c>
    </row>
    <row r="57" spans="1:1" ht="19.5" customHeight="1" x14ac:dyDescent="0.2">
      <c r="A57" s="81" t="s">
        <v>2207</v>
      </c>
    </row>
    <row r="58" spans="1:1" ht="19.5" customHeight="1" x14ac:dyDescent="0.2">
      <c r="A58" s="81" t="s">
        <v>2208</v>
      </c>
    </row>
    <row r="59" spans="1:1" ht="19.5" customHeight="1" x14ac:dyDescent="0.2">
      <c r="A59" s="83" t="s">
        <v>2209</v>
      </c>
    </row>
    <row r="60" spans="1:1" ht="19.5" customHeight="1" x14ac:dyDescent="0.2">
      <c r="A60" s="81" t="s">
        <v>2210</v>
      </c>
    </row>
    <row r="61" spans="1:1" ht="19.5" customHeight="1" x14ac:dyDescent="0.2">
      <c r="A61" s="81" t="s">
        <v>2211</v>
      </c>
    </row>
    <row r="62" spans="1:1" ht="19.5" customHeight="1" x14ac:dyDescent="0.2">
      <c r="A62" s="83" t="s">
        <v>2212</v>
      </c>
    </row>
    <row r="63" spans="1:1" ht="19.5" customHeight="1" x14ac:dyDescent="0.2">
      <c r="A63" s="81" t="s">
        <v>2213</v>
      </c>
    </row>
    <row r="64" spans="1:1" ht="19.5" customHeight="1" x14ac:dyDescent="0.2">
      <c r="A64" s="81" t="s">
        <v>2214</v>
      </c>
    </row>
    <row r="65" spans="1:1" ht="19.5" customHeight="1" x14ac:dyDescent="0.2">
      <c r="A65" s="83" t="s">
        <v>2215</v>
      </c>
    </row>
    <row r="66" spans="1:1" ht="19.5" customHeight="1" x14ac:dyDescent="0.2">
      <c r="A66" s="81" t="s">
        <v>2216</v>
      </c>
    </row>
    <row r="67" spans="1:1" ht="19.5" customHeight="1" x14ac:dyDescent="0.2">
      <c r="A67" s="81" t="s">
        <v>2217</v>
      </c>
    </row>
    <row r="68" spans="1:1" ht="19.5" customHeight="1" x14ac:dyDescent="0.2">
      <c r="A68" s="83" t="s">
        <v>2218</v>
      </c>
    </row>
    <row r="69" spans="1:1" ht="19.5" customHeight="1" x14ac:dyDescent="0.2">
      <c r="A69" s="81" t="s">
        <v>2219</v>
      </c>
    </row>
    <row r="70" spans="1:1" ht="19.5" customHeight="1" x14ac:dyDescent="0.2">
      <c r="A70" s="81" t="s">
        <v>2220</v>
      </c>
    </row>
    <row r="71" spans="1:1" ht="19.5" customHeight="1" x14ac:dyDescent="0.2">
      <c r="A71" s="83" t="s">
        <v>2221</v>
      </c>
    </row>
    <row r="72" spans="1:1" ht="19.5" customHeight="1" x14ac:dyDescent="0.2">
      <c r="A72" s="81" t="s">
        <v>2222</v>
      </c>
    </row>
    <row r="73" spans="1:1" ht="19.5" customHeight="1" x14ac:dyDescent="0.2">
      <c r="A73" s="81" t="s">
        <v>2223</v>
      </c>
    </row>
    <row r="74" spans="1:1" ht="19.5" customHeight="1" x14ac:dyDescent="0.2">
      <c r="A74" s="83" t="s">
        <v>2224</v>
      </c>
    </row>
    <row r="75" spans="1:1" ht="19.5" customHeight="1" x14ac:dyDescent="0.2">
      <c r="A75" s="81" t="s">
        <v>2225</v>
      </c>
    </row>
    <row r="76" spans="1:1" ht="19.5" customHeight="1" x14ac:dyDescent="0.2">
      <c r="A76" s="81" t="s">
        <v>2226</v>
      </c>
    </row>
    <row r="77" spans="1:1" ht="19.5" customHeight="1" x14ac:dyDescent="0.2">
      <c r="A77" s="83" t="s">
        <v>2227</v>
      </c>
    </row>
    <row r="78" spans="1:1" ht="19.5" customHeight="1" x14ac:dyDescent="0.2">
      <c r="A78" s="81" t="s">
        <v>2228</v>
      </c>
    </row>
    <row r="79" spans="1:1" ht="19.5" customHeight="1" x14ac:dyDescent="0.2">
      <c r="A79" s="81" t="s">
        <v>2229</v>
      </c>
    </row>
    <row r="80" spans="1:1" ht="19.5" customHeight="1" x14ac:dyDescent="0.2">
      <c r="A80" s="83" t="s">
        <v>2230</v>
      </c>
    </row>
    <row r="81" spans="1:1" ht="19.5" customHeight="1" x14ac:dyDescent="0.2">
      <c r="A81" s="81" t="s">
        <v>2231</v>
      </c>
    </row>
    <row r="82" spans="1:1" ht="19.5" customHeight="1" x14ac:dyDescent="0.2">
      <c r="A82" s="81" t="s">
        <v>2232</v>
      </c>
    </row>
    <row r="83" spans="1:1" ht="19.5" customHeight="1" x14ac:dyDescent="0.2">
      <c r="A83" s="83" t="s">
        <v>2233</v>
      </c>
    </row>
    <row r="84" spans="1:1" ht="19.5" customHeight="1" x14ac:dyDescent="0.2">
      <c r="A84" s="81" t="s">
        <v>2234</v>
      </c>
    </row>
    <row r="85" spans="1:1" ht="19.5" customHeight="1" x14ac:dyDescent="0.2">
      <c r="A85" s="81" t="s">
        <v>2235</v>
      </c>
    </row>
    <row r="86" spans="1:1" ht="19.5" customHeight="1" x14ac:dyDescent="0.2">
      <c r="A86" s="83" t="s">
        <v>2236</v>
      </c>
    </row>
    <row r="87" spans="1:1" ht="19.5" customHeight="1" x14ac:dyDescent="0.2">
      <c r="A87" s="81" t="s">
        <v>2237</v>
      </c>
    </row>
    <row r="88" spans="1:1" ht="19.5" customHeight="1" x14ac:dyDescent="0.2">
      <c r="A88" s="81" t="s">
        <v>2238</v>
      </c>
    </row>
    <row r="89" spans="1:1" ht="19.5" customHeight="1" x14ac:dyDescent="0.2">
      <c r="A89" s="83" t="s">
        <v>2239</v>
      </c>
    </row>
    <row r="90" spans="1:1" ht="19.5" customHeight="1" x14ac:dyDescent="0.2">
      <c r="A90" s="83" t="s">
        <v>2240</v>
      </c>
    </row>
    <row r="91" spans="1:1" ht="19.5" customHeight="1" x14ac:dyDescent="0.2">
      <c r="A91" s="81" t="s">
        <v>2241</v>
      </c>
    </row>
    <row r="92" spans="1:1" ht="19.5" customHeight="1" x14ac:dyDescent="0.2">
      <c r="A92" s="81" t="s">
        <v>2242</v>
      </c>
    </row>
    <row r="93" spans="1:1" ht="19.5" customHeight="1" x14ac:dyDescent="0.2">
      <c r="A93" s="81" t="s">
        <v>2243</v>
      </c>
    </row>
    <row r="94" spans="1:1" ht="19.5" customHeight="1" x14ac:dyDescent="0.2">
      <c r="A94" s="81" t="s">
        <v>2244</v>
      </c>
    </row>
    <row r="95" spans="1:1" ht="19.5" customHeight="1" x14ac:dyDescent="0.2">
      <c r="A95" s="83" t="s">
        <v>2245</v>
      </c>
    </row>
    <row r="96" spans="1:1" ht="19.5" customHeight="1" x14ac:dyDescent="0.2">
      <c r="A96" s="80" t="s">
        <v>2246</v>
      </c>
    </row>
    <row r="97" spans="1:1" ht="19.5" customHeight="1" x14ac:dyDescent="0.2">
      <c r="A97" s="80" t="s">
        <v>2247</v>
      </c>
    </row>
    <row r="98" spans="1:1" ht="19.5" customHeight="1" x14ac:dyDescent="0.2">
      <c r="A98" s="80"/>
    </row>
    <row r="99" spans="1:1" ht="19.5" customHeight="1" x14ac:dyDescent="0.2">
      <c r="A99" s="78" t="s">
        <v>2248</v>
      </c>
    </row>
    <row r="100" spans="1:1" ht="19.5" customHeight="1" x14ac:dyDescent="0.2">
      <c r="A100" s="82" t="s">
        <v>2249</v>
      </c>
    </row>
    <row r="101" spans="1:1" ht="19.5" customHeight="1" x14ac:dyDescent="0.2">
      <c r="A101" s="80" t="s">
        <v>2250</v>
      </c>
    </row>
    <row r="102" spans="1:1" ht="19.5" customHeight="1" x14ac:dyDescent="0.2">
      <c r="A102" s="80" t="s">
        <v>2251</v>
      </c>
    </row>
    <row r="103" spans="1:1" ht="19.5" customHeight="1" x14ac:dyDescent="0.2">
      <c r="A103" s="80"/>
    </row>
    <row r="104" spans="1:1" ht="19.5" customHeight="1" x14ac:dyDescent="0.2">
      <c r="A104" s="82" t="s">
        <v>2252</v>
      </c>
    </row>
    <row r="105" spans="1:1" ht="19.5" customHeight="1" x14ac:dyDescent="0.2">
      <c r="A105" s="80" t="s">
        <v>2253</v>
      </c>
    </row>
    <row r="106" spans="1:1" ht="19.5" customHeight="1" x14ac:dyDescent="0.2">
      <c r="A106" s="80" t="s">
        <v>2254</v>
      </c>
    </row>
    <row r="107" spans="1:1" ht="19.5" customHeight="1" x14ac:dyDescent="0.2">
      <c r="A107" s="82" t="s">
        <v>2255</v>
      </c>
    </row>
    <row r="108" spans="1:1" ht="19.5" customHeight="1" x14ac:dyDescent="0.2">
      <c r="A108" s="80" t="s">
        <v>2256</v>
      </c>
    </row>
    <row r="109" spans="1:1" ht="19.5" customHeight="1" x14ac:dyDescent="0.2">
      <c r="A109" s="80" t="s">
        <v>2257</v>
      </c>
    </row>
    <row r="110" spans="1:1" ht="19.5" customHeight="1" x14ac:dyDescent="0.2">
      <c r="A110" s="83" t="s">
        <v>2258</v>
      </c>
    </row>
    <row r="111" spans="1:1" ht="19.5" customHeight="1" x14ac:dyDescent="0.2">
      <c r="A111" s="80" t="s">
        <v>2259</v>
      </c>
    </row>
    <row r="112" spans="1:1" ht="19.5" customHeight="1" x14ac:dyDescent="0.2">
      <c r="A112" s="80" t="s">
        <v>2260</v>
      </c>
    </row>
    <row r="113" spans="1:1" ht="19.5" customHeight="1" x14ac:dyDescent="0.2">
      <c r="A113" s="83" t="s">
        <v>2261</v>
      </c>
    </row>
    <row r="114" spans="1:1" ht="19.5" customHeight="1" x14ac:dyDescent="0.2">
      <c r="A114" s="80" t="s">
        <v>2262</v>
      </c>
    </row>
    <row r="115" spans="1:1" ht="19.5" customHeight="1" x14ac:dyDescent="0.2">
      <c r="A115" s="80" t="s">
        <v>2263</v>
      </c>
    </row>
    <row r="116" spans="1:1" ht="19.5" customHeight="1" x14ac:dyDescent="0.2">
      <c r="A116" s="83" t="s">
        <v>2264</v>
      </c>
    </row>
    <row r="117" spans="1:1" ht="19.5" customHeight="1" x14ac:dyDescent="0.2">
      <c r="A117" s="80" t="s">
        <v>2265</v>
      </c>
    </row>
    <row r="118" spans="1:1" ht="19.5" customHeight="1" x14ac:dyDescent="0.2">
      <c r="A118" s="80" t="s">
        <v>2266</v>
      </c>
    </row>
    <row r="119" spans="1:1" ht="19.5" customHeight="1" x14ac:dyDescent="0.2">
      <c r="A119" s="83" t="s">
        <v>2267</v>
      </c>
    </row>
    <row r="120" spans="1:1" ht="19.5" customHeight="1" x14ac:dyDescent="0.2">
      <c r="A120" s="80" t="s">
        <v>2268</v>
      </c>
    </row>
    <row r="121" spans="1:1" ht="19.5" customHeight="1" x14ac:dyDescent="0.2">
      <c r="A121" s="80" t="s">
        <v>2269</v>
      </c>
    </row>
    <row r="122" spans="1:1" ht="19.5" customHeight="1" x14ac:dyDescent="0.2">
      <c r="A122" s="83" t="s">
        <v>2270</v>
      </c>
    </row>
    <row r="123" spans="1:1" ht="19.5" customHeight="1" x14ac:dyDescent="0.2">
      <c r="A123" s="80" t="s">
        <v>2271</v>
      </c>
    </row>
    <row r="124" spans="1:1" ht="19.5" customHeight="1" x14ac:dyDescent="0.2">
      <c r="A124" s="80" t="s">
        <v>2272</v>
      </c>
    </row>
    <row r="125" spans="1:1" ht="19.5" customHeight="1" x14ac:dyDescent="0.2">
      <c r="A125" s="83" t="s">
        <v>2273</v>
      </c>
    </row>
    <row r="126" spans="1:1" ht="19.5" customHeight="1" x14ac:dyDescent="0.2">
      <c r="A126" s="80" t="s">
        <v>2274</v>
      </c>
    </row>
    <row r="127" spans="1:1" ht="19.5" customHeight="1" x14ac:dyDescent="0.2">
      <c r="A127" s="80" t="s">
        <v>2275</v>
      </c>
    </row>
    <row r="128" spans="1:1" ht="19.5" customHeight="1" x14ac:dyDescent="0.2">
      <c r="A128" s="83" t="s">
        <v>2276</v>
      </c>
    </row>
    <row r="129" spans="1:1" ht="19.5" customHeight="1" x14ac:dyDescent="0.2">
      <c r="A129" s="80" t="s">
        <v>2277</v>
      </c>
    </row>
    <row r="130" spans="1:1" ht="19.5" customHeight="1" x14ac:dyDescent="0.2">
      <c r="A130" s="80" t="s">
        <v>2278</v>
      </c>
    </row>
    <row r="131" spans="1:1" ht="19.5" customHeight="1" x14ac:dyDescent="0.2">
      <c r="A131" s="83" t="s">
        <v>2279</v>
      </c>
    </row>
    <row r="132" spans="1:1" ht="19.5" customHeight="1" x14ac:dyDescent="0.2">
      <c r="A132" s="80" t="s">
        <v>2280</v>
      </c>
    </row>
    <row r="133" spans="1:1" ht="19.5" customHeight="1" x14ac:dyDescent="0.2">
      <c r="A133" s="80" t="s">
        <v>2281</v>
      </c>
    </row>
    <row r="134" spans="1:1" ht="19.5" customHeight="1" x14ac:dyDescent="0.2">
      <c r="A134" s="83" t="s">
        <v>2282</v>
      </c>
    </row>
    <row r="135" spans="1:1" ht="19.5" customHeight="1" x14ac:dyDescent="0.2">
      <c r="A135" s="80" t="s">
        <v>2283</v>
      </c>
    </row>
    <row r="136" spans="1:1" ht="19.5" customHeight="1" x14ac:dyDescent="0.2">
      <c r="A136" s="80" t="s">
        <v>2284</v>
      </c>
    </row>
    <row r="137" spans="1:1" ht="19.5" customHeight="1" x14ac:dyDescent="0.2">
      <c r="A137" s="83" t="s">
        <v>2285</v>
      </c>
    </row>
    <row r="138" spans="1:1" ht="19.5" customHeight="1" x14ac:dyDescent="0.2">
      <c r="A138" s="80" t="s">
        <v>2286</v>
      </c>
    </row>
    <row r="139" spans="1:1" ht="19.5" customHeight="1" x14ac:dyDescent="0.2">
      <c r="A139" s="80" t="s">
        <v>2287</v>
      </c>
    </row>
    <row r="140" spans="1:1" ht="19.5" customHeight="1" x14ac:dyDescent="0.2">
      <c r="A140" s="83" t="s">
        <v>2288</v>
      </c>
    </row>
    <row r="141" spans="1:1" ht="19.5" customHeight="1" x14ac:dyDescent="0.2">
      <c r="A141" s="80" t="s">
        <v>2289</v>
      </c>
    </row>
    <row r="142" spans="1:1" ht="19.5" customHeight="1" x14ac:dyDescent="0.2">
      <c r="A142" s="80" t="s">
        <v>2290</v>
      </c>
    </row>
    <row r="143" spans="1:1" ht="19.5" customHeight="1" x14ac:dyDescent="0.2">
      <c r="A143" s="83" t="s">
        <v>2291</v>
      </c>
    </row>
    <row r="144" spans="1:1" ht="19.5" customHeight="1" x14ac:dyDescent="0.2">
      <c r="A144" s="80" t="s">
        <v>2292</v>
      </c>
    </row>
    <row r="145" spans="1:1" ht="19.5" customHeight="1" x14ac:dyDescent="0.2">
      <c r="A145" s="80" t="s">
        <v>2293</v>
      </c>
    </row>
    <row r="146" spans="1:1" ht="19.5" customHeight="1" x14ac:dyDescent="0.2">
      <c r="A146" s="83" t="s">
        <v>2294</v>
      </c>
    </row>
    <row r="147" spans="1:1" ht="19.5" customHeight="1" x14ac:dyDescent="0.2">
      <c r="A147" s="80" t="s">
        <v>2295</v>
      </c>
    </row>
    <row r="148" spans="1:1" ht="19.5" customHeight="1" x14ac:dyDescent="0.2">
      <c r="A148" s="80" t="s">
        <v>2296</v>
      </c>
    </row>
    <row r="149" spans="1:1" ht="19.5" customHeight="1" x14ac:dyDescent="0.2">
      <c r="A149" s="78" t="s">
        <v>2297</v>
      </c>
    </row>
    <row r="150" spans="1:1" ht="19.5" customHeight="1" x14ac:dyDescent="0.2">
      <c r="A150" s="82" t="s">
        <v>2298</v>
      </c>
    </row>
    <row r="151" spans="1:1" ht="19.5" customHeight="1" x14ac:dyDescent="0.2">
      <c r="A151" s="80" t="s">
        <v>2299</v>
      </c>
    </row>
    <row r="152" spans="1:1" ht="19.5" customHeight="1" x14ac:dyDescent="0.2">
      <c r="A152" s="80" t="s">
        <v>2300</v>
      </c>
    </row>
    <row r="153" spans="1:1" ht="19.5" customHeight="1" x14ac:dyDescent="0.2">
      <c r="A153" s="82" t="s">
        <v>2301</v>
      </c>
    </row>
    <row r="154" spans="1:1" ht="19.5" customHeight="1" x14ac:dyDescent="0.2">
      <c r="A154" s="80" t="s">
        <v>2302</v>
      </c>
    </row>
    <row r="155" spans="1:1" ht="19.5" customHeight="1" x14ac:dyDescent="0.2">
      <c r="A155" s="80" t="s">
        <v>2303</v>
      </c>
    </row>
    <row r="156" spans="1:1" ht="19.5" customHeight="1" x14ac:dyDescent="0.2">
      <c r="A156" s="82" t="s">
        <v>2304</v>
      </c>
    </row>
    <row r="157" spans="1:1" ht="19.5" customHeight="1" x14ac:dyDescent="0.2">
      <c r="A157" s="80" t="s">
        <v>2305</v>
      </c>
    </row>
    <row r="158" spans="1:1" ht="19.5" customHeight="1" x14ac:dyDescent="0.2">
      <c r="A158" s="80" t="s">
        <v>2306</v>
      </c>
    </row>
    <row r="159" spans="1:1" ht="19.5" customHeight="1" x14ac:dyDescent="0.2">
      <c r="A159" s="83" t="s">
        <v>2307</v>
      </c>
    </row>
    <row r="160" spans="1:1" ht="19.5" customHeight="1" x14ac:dyDescent="0.2">
      <c r="A160" s="80" t="s">
        <v>2308</v>
      </c>
    </row>
    <row r="161" spans="1:1" ht="19.5" customHeight="1" x14ac:dyDescent="0.2">
      <c r="A161" s="80" t="s">
        <v>2309</v>
      </c>
    </row>
    <row r="162" spans="1:1" ht="19.5" customHeight="1" x14ac:dyDescent="0.2">
      <c r="A162" s="83" t="s">
        <v>2310</v>
      </c>
    </row>
    <row r="163" spans="1:1" ht="19.5" customHeight="1" x14ac:dyDescent="0.2">
      <c r="A163" s="80" t="s">
        <v>2311</v>
      </c>
    </row>
    <row r="164" spans="1:1" ht="19.5" customHeight="1" x14ac:dyDescent="0.2">
      <c r="A164" s="80" t="s">
        <v>2312</v>
      </c>
    </row>
    <row r="165" spans="1:1" ht="19.5" customHeight="1" x14ac:dyDescent="0.2">
      <c r="A165" s="83" t="s">
        <v>2313</v>
      </c>
    </row>
    <row r="166" spans="1:1" ht="19.5" customHeight="1" x14ac:dyDescent="0.2">
      <c r="A166" s="80" t="s">
        <v>2314</v>
      </c>
    </row>
    <row r="167" spans="1:1" ht="19.5" customHeight="1" x14ac:dyDescent="0.2">
      <c r="A167" s="80" t="s">
        <v>2315</v>
      </c>
    </row>
    <row r="168" spans="1:1" ht="19.5" customHeight="1" x14ac:dyDescent="0.2">
      <c r="A168" s="83" t="s">
        <v>2316</v>
      </c>
    </row>
    <row r="169" spans="1:1" ht="19.5" customHeight="1" x14ac:dyDescent="0.2">
      <c r="A169" s="80" t="s">
        <v>2317</v>
      </c>
    </row>
    <row r="170" spans="1:1" ht="19.5" customHeight="1" x14ac:dyDescent="0.2">
      <c r="A170" s="80" t="s">
        <v>2318</v>
      </c>
    </row>
    <row r="171" spans="1:1" ht="19.5" customHeight="1" x14ac:dyDescent="0.2">
      <c r="A171" s="83" t="s">
        <v>2319</v>
      </c>
    </row>
    <row r="172" spans="1:1" ht="19.5" customHeight="1" x14ac:dyDescent="0.2">
      <c r="A172" s="80" t="s">
        <v>2320</v>
      </c>
    </row>
    <row r="173" spans="1:1" ht="19.5" customHeight="1" x14ac:dyDescent="0.2">
      <c r="A173" s="80" t="s">
        <v>2321</v>
      </c>
    </row>
    <row r="174" spans="1:1" ht="19.5" customHeight="1" x14ac:dyDescent="0.2">
      <c r="A174" s="80"/>
    </row>
    <row r="175" spans="1:1" ht="19.5" customHeight="1" x14ac:dyDescent="0.2">
      <c r="A175" s="78" t="s">
        <v>2322</v>
      </c>
    </row>
    <row r="176" spans="1:1" ht="19.5" customHeight="1" x14ac:dyDescent="0.2">
      <c r="A176" s="82" t="s">
        <v>2323</v>
      </c>
    </row>
    <row r="177" spans="1:1" ht="19.5" customHeight="1" x14ac:dyDescent="0.2">
      <c r="A177" s="80" t="s">
        <v>2324</v>
      </c>
    </row>
    <row r="178" spans="1:1" ht="19.5" customHeight="1" x14ac:dyDescent="0.2">
      <c r="A178" s="80" t="s">
        <v>2325</v>
      </c>
    </row>
    <row r="179" spans="1:1" ht="19.5" customHeight="1" x14ac:dyDescent="0.2">
      <c r="A179" s="80"/>
    </row>
    <row r="180" spans="1:1" ht="19.5" customHeight="1" x14ac:dyDescent="0.2">
      <c r="A180" s="82" t="s">
        <v>2326</v>
      </c>
    </row>
    <row r="181" spans="1:1" ht="19.5" customHeight="1" x14ac:dyDescent="0.2">
      <c r="A181" s="80" t="s">
        <v>2327</v>
      </c>
    </row>
    <row r="182" spans="1:1" ht="19.5" customHeight="1" x14ac:dyDescent="0.2">
      <c r="A182" s="80" t="s">
        <v>2328</v>
      </c>
    </row>
    <row r="183" spans="1:1" ht="19.5" customHeight="1" x14ac:dyDescent="0.2">
      <c r="A183" s="80"/>
    </row>
    <row r="184" spans="1:1" ht="19.5" customHeight="1" x14ac:dyDescent="0.2">
      <c r="A184" s="82" t="s">
        <v>2329</v>
      </c>
    </row>
    <row r="185" spans="1:1" ht="19.5" customHeight="1" x14ac:dyDescent="0.2">
      <c r="A185" s="80" t="s">
        <v>2330</v>
      </c>
    </row>
    <row r="186" spans="1:1" ht="19.5" customHeight="1" x14ac:dyDescent="0.2">
      <c r="A186" s="80" t="s">
        <v>2331</v>
      </c>
    </row>
    <row r="187" spans="1:1" ht="19.5" customHeight="1" x14ac:dyDescent="0.2">
      <c r="A187" s="83" t="s">
        <v>2332</v>
      </c>
    </row>
    <row r="188" spans="1:1" ht="19.5" customHeight="1" x14ac:dyDescent="0.2">
      <c r="A188" s="80" t="s">
        <v>2333</v>
      </c>
    </row>
    <row r="189" spans="1:1" ht="19.5" customHeight="1" x14ac:dyDescent="0.2">
      <c r="A189" s="80" t="s">
        <v>2334</v>
      </c>
    </row>
    <row r="190" spans="1:1" ht="19.5" customHeight="1" x14ac:dyDescent="0.2">
      <c r="A190" s="80" t="s">
        <v>2335</v>
      </c>
    </row>
    <row r="191" spans="1:1" ht="19.5" customHeight="1" x14ac:dyDescent="0.2">
      <c r="A191" s="80" t="s">
        <v>2336</v>
      </c>
    </row>
    <row r="192" spans="1:1" ht="19.5" customHeight="1" x14ac:dyDescent="0.2">
      <c r="A192" s="80"/>
    </row>
    <row r="193" spans="1:1" ht="19.5" customHeight="1" x14ac:dyDescent="0.2">
      <c r="A193" s="78" t="s">
        <v>2337</v>
      </c>
    </row>
    <row r="194" spans="1:1" ht="19.5" customHeight="1" x14ac:dyDescent="0.2">
      <c r="A194" s="82" t="s">
        <v>2338</v>
      </c>
    </row>
    <row r="195" spans="1:1" ht="19.5" customHeight="1" x14ac:dyDescent="0.2">
      <c r="A195" s="80" t="s">
        <v>2339</v>
      </c>
    </row>
    <row r="196" spans="1:1" ht="19.5" customHeight="1" x14ac:dyDescent="0.2">
      <c r="A196" s="80" t="s">
        <v>2340</v>
      </c>
    </row>
    <row r="197" spans="1:1" ht="19.5" customHeight="1" x14ac:dyDescent="0.2">
      <c r="A197" s="80"/>
    </row>
    <row r="198" spans="1:1" ht="19.5" customHeight="1" x14ac:dyDescent="0.2">
      <c r="A198" s="82" t="s">
        <v>2341</v>
      </c>
    </row>
    <row r="199" spans="1:1" ht="19.5" customHeight="1" x14ac:dyDescent="0.2">
      <c r="A199" s="80" t="s">
        <v>2342</v>
      </c>
    </row>
    <row r="200" spans="1:1" ht="19.5" customHeight="1" x14ac:dyDescent="0.2">
      <c r="A200" s="80" t="s">
        <v>2343</v>
      </c>
    </row>
    <row r="201" spans="1:1" ht="15" customHeight="1" x14ac:dyDescent="0.2">
      <c r="A201" s="84"/>
    </row>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193"/>
  <sheetViews>
    <sheetView topLeftCell="A28" zoomScaleNormal="100" workbookViewId="0">
      <selection activeCell="A67" sqref="A67"/>
    </sheetView>
  </sheetViews>
  <sheetFormatPr defaultColWidth="8.7109375" defaultRowHeight="12.75" x14ac:dyDescent="0.2"/>
  <sheetData>
    <row r="1" spans="1:1" ht="19.5" customHeight="1" x14ac:dyDescent="0.2">
      <c r="A1" s="78" t="s">
        <v>2344</v>
      </c>
    </row>
    <row r="2" spans="1:1" ht="19.5" customHeight="1" x14ac:dyDescent="0.2">
      <c r="A2" s="82" t="s">
        <v>2345</v>
      </c>
    </row>
    <row r="3" spans="1:1" ht="19.5" customHeight="1" x14ac:dyDescent="0.2">
      <c r="A3" s="80" t="s">
        <v>2346</v>
      </c>
    </row>
    <row r="4" spans="1:1" ht="19.5" customHeight="1" x14ac:dyDescent="0.2">
      <c r="A4" s="80" t="s">
        <v>2347</v>
      </c>
    </row>
    <row r="5" spans="1:1" ht="19.5" customHeight="1" x14ac:dyDescent="0.2">
      <c r="A5" s="82" t="s">
        <v>2348</v>
      </c>
    </row>
    <row r="6" spans="1:1" ht="19.5" customHeight="1" x14ac:dyDescent="0.2">
      <c r="A6" s="80" t="s">
        <v>2349</v>
      </c>
    </row>
    <row r="7" spans="1:1" ht="19.5" customHeight="1" x14ac:dyDescent="0.2">
      <c r="A7" s="80" t="s">
        <v>2350</v>
      </c>
    </row>
    <row r="8" spans="1:1" ht="19.5" customHeight="1" x14ac:dyDescent="0.2">
      <c r="A8" s="82" t="s">
        <v>2351</v>
      </c>
    </row>
    <row r="9" spans="1:1" ht="19.5" customHeight="1" x14ac:dyDescent="0.2">
      <c r="A9" s="80" t="s">
        <v>2352</v>
      </c>
    </row>
    <row r="10" spans="1:1" ht="19.5" customHeight="1" x14ac:dyDescent="0.2">
      <c r="A10" s="80" t="s">
        <v>2353</v>
      </c>
    </row>
    <row r="11" spans="1:1" ht="19.5" customHeight="1" x14ac:dyDescent="0.2">
      <c r="A11" s="83" t="s">
        <v>2354</v>
      </c>
    </row>
    <row r="12" spans="1:1" ht="19.5" customHeight="1" x14ac:dyDescent="0.2">
      <c r="A12" s="80" t="s">
        <v>2355</v>
      </c>
    </row>
    <row r="13" spans="1:1" ht="19.5" customHeight="1" x14ac:dyDescent="0.2">
      <c r="A13" s="80" t="s">
        <v>2356</v>
      </c>
    </row>
    <row r="14" spans="1:1" ht="19.5" customHeight="1" x14ac:dyDescent="0.2">
      <c r="A14" s="83" t="s">
        <v>2357</v>
      </c>
    </row>
    <row r="15" spans="1:1" ht="19.5" customHeight="1" x14ac:dyDescent="0.2">
      <c r="A15" s="80" t="s">
        <v>2358</v>
      </c>
    </row>
    <row r="16" spans="1:1" ht="19.5" customHeight="1" x14ac:dyDescent="0.2">
      <c r="A16" s="80" t="s">
        <v>2359</v>
      </c>
    </row>
    <row r="17" spans="1:1" ht="19.5" customHeight="1" x14ac:dyDescent="0.2">
      <c r="A17" s="83" t="s">
        <v>2360</v>
      </c>
    </row>
    <row r="18" spans="1:1" ht="19.5" customHeight="1" x14ac:dyDescent="0.2">
      <c r="A18" s="80" t="s">
        <v>2361</v>
      </c>
    </row>
    <row r="19" spans="1:1" ht="19.5" customHeight="1" x14ac:dyDescent="0.2">
      <c r="A19" s="80" t="s">
        <v>2362</v>
      </c>
    </row>
    <row r="20" spans="1:1" ht="19.5" customHeight="1" x14ac:dyDescent="0.2">
      <c r="A20" s="83" t="s">
        <v>2363</v>
      </c>
    </row>
    <row r="21" spans="1:1" ht="19.5" customHeight="1" x14ac:dyDescent="0.2">
      <c r="A21" s="80" t="s">
        <v>2364</v>
      </c>
    </row>
    <row r="22" spans="1:1" ht="19.5" customHeight="1" x14ac:dyDescent="0.2">
      <c r="A22" s="80" t="s">
        <v>2365</v>
      </c>
    </row>
    <row r="23" spans="1:1" ht="19.5" customHeight="1" x14ac:dyDescent="0.2">
      <c r="A23" s="83" t="s">
        <v>2366</v>
      </c>
    </row>
    <row r="24" spans="1:1" ht="19.5" customHeight="1" x14ac:dyDescent="0.2">
      <c r="A24" s="80" t="s">
        <v>2367</v>
      </c>
    </row>
    <row r="25" spans="1:1" ht="19.5" customHeight="1" x14ac:dyDescent="0.2">
      <c r="A25" s="80" t="s">
        <v>2368</v>
      </c>
    </row>
    <row r="26" spans="1:1" ht="19.5" customHeight="1" x14ac:dyDescent="0.2">
      <c r="A26" s="83" t="s">
        <v>2369</v>
      </c>
    </row>
    <row r="27" spans="1:1" ht="19.5" customHeight="1" x14ac:dyDescent="0.2">
      <c r="A27" s="80" t="s">
        <v>2370</v>
      </c>
    </row>
    <row r="28" spans="1:1" ht="19.5" customHeight="1" x14ac:dyDescent="0.2">
      <c r="A28" s="80" t="s">
        <v>2371</v>
      </c>
    </row>
    <row r="29" spans="1:1" ht="19.5" customHeight="1" x14ac:dyDescent="0.2">
      <c r="A29" s="83" t="s">
        <v>2372</v>
      </c>
    </row>
    <row r="30" spans="1:1" ht="19.5" customHeight="1" x14ac:dyDescent="0.2">
      <c r="A30" s="80" t="s">
        <v>2373</v>
      </c>
    </row>
    <row r="31" spans="1:1" ht="19.5" customHeight="1" x14ac:dyDescent="0.2">
      <c r="A31" s="80" t="s">
        <v>2374</v>
      </c>
    </row>
    <row r="32" spans="1:1" ht="19.5" customHeight="1" x14ac:dyDescent="0.2">
      <c r="A32" s="83" t="s">
        <v>2375</v>
      </c>
    </row>
    <row r="33" spans="1:1" ht="19.5" customHeight="1" x14ac:dyDescent="0.2">
      <c r="A33" s="80" t="s">
        <v>2376</v>
      </c>
    </row>
    <row r="34" spans="1:1" ht="19.5" customHeight="1" x14ac:dyDescent="0.2">
      <c r="A34" s="80" t="s">
        <v>2377</v>
      </c>
    </row>
    <row r="35" spans="1:1" ht="19.5" customHeight="1" x14ac:dyDescent="0.2">
      <c r="A35" s="83" t="s">
        <v>2378</v>
      </c>
    </row>
    <row r="36" spans="1:1" ht="19.5" customHeight="1" x14ac:dyDescent="0.2">
      <c r="A36" s="80" t="s">
        <v>2379</v>
      </c>
    </row>
    <row r="37" spans="1:1" ht="19.5" customHeight="1" x14ac:dyDescent="0.2">
      <c r="A37" s="80" t="s">
        <v>2380</v>
      </c>
    </row>
    <row r="38" spans="1:1" ht="19.5" customHeight="1" x14ac:dyDescent="0.2">
      <c r="A38" s="83" t="s">
        <v>2381</v>
      </c>
    </row>
    <row r="39" spans="1:1" ht="19.5" customHeight="1" x14ac:dyDescent="0.2">
      <c r="A39" s="80" t="s">
        <v>2382</v>
      </c>
    </row>
    <row r="40" spans="1:1" ht="19.5" customHeight="1" x14ac:dyDescent="0.2">
      <c r="A40" s="80" t="s">
        <v>2383</v>
      </c>
    </row>
    <row r="41" spans="1:1" ht="19.5" customHeight="1" x14ac:dyDescent="0.2">
      <c r="A41" s="83" t="s">
        <v>2384</v>
      </c>
    </row>
    <row r="42" spans="1:1" ht="19.5" customHeight="1" x14ac:dyDescent="0.2">
      <c r="A42" s="80" t="s">
        <v>2385</v>
      </c>
    </row>
    <row r="43" spans="1:1" ht="19.5" customHeight="1" x14ac:dyDescent="0.2">
      <c r="A43" s="80" t="s">
        <v>2386</v>
      </c>
    </row>
    <row r="44" spans="1:1" ht="19.5" customHeight="1" x14ac:dyDescent="0.2">
      <c r="A44" s="83" t="s">
        <v>2387</v>
      </c>
    </row>
    <row r="45" spans="1:1" ht="19.5" customHeight="1" x14ac:dyDescent="0.2">
      <c r="A45" s="80" t="s">
        <v>2388</v>
      </c>
    </row>
    <row r="46" spans="1:1" ht="19.5" customHeight="1" x14ac:dyDescent="0.2">
      <c r="A46" s="80" t="s">
        <v>2389</v>
      </c>
    </row>
    <row r="47" spans="1:1" ht="19.5" customHeight="1" x14ac:dyDescent="0.2">
      <c r="A47" s="83" t="s">
        <v>2390</v>
      </c>
    </row>
    <row r="48" spans="1:1" ht="19.5" customHeight="1" x14ac:dyDescent="0.2">
      <c r="A48" s="80" t="s">
        <v>2391</v>
      </c>
    </row>
    <row r="49" spans="1:1" ht="19.5" customHeight="1" x14ac:dyDescent="0.2">
      <c r="A49" s="80" t="s">
        <v>2392</v>
      </c>
    </row>
    <row r="50" spans="1:1" ht="19.5" customHeight="1" x14ac:dyDescent="0.2">
      <c r="A50" s="83" t="s">
        <v>2393</v>
      </c>
    </row>
    <row r="51" spans="1:1" ht="19.5" customHeight="1" x14ac:dyDescent="0.2">
      <c r="A51" s="80" t="s">
        <v>2394</v>
      </c>
    </row>
    <row r="52" spans="1:1" ht="19.5" customHeight="1" x14ac:dyDescent="0.2">
      <c r="A52" s="80" t="s">
        <v>2395</v>
      </c>
    </row>
    <row r="53" spans="1:1" ht="19.5" customHeight="1" x14ac:dyDescent="0.2">
      <c r="A53" s="83" t="s">
        <v>2396</v>
      </c>
    </row>
    <row r="54" spans="1:1" ht="19.5" customHeight="1" x14ac:dyDescent="0.2">
      <c r="A54" s="80" t="s">
        <v>2397</v>
      </c>
    </row>
    <row r="55" spans="1:1" ht="19.5" customHeight="1" x14ac:dyDescent="0.2">
      <c r="A55" s="80" t="s">
        <v>2398</v>
      </c>
    </row>
    <row r="56" spans="1:1" ht="19.5" customHeight="1" x14ac:dyDescent="0.2">
      <c r="A56" s="83" t="s">
        <v>2399</v>
      </c>
    </row>
    <row r="57" spans="1:1" ht="19.5" customHeight="1" x14ac:dyDescent="0.2">
      <c r="A57" s="80" t="s">
        <v>2400</v>
      </c>
    </row>
    <row r="58" spans="1:1" ht="19.5" customHeight="1" x14ac:dyDescent="0.2">
      <c r="A58" s="80" t="s">
        <v>2401</v>
      </c>
    </row>
    <row r="59" spans="1:1" ht="19.5" customHeight="1" x14ac:dyDescent="0.2">
      <c r="A59" s="83" t="s">
        <v>2402</v>
      </c>
    </row>
    <row r="60" spans="1:1" ht="19.5" customHeight="1" x14ac:dyDescent="0.2">
      <c r="A60" s="80" t="s">
        <v>2403</v>
      </c>
    </row>
    <row r="61" spans="1:1" ht="19.5" customHeight="1" x14ac:dyDescent="0.2">
      <c r="A61" s="80" t="s">
        <v>2404</v>
      </c>
    </row>
    <row r="62" spans="1:1" ht="19.5" customHeight="1" x14ac:dyDescent="0.2">
      <c r="A62" s="83" t="s">
        <v>2405</v>
      </c>
    </row>
    <row r="63" spans="1:1" ht="19.5" customHeight="1" x14ac:dyDescent="0.2">
      <c r="A63" s="80" t="s">
        <v>2406</v>
      </c>
    </row>
    <row r="64" spans="1:1" ht="19.5" customHeight="1" x14ac:dyDescent="0.2">
      <c r="A64" s="80" t="s">
        <v>2407</v>
      </c>
    </row>
    <row r="65" spans="1:1" ht="19.5" customHeight="1" x14ac:dyDescent="0.2">
      <c r="A65" s="83" t="s">
        <v>2408</v>
      </c>
    </row>
    <row r="66" spans="1:1" ht="19.5" customHeight="1" x14ac:dyDescent="0.2">
      <c r="A66" s="80" t="s">
        <v>2409</v>
      </c>
    </row>
    <row r="67" spans="1:1" ht="19.5" customHeight="1" x14ac:dyDescent="0.2">
      <c r="A67" s="80" t="s">
        <v>2410</v>
      </c>
    </row>
    <row r="68" spans="1:1" ht="19.5" customHeight="1" x14ac:dyDescent="0.2">
      <c r="A68" s="83" t="s">
        <v>2411</v>
      </c>
    </row>
    <row r="69" spans="1:1" ht="19.5" customHeight="1" x14ac:dyDescent="0.2">
      <c r="A69" s="80" t="s">
        <v>2412</v>
      </c>
    </row>
    <row r="70" spans="1:1" ht="19.5" customHeight="1" x14ac:dyDescent="0.2">
      <c r="A70" s="80" t="s">
        <v>2413</v>
      </c>
    </row>
    <row r="71" spans="1:1" ht="19.5" customHeight="1" x14ac:dyDescent="0.2">
      <c r="A71" s="83" t="s">
        <v>2414</v>
      </c>
    </row>
    <row r="72" spans="1:1" ht="19.5" customHeight="1" x14ac:dyDescent="0.2">
      <c r="A72" s="80" t="s">
        <v>2415</v>
      </c>
    </row>
    <row r="73" spans="1:1" ht="19.5" customHeight="1" x14ac:dyDescent="0.2">
      <c r="A73" s="80" t="s">
        <v>2416</v>
      </c>
    </row>
    <row r="74" spans="1:1" ht="19.5" customHeight="1" x14ac:dyDescent="0.2">
      <c r="A74" s="83" t="s">
        <v>2417</v>
      </c>
    </row>
    <row r="75" spans="1:1" ht="19.5" customHeight="1" x14ac:dyDescent="0.2">
      <c r="A75" s="80" t="s">
        <v>2418</v>
      </c>
    </row>
    <row r="76" spans="1:1" ht="19.5" customHeight="1" x14ac:dyDescent="0.2">
      <c r="A76" s="80" t="s">
        <v>2419</v>
      </c>
    </row>
    <row r="77" spans="1:1" ht="19.5" customHeight="1" x14ac:dyDescent="0.2">
      <c r="A77" s="83" t="s">
        <v>2420</v>
      </c>
    </row>
    <row r="78" spans="1:1" ht="19.5" customHeight="1" x14ac:dyDescent="0.2">
      <c r="A78" s="80" t="s">
        <v>2421</v>
      </c>
    </row>
    <row r="79" spans="1:1" ht="19.5" customHeight="1" x14ac:dyDescent="0.2">
      <c r="A79" s="80" t="s">
        <v>2422</v>
      </c>
    </row>
    <row r="80" spans="1:1" ht="19.5" customHeight="1" x14ac:dyDescent="0.2">
      <c r="A80" s="83" t="s">
        <v>2423</v>
      </c>
    </row>
    <row r="81" spans="1:1" ht="19.5" customHeight="1" x14ac:dyDescent="0.2">
      <c r="A81" s="80" t="s">
        <v>2424</v>
      </c>
    </row>
    <row r="82" spans="1:1" ht="19.5" customHeight="1" x14ac:dyDescent="0.2">
      <c r="A82" s="80" t="s">
        <v>2425</v>
      </c>
    </row>
    <row r="83" spans="1:1" ht="19.5" customHeight="1" x14ac:dyDescent="0.2">
      <c r="A83" s="83" t="s">
        <v>2426</v>
      </c>
    </row>
    <row r="84" spans="1:1" ht="19.5" customHeight="1" x14ac:dyDescent="0.2">
      <c r="A84" s="80" t="s">
        <v>2427</v>
      </c>
    </row>
    <row r="85" spans="1:1" ht="19.5" customHeight="1" x14ac:dyDescent="0.2">
      <c r="A85" s="80" t="s">
        <v>2428</v>
      </c>
    </row>
    <row r="86" spans="1:1" ht="19.5" customHeight="1" x14ac:dyDescent="0.2">
      <c r="A86" s="83" t="s">
        <v>2429</v>
      </c>
    </row>
    <row r="87" spans="1:1" ht="19.5" customHeight="1" x14ac:dyDescent="0.2">
      <c r="A87" s="80" t="s">
        <v>2430</v>
      </c>
    </row>
    <row r="88" spans="1:1" ht="19.5" customHeight="1" x14ac:dyDescent="0.2">
      <c r="A88" s="80" t="s">
        <v>2431</v>
      </c>
    </row>
    <row r="89" spans="1:1" ht="19.5" customHeight="1" x14ac:dyDescent="0.2">
      <c r="A89" s="83" t="s">
        <v>2432</v>
      </c>
    </row>
    <row r="90" spans="1:1" ht="19.5" customHeight="1" x14ac:dyDescent="0.2">
      <c r="A90" s="80" t="s">
        <v>2433</v>
      </c>
    </row>
    <row r="91" spans="1:1" ht="19.5" customHeight="1" x14ac:dyDescent="0.2">
      <c r="A91" s="80" t="s">
        <v>2434</v>
      </c>
    </row>
    <row r="92" spans="1:1" ht="19.5" customHeight="1" x14ac:dyDescent="0.2">
      <c r="A92" s="83" t="s">
        <v>2435</v>
      </c>
    </row>
    <row r="93" spans="1:1" ht="19.5" customHeight="1" x14ac:dyDescent="0.2">
      <c r="A93" s="80" t="s">
        <v>2436</v>
      </c>
    </row>
    <row r="94" spans="1:1" ht="19.5" customHeight="1" x14ac:dyDescent="0.2">
      <c r="A94" s="80" t="s">
        <v>2437</v>
      </c>
    </row>
    <row r="95" spans="1:1" ht="19.5" customHeight="1" x14ac:dyDescent="0.2">
      <c r="A95" s="78"/>
    </row>
    <row r="96" spans="1:1" ht="19.5" customHeight="1" x14ac:dyDescent="0.2">
      <c r="A96" s="78" t="s">
        <v>2438</v>
      </c>
    </row>
    <row r="97" spans="1:1" ht="19.5" customHeight="1" x14ac:dyDescent="0.2">
      <c r="A97" s="82" t="s">
        <v>2439</v>
      </c>
    </row>
    <row r="98" spans="1:1" ht="19.5" customHeight="1" x14ac:dyDescent="0.2">
      <c r="A98" s="80" t="s">
        <v>2440</v>
      </c>
    </row>
    <row r="99" spans="1:1" ht="19.5" customHeight="1" x14ac:dyDescent="0.2">
      <c r="A99" s="80" t="s">
        <v>2441</v>
      </c>
    </row>
    <row r="100" spans="1:1" ht="19.5" customHeight="1" x14ac:dyDescent="0.2">
      <c r="A100" s="82" t="s">
        <v>2442</v>
      </c>
    </row>
    <row r="101" spans="1:1" ht="19.5" customHeight="1" x14ac:dyDescent="0.2">
      <c r="A101" s="80" t="s">
        <v>2443</v>
      </c>
    </row>
    <row r="102" spans="1:1" ht="19.5" customHeight="1" x14ac:dyDescent="0.2">
      <c r="A102" s="80" t="s">
        <v>2444</v>
      </c>
    </row>
    <row r="103" spans="1:1" ht="19.5" customHeight="1" x14ac:dyDescent="0.2">
      <c r="A103" s="82" t="s">
        <v>2445</v>
      </c>
    </row>
    <row r="104" spans="1:1" ht="19.5" customHeight="1" x14ac:dyDescent="0.2">
      <c r="A104" s="80" t="s">
        <v>2446</v>
      </c>
    </row>
    <row r="105" spans="1:1" ht="19.5" customHeight="1" x14ac:dyDescent="0.2">
      <c r="A105" s="80" t="s">
        <v>2447</v>
      </c>
    </row>
    <row r="106" spans="1:1" ht="19.5" customHeight="1" x14ac:dyDescent="0.2">
      <c r="A106" s="83" t="s">
        <v>2448</v>
      </c>
    </row>
    <row r="107" spans="1:1" ht="19.5" customHeight="1" x14ac:dyDescent="0.2">
      <c r="A107" s="80" t="s">
        <v>2449</v>
      </c>
    </row>
    <row r="108" spans="1:1" ht="19.5" customHeight="1" x14ac:dyDescent="0.2">
      <c r="A108" s="80" t="s">
        <v>2450</v>
      </c>
    </row>
    <row r="109" spans="1:1" ht="19.5" customHeight="1" x14ac:dyDescent="0.2">
      <c r="A109" s="83" t="s">
        <v>2451</v>
      </c>
    </row>
    <row r="110" spans="1:1" ht="19.5" customHeight="1" x14ac:dyDescent="0.2">
      <c r="A110" s="80" t="s">
        <v>2452</v>
      </c>
    </row>
    <row r="111" spans="1:1" ht="19.5" customHeight="1" x14ac:dyDescent="0.2">
      <c r="A111" s="80" t="s">
        <v>2453</v>
      </c>
    </row>
    <row r="112" spans="1:1" ht="19.5" customHeight="1" x14ac:dyDescent="0.2">
      <c r="A112" s="83" t="s">
        <v>2454</v>
      </c>
    </row>
    <row r="113" spans="1:1" ht="19.5" customHeight="1" x14ac:dyDescent="0.2">
      <c r="A113" s="80" t="s">
        <v>2455</v>
      </c>
    </row>
    <row r="114" spans="1:1" ht="19.5" customHeight="1" x14ac:dyDescent="0.2">
      <c r="A114" s="80" t="s">
        <v>2456</v>
      </c>
    </row>
    <row r="115" spans="1:1" ht="19.5" customHeight="1" x14ac:dyDescent="0.2">
      <c r="A115" s="83" t="s">
        <v>2457</v>
      </c>
    </row>
    <row r="116" spans="1:1" ht="19.5" customHeight="1" x14ac:dyDescent="0.2">
      <c r="A116" s="80" t="s">
        <v>2458</v>
      </c>
    </row>
    <row r="117" spans="1:1" ht="19.5" customHeight="1" x14ac:dyDescent="0.2">
      <c r="A117" s="80" t="s">
        <v>2459</v>
      </c>
    </row>
    <row r="118" spans="1:1" ht="19.5" customHeight="1" x14ac:dyDescent="0.2">
      <c r="A118" s="83" t="s">
        <v>2460</v>
      </c>
    </row>
    <row r="119" spans="1:1" ht="19.5" customHeight="1" x14ac:dyDescent="0.2">
      <c r="A119" s="80" t="s">
        <v>2461</v>
      </c>
    </row>
    <row r="120" spans="1:1" ht="19.5" customHeight="1" x14ac:dyDescent="0.2">
      <c r="A120" s="80" t="s">
        <v>2462</v>
      </c>
    </row>
    <row r="121" spans="1:1" ht="19.5" customHeight="1" x14ac:dyDescent="0.2">
      <c r="A121" s="83" t="s">
        <v>2194</v>
      </c>
    </row>
    <row r="122" spans="1:1" ht="19.5" customHeight="1" x14ac:dyDescent="0.2">
      <c r="A122" s="80" t="s">
        <v>2463</v>
      </c>
    </row>
    <row r="123" spans="1:1" ht="19.5" customHeight="1" x14ac:dyDescent="0.2">
      <c r="A123" s="80" t="s">
        <v>2464</v>
      </c>
    </row>
    <row r="124" spans="1:1" ht="19.5" customHeight="1" x14ac:dyDescent="0.2">
      <c r="A124" s="83" t="s">
        <v>2465</v>
      </c>
    </row>
    <row r="125" spans="1:1" ht="19.5" customHeight="1" x14ac:dyDescent="0.2">
      <c r="A125" s="80" t="s">
        <v>2466</v>
      </c>
    </row>
    <row r="126" spans="1:1" ht="19.5" customHeight="1" x14ac:dyDescent="0.2">
      <c r="A126" s="80" t="s">
        <v>2467</v>
      </c>
    </row>
    <row r="127" spans="1:1" ht="19.5" customHeight="1" x14ac:dyDescent="0.2">
      <c r="A127" s="83" t="s">
        <v>2468</v>
      </c>
    </row>
    <row r="128" spans="1:1" ht="19.5" customHeight="1" x14ac:dyDescent="0.2">
      <c r="A128" s="80" t="s">
        <v>2469</v>
      </c>
    </row>
    <row r="129" spans="1:1" ht="19.5" customHeight="1" x14ac:dyDescent="0.2">
      <c r="A129" s="80" t="s">
        <v>2470</v>
      </c>
    </row>
    <row r="130" spans="1:1" ht="19.5" customHeight="1" x14ac:dyDescent="0.2">
      <c r="A130" s="83" t="s">
        <v>2471</v>
      </c>
    </row>
    <row r="131" spans="1:1" ht="19.5" customHeight="1" x14ac:dyDescent="0.2">
      <c r="A131" s="80" t="s">
        <v>2472</v>
      </c>
    </row>
    <row r="132" spans="1:1" ht="19.5" customHeight="1" x14ac:dyDescent="0.2">
      <c r="A132" s="80" t="s">
        <v>2473</v>
      </c>
    </row>
    <row r="133" spans="1:1" ht="19.5" customHeight="1" x14ac:dyDescent="0.2">
      <c r="A133" s="83" t="s">
        <v>2474</v>
      </c>
    </row>
    <row r="134" spans="1:1" ht="19.5" customHeight="1" x14ac:dyDescent="0.2">
      <c r="A134" s="80" t="s">
        <v>2475</v>
      </c>
    </row>
    <row r="135" spans="1:1" ht="19.5" customHeight="1" x14ac:dyDescent="0.2">
      <c r="A135" s="80" t="s">
        <v>2476</v>
      </c>
    </row>
    <row r="136" spans="1:1" ht="19.5" customHeight="1" x14ac:dyDescent="0.2">
      <c r="A136" s="83" t="s">
        <v>2477</v>
      </c>
    </row>
    <row r="137" spans="1:1" ht="19.5" customHeight="1" x14ac:dyDescent="0.2">
      <c r="A137" s="80" t="s">
        <v>2478</v>
      </c>
    </row>
    <row r="138" spans="1:1" ht="19.5" customHeight="1" x14ac:dyDescent="0.2">
      <c r="A138" s="80" t="s">
        <v>2479</v>
      </c>
    </row>
    <row r="139" spans="1:1" ht="19.5" customHeight="1" x14ac:dyDescent="0.2">
      <c r="A139" s="83" t="s">
        <v>2480</v>
      </c>
    </row>
    <row r="140" spans="1:1" ht="19.5" customHeight="1" x14ac:dyDescent="0.2">
      <c r="A140" s="80" t="s">
        <v>2481</v>
      </c>
    </row>
    <row r="141" spans="1:1" ht="19.5" customHeight="1" x14ac:dyDescent="0.2">
      <c r="A141" s="80" t="s">
        <v>2482</v>
      </c>
    </row>
    <row r="142" spans="1:1" ht="19.5" customHeight="1" x14ac:dyDescent="0.2">
      <c r="A142" s="83" t="s">
        <v>2483</v>
      </c>
    </row>
    <row r="143" spans="1:1" ht="19.5" customHeight="1" x14ac:dyDescent="0.2">
      <c r="A143" s="80" t="s">
        <v>2484</v>
      </c>
    </row>
    <row r="144" spans="1:1" ht="19.5" customHeight="1" x14ac:dyDescent="0.2">
      <c r="A144" s="80" t="s">
        <v>2485</v>
      </c>
    </row>
    <row r="145" spans="1:1" ht="19.5" customHeight="1" x14ac:dyDescent="0.2">
      <c r="A145" s="78"/>
    </row>
    <row r="146" spans="1:1" ht="19.5" customHeight="1" x14ac:dyDescent="0.2">
      <c r="A146" s="78" t="s">
        <v>2486</v>
      </c>
    </row>
    <row r="147" spans="1:1" ht="19.5" customHeight="1" x14ac:dyDescent="0.2">
      <c r="A147" s="82" t="s">
        <v>2487</v>
      </c>
    </row>
    <row r="148" spans="1:1" ht="19.5" customHeight="1" x14ac:dyDescent="0.2">
      <c r="A148" s="80" t="s">
        <v>2488</v>
      </c>
    </row>
    <row r="149" spans="1:1" ht="19.5" customHeight="1" x14ac:dyDescent="0.2">
      <c r="A149" s="80" t="s">
        <v>2489</v>
      </c>
    </row>
    <row r="150" spans="1:1" ht="19.5" customHeight="1" x14ac:dyDescent="0.2">
      <c r="A150" s="82" t="s">
        <v>2490</v>
      </c>
    </row>
    <row r="151" spans="1:1" ht="19.5" customHeight="1" x14ac:dyDescent="0.2">
      <c r="A151" s="80" t="s">
        <v>2491</v>
      </c>
    </row>
    <row r="152" spans="1:1" ht="19.5" customHeight="1" x14ac:dyDescent="0.2">
      <c r="A152" s="80" t="s">
        <v>2492</v>
      </c>
    </row>
    <row r="153" spans="1:1" ht="19.5" customHeight="1" x14ac:dyDescent="0.2">
      <c r="A153" s="82" t="s">
        <v>2493</v>
      </c>
    </row>
    <row r="154" spans="1:1" ht="19.5" customHeight="1" x14ac:dyDescent="0.2">
      <c r="A154" s="80" t="s">
        <v>2494</v>
      </c>
    </row>
    <row r="155" spans="1:1" ht="19.5" customHeight="1" x14ac:dyDescent="0.2">
      <c r="A155" s="80" t="s">
        <v>2495</v>
      </c>
    </row>
    <row r="156" spans="1:1" ht="19.5" customHeight="1" x14ac:dyDescent="0.2">
      <c r="A156" s="83" t="s">
        <v>2496</v>
      </c>
    </row>
    <row r="157" spans="1:1" ht="19.5" customHeight="1" x14ac:dyDescent="0.2">
      <c r="A157" s="80" t="s">
        <v>2497</v>
      </c>
    </row>
    <row r="158" spans="1:1" ht="19.5" customHeight="1" x14ac:dyDescent="0.2">
      <c r="A158" s="80" t="s">
        <v>2498</v>
      </c>
    </row>
    <row r="159" spans="1:1" ht="19.5" customHeight="1" x14ac:dyDescent="0.2">
      <c r="A159" s="83" t="s">
        <v>2499</v>
      </c>
    </row>
    <row r="160" spans="1:1" ht="19.5" customHeight="1" x14ac:dyDescent="0.2">
      <c r="A160" s="80" t="s">
        <v>2500</v>
      </c>
    </row>
    <row r="161" spans="1:1" ht="19.5" customHeight="1" x14ac:dyDescent="0.2">
      <c r="A161" s="80" t="s">
        <v>2501</v>
      </c>
    </row>
    <row r="162" spans="1:1" ht="19.5" customHeight="1" x14ac:dyDescent="0.2">
      <c r="A162" s="83" t="s">
        <v>2502</v>
      </c>
    </row>
    <row r="163" spans="1:1" ht="19.5" customHeight="1" x14ac:dyDescent="0.2">
      <c r="A163" s="80" t="s">
        <v>2503</v>
      </c>
    </row>
    <row r="164" spans="1:1" ht="19.5" customHeight="1" x14ac:dyDescent="0.2">
      <c r="A164" s="80" t="s">
        <v>2504</v>
      </c>
    </row>
    <row r="165" spans="1:1" ht="19.5" customHeight="1" x14ac:dyDescent="0.2">
      <c r="A165" s="83" t="s">
        <v>2505</v>
      </c>
    </row>
    <row r="166" spans="1:1" ht="19.5" customHeight="1" x14ac:dyDescent="0.2">
      <c r="A166" s="80" t="s">
        <v>2506</v>
      </c>
    </row>
    <row r="167" spans="1:1" ht="19.5" customHeight="1" x14ac:dyDescent="0.2">
      <c r="A167" s="80" t="s">
        <v>2507</v>
      </c>
    </row>
    <row r="168" spans="1:1" ht="19.5" customHeight="1" x14ac:dyDescent="0.2">
      <c r="A168" s="83" t="s">
        <v>2508</v>
      </c>
    </row>
    <row r="169" spans="1:1" ht="19.5" customHeight="1" x14ac:dyDescent="0.2">
      <c r="A169" s="80" t="s">
        <v>2509</v>
      </c>
    </row>
    <row r="170" spans="1:1" ht="19.5" customHeight="1" x14ac:dyDescent="0.2">
      <c r="A170" s="80" t="s">
        <v>2510</v>
      </c>
    </row>
    <row r="171" spans="1:1" ht="19.5" customHeight="1" x14ac:dyDescent="0.2">
      <c r="A171" s="80"/>
    </row>
    <row r="172" spans="1:1" ht="19.5" customHeight="1" x14ac:dyDescent="0.2">
      <c r="A172" s="78" t="s">
        <v>2511</v>
      </c>
    </row>
    <row r="173" spans="1:1" ht="19.5" customHeight="1" x14ac:dyDescent="0.2">
      <c r="A173" s="82" t="s">
        <v>2512</v>
      </c>
    </row>
    <row r="174" spans="1:1" ht="19.5" customHeight="1" x14ac:dyDescent="0.2">
      <c r="A174" s="80" t="s">
        <v>2513</v>
      </c>
    </row>
    <row r="175" spans="1:1" ht="19.5" customHeight="1" x14ac:dyDescent="0.2">
      <c r="A175" s="80" t="s">
        <v>2514</v>
      </c>
    </row>
    <row r="176" spans="1:1" ht="19.5" customHeight="1" x14ac:dyDescent="0.2">
      <c r="A176" s="82" t="s">
        <v>2515</v>
      </c>
    </row>
    <row r="177" spans="1:1" ht="19.5" customHeight="1" x14ac:dyDescent="0.2">
      <c r="A177" s="80" t="s">
        <v>2516</v>
      </c>
    </row>
    <row r="178" spans="1:1" ht="19.5" customHeight="1" x14ac:dyDescent="0.2">
      <c r="A178" s="80" t="s">
        <v>2517</v>
      </c>
    </row>
    <row r="179" spans="1:1" ht="19.5" customHeight="1" x14ac:dyDescent="0.2">
      <c r="A179" s="82" t="s">
        <v>2518</v>
      </c>
    </row>
    <row r="180" spans="1:1" ht="19.5" customHeight="1" x14ac:dyDescent="0.2">
      <c r="A180" s="80" t="s">
        <v>2519</v>
      </c>
    </row>
    <row r="181" spans="1:1" ht="19.5" customHeight="1" x14ac:dyDescent="0.2">
      <c r="A181" s="80" t="s">
        <v>2520</v>
      </c>
    </row>
    <row r="182" spans="1:1" ht="19.5" customHeight="1" x14ac:dyDescent="0.2">
      <c r="A182" s="83" t="s">
        <v>79</v>
      </c>
    </row>
    <row r="183" spans="1:1" ht="19.5" customHeight="1" x14ac:dyDescent="0.2">
      <c r="A183" s="80" t="s">
        <v>2521</v>
      </c>
    </row>
    <row r="184" spans="1:1" ht="19.5" customHeight="1" x14ac:dyDescent="0.2">
      <c r="A184" s="80" t="s">
        <v>2522</v>
      </c>
    </row>
    <row r="185" spans="1:1" ht="19.5" customHeight="1" x14ac:dyDescent="0.2">
      <c r="A185" s="80"/>
    </row>
    <row r="186" spans="1:1" ht="19.5" customHeight="1" x14ac:dyDescent="0.2">
      <c r="A186" s="78" t="s">
        <v>2523</v>
      </c>
    </row>
    <row r="187" spans="1:1" ht="19.5" customHeight="1" x14ac:dyDescent="0.2">
      <c r="A187" s="82" t="s">
        <v>2524</v>
      </c>
    </row>
    <row r="188" spans="1:1" ht="19.5" customHeight="1" x14ac:dyDescent="0.2">
      <c r="A188" s="80" t="s">
        <v>2525</v>
      </c>
    </row>
    <row r="189" spans="1:1" ht="19.5" customHeight="1" x14ac:dyDescent="0.2">
      <c r="A189" s="80" t="s">
        <v>2526</v>
      </c>
    </row>
    <row r="190" spans="1:1" ht="19.5" customHeight="1" x14ac:dyDescent="0.2">
      <c r="A190" s="82" t="s">
        <v>2527</v>
      </c>
    </row>
    <row r="191" spans="1:1" ht="19.5" customHeight="1" x14ac:dyDescent="0.2">
      <c r="A191" s="80" t="s">
        <v>2528</v>
      </c>
    </row>
    <row r="192" spans="1:1" ht="19.5" customHeight="1" x14ac:dyDescent="0.2">
      <c r="A192" s="80" t="s">
        <v>2529</v>
      </c>
    </row>
    <row r="193" spans="1:1" ht="15" customHeight="1" x14ac:dyDescent="0.2">
      <c r="A193" s="85"/>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504"/>
  <sheetViews>
    <sheetView topLeftCell="A10" zoomScaleNormal="100" workbookViewId="0"/>
  </sheetViews>
  <sheetFormatPr defaultColWidth="8.7109375" defaultRowHeight="12.75" x14ac:dyDescent="0.2"/>
  <sheetData>
    <row r="1" spans="1:1" ht="19.5" customHeight="1" x14ac:dyDescent="0.2">
      <c r="A1" s="80"/>
    </row>
    <row r="2" spans="1:1" ht="19.5" customHeight="1" x14ac:dyDescent="0.2">
      <c r="A2" s="78" t="s">
        <v>2530</v>
      </c>
    </row>
    <row r="3" spans="1:1" ht="19.5" customHeight="1" x14ac:dyDescent="0.2">
      <c r="A3" s="80"/>
    </row>
    <row r="4" spans="1:1" ht="19.5" customHeight="1" x14ac:dyDescent="0.2">
      <c r="A4" s="82" t="s">
        <v>2531</v>
      </c>
    </row>
    <row r="5" spans="1:1" ht="19.5" customHeight="1" x14ac:dyDescent="0.2">
      <c r="A5" s="80" t="s">
        <v>2532</v>
      </c>
    </row>
    <row r="6" spans="1:1" ht="19.5" customHeight="1" x14ac:dyDescent="0.2">
      <c r="A6" s="80" t="s">
        <v>2533</v>
      </c>
    </row>
    <row r="7" spans="1:1" ht="19.5" customHeight="1" x14ac:dyDescent="0.2">
      <c r="A7" s="82" t="s">
        <v>2534</v>
      </c>
    </row>
    <row r="8" spans="1:1" ht="19.5" customHeight="1" x14ac:dyDescent="0.2">
      <c r="A8" s="80" t="s">
        <v>2535</v>
      </c>
    </row>
    <row r="9" spans="1:1" ht="19.5" customHeight="1" x14ac:dyDescent="0.2">
      <c r="A9" s="80" t="s">
        <v>2536</v>
      </c>
    </row>
    <row r="10" spans="1:1" ht="19.5" customHeight="1" x14ac:dyDescent="0.2">
      <c r="A10" s="82" t="s">
        <v>2537</v>
      </c>
    </row>
    <row r="11" spans="1:1" ht="19.5" customHeight="1" x14ac:dyDescent="0.2">
      <c r="A11" s="80" t="s">
        <v>2538</v>
      </c>
    </row>
    <row r="12" spans="1:1" ht="19.5" customHeight="1" x14ac:dyDescent="0.2">
      <c r="A12" s="80" t="s">
        <v>2539</v>
      </c>
    </row>
    <row r="13" spans="1:1" ht="19.5" customHeight="1" x14ac:dyDescent="0.2">
      <c r="A13" s="83" t="s">
        <v>2540</v>
      </c>
    </row>
    <row r="14" spans="1:1" ht="19.5" customHeight="1" x14ac:dyDescent="0.2">
      <c r="A14" s="79" t="s">
        <v>2541</v>
      </c>
    </row>
    <row r="15" spans="1:1" ht="19.5" customHeight="1" x14ac:dyDescent="0.2">
      <c r="A15" s="80" t="s">
        <v>2542</v>
      </c>
    </row>
    <row r="16" spans="1:1" ht="19.5" customHeight="1" x14ac:dyDescent="0.2">
      <c r="A16" s="79" t="s">
        <v>2543</v>
      </c>
    </row>
    <row r="17" spans="1:1" ht="19.5" customHeight="1" x14ac:dyDescent="0.2">
      <c r="A17" s="80" t="s">
        <v>2544</v>
      </c>
    </row>
    <row r="18" spans="1:1" ht="19.5" customHeight="1" x14ac:dyDescent="0.2">
      <c r="A18" s="80" t="s">
        <v>2545</v>
      </c>
    </row>
    <row r="19" spans="1:1" ht="19.5" customHeight="1" x14ac:dyDescent="0.2">
      <c r="A19" s="79" t="s">
        <v>2546</v>
      </c>
    </row>
    <row r="20" spans="1:1" ht="19.5" customHeight="1" x14ac:dyDescent="0.2">
      <c r="A20" s="80" t="s">
        <v>2547</v>
      </c>
    </row>
    <row r="21" spans="1:1" ht="19.5" customHeight="1" x14ac:dyDescent="0.2">
      <c r="A21" s="80" t="s">
        <v>2548</v>
      </c>
    </row>
    <row r="22" spans="1:1" ht="19.5" customHeight="1" x14ac:dyDescent="0.2">
      <c r="A22" s="79" t="s">
        <v>2549</v>
      </c>
    </row>
    <row r="23" spans="1:1" ht="19.5" customHeight="1" x14ac:dyDescent="0.2">
      <c r="A23" s="80" t="s">
        <v>2550</v>
      </c>
    </row>
    <row r="24" spans="1:1" ht="19.5" customHeight="1" x14ac:dyDescent="0.2">
      <c r="A24" s="80" t="s">
        <v>2551</v>
      </c>
    </row>
    <row r="25" spans="1:1" ht="19.5" customHeight="1" x14ac:dyDescent="0.2">
      <c r="A25" s="79" t="s">
        <v>2552</v>
      </c>
    </row>
    <row r="26" spans="1:1" ht="19.5" customHeight="1" x14ac:dyDescent="0.2">
      <c r="A26" s="80" t="s">
        <v>2553</v>
      </c>
    </row>
    <row r="27" spans="1:1" ht="19.5" customHeight="1" x14ac:dyDescent="0.2">
      <c r="A27" s="80" t="s">
        <v>2554</v>
      </c>
    </row>
    <row r="28" spans="1:1" ht="19.5" customHeight="1" x14ac:dyDescent="0.2">
      <c r="A28" s="79" t="s">
        <v>2555</v>
      </c>
    </row>
    <row r="29" spans="1:1" ht="19.5" customHeight="1" x14ac:dyDescent="0.2">
      <c r="A29" s="80" t="s">
        <v>2556</v>
      </c>
    </row>
    <row r="30" spans="1:1" ht="19.5" customHeight="1" x14ac:dyDescent="0.2">
      <c r="A30" s="80" t="s">
        <v>2557</v>
      </c>
    </row>
    <row r="31" spans="1:1" ht="19.5" customHeight="1" x14ac:dyDescent="0.2">
      <c r="A31" s="80"/>
    </row>
    <row r="32" spans="1:1" ht="19.5" customHeight="1" x14ac:dyDescent="0.2">
      <c r="A32" s="79" t="s">
        <v>2558</v>
      </c>
    </row>
    <row r="33" spans="1:1" ht="19.5" customHeight="1" x14ac:dyDescent="0.2">
      <c r="A33" s="80" t="s">
        <v>2559</v>
      </c>
    </row>
    <row r="34" spans="1:1" ht="19.5" customHeight="1" x14ac:dyDescent="0.2">
      <c r="A34" s="80" t="s">
        <v>2560</v>
      </c>
    </row>
    <row r="35" spans="1:1" ht="19.5" customHeight="1" x14ac:dyDescent="0.2">
      <c r="A35" s="80"/>
    </row>
    <row r="36" spans="1:1" ht="19.5" customHeight="1" x14ac:dyDescent="0.2">
      <c r="A36" s="79" t="s">
        <v>2319</v>
      </c>
    </row>
    <row r="37" spans="1:1" ht="19.5" customHeight="1" x14ac:dyDescent="0.2">
      <c r="A37" s="80"/>
    </row>
    <row r="38" spans="1:1" ht="19.5" customHeight="1" x14ac:dyDescent="0.2">
      <c r="A38" s="80" t="s">
        <v>2561</v>
      </c>
    </row>
    <row r="39" spans="1:1" ht="19.5" customHeight="1" x14ac:dyDescent="0.2">
      <c r="A39" s="80" t="s">
        <v>2562</v>
      </c>
    </row>
    <row r="40" spans="1:1" ht="19.5" customHeight="1" x14ac:dyDescent="0.2">
      <c r="A40" s="80"/>
    </row>
    <row r="41" spans="1:1" ht="19.5" customHeight="1" x14ac:dyDescent="0.2">
      <c r="A41" s="80" t="s">
        <v>2563</v>
      </c>
    </row>
    <row r="42" spans="1:1" ht="19.5" customHeight="1" x14ac:dyDescent="0.2">
      <c r="A42" s="80" t="s">
        <v>2564</v>
      </c>
    </row>
    <row r="43" spans="1:1" ht="19.5" customHeight="1" x14ac:dyDescent="0.2">
      <c r="A43" s="79" t="s">
        <v>2565</v>
      </c>
    </row>
    <row r="44" spans="1:1" ht="19.5" customHeight="1" x14ac:dyDescent="0.2">
      <c r="A44" s="80" t="s">
        <v>2566</v>
      </c>
    </row>
    <row r="45" spans="1:1" ht="19.5" customHeight="1" x14ac:dyDescent="0.2">
      <c r="A45" s="80" t="s">
        <v>2567</v>
      </c>
    </row>
    <row r="46" spans="1:1" ht="19.5" customHeight="1" x14ac:dyDescent="0.2">
      <c r="A46" s="80"/>
    </row>
    <row r="47" spans="1:1" ht="19.5" customHeight="1" x14ac:dyDescent="0.2">
      <c r="A47" s="80" t="s">
        <v>2568</v>
      </c>
    </row>
    <row r="48" spans="1:1" ht="19.5" customHeight="1" x14ac:dyDescent="0.2">
      <c r="A48" s="80" t="s">
        <v>2569</v>
      </c>
    </row>
    <row r="49" spans="1:1" ht="19.5" customHeight="1" x14ac:dyDescent="0.2">
      <c r="A49" s="79" t="s">
        <v>2570</v>
      </c>
    </row>
    <row r="50" spans="1:1" ht="19.5" customHeight="1" x14ac:dyDescent="0.2">
      <c r="A50" s="80" t="s">
        <v>2571</v>
      </c>
    </row>
    <row r="51" spans="1:1" ht="19.5" customHeight="1" x14ac:dyDescent="0.2">
      <c r="A51" s="80" t="s">
        <v>2572</v>
      </c>
    </row>
    <row r="52" spans="1:1" ht="19.5" customHeight="1" x14ac:dyDescent="0.2">
      <c r="A52" s="80"/>
    </row>
    <row r="53" spans="1:1" ht="19.5" customHeight="1" x14ac:dyDescent="0.2">
      <c r="A53" s="80" t="s">
        <v>2573</v>
      </c>
    </row>
    <row r="54" spans="1:1" ht="19.5" customHeight="1" x14ac:dyDescent="0.2">
      <c r="A54" s="80" t="s">
        <v>2574</v>
      </c>
    </row>
    <row r="55" spans="1:1" ht="19.5" customHeight="1" x14ac:dyDescent="0.2">
      <c r="A55" s="80" t="s">
        <v>2575</v>
      </c>
    </row>
    <row r="56" spans="1:1" ht="19.5" customHeight="1" x14ac:dyDescent="0.2">
      <c r="A56" s="79" t="s">
        <v>2576</v>
      </c>
    </row>
    <row r="57" spans="1:1" ht="19.5" customHeight="1" x14ac:dyDescent="0.2">
      <c r="A57" s="80" t="s">
        <v>2577</v>
      </c>
    </row>
    <row r="58" spans="1:1" ht="19.5" customHeight="1" x14ac:dyDescent="0.2">
      <c r="A58" s="80" t="s">
        <v>2578</v>
      </c>
    </row>
    <row r="59" spans="1:1" ht="19.5" customHeight="1" x14ac:dyDescent="0.2">
      <c r="A59" s="80" t="s">
        <v>2579</v>
      </c>
    </row>
    <row r="60" spans="1:1" ht="19.5" customHeight="1" x14ac:dyDescent="0.2">
      <c r="A60" s="80" t="s">
        <v>2580</v>
      </c>
    </row>
    <row r="61" spans="1:1" ht="19.5" customHeight="1" x14ac:dyDescent="0.2">
      <c r="A61" s="79" t="s">
        <v>2581</v>
      </c>
    </row>
    <row r="62" spans="1:1" ht="19.5" customHeight="1" x14ac:dyDescent="0.2">
      <c r="A62" s="80" t="s">
        <v>2582</v>
      </c>
    </row>
    <row r="63" spans="1:1" ht="19.5" customHeight="1" x14ac:dyDescent="0.2">
      <c r="A63" s="80" t="s">
        <v>2583</v>
      </c>
    </row>
    <row r="64" spans="1:1" ht="19.5" customHeight="1" x14ac:dyDescent="0.2">
      <c r="A64" s="80"/>
    </row>
    <row r="65" spans="1:1" ht="19.5" customHeight="1" x14ac:dyDescent="0.2">
      <c r="A65" s="80" t="s">
        <v>2584</v>
      </c>
    </row>
    <row r="66" spans="1:1" ht="19.5" customHeight="1" x14ac:dyDescent="0.2">
      <c r="A66" s="80" t="s">
        <v>2585</v>
      </c>
    </row>
    <row r="67" spans="1:1" ht="19.5" customHeight="1" x14ac:dyDescent="0.2">
      <c r="A67" s="79" t="s">
        <v>2586</v>
      </c>
    </row>
    <row r="68" spans="1:1" ht="19.5" customHeight="1" x14ac:dyDescent="0.2">
      <c r="A68" s="80" t="s">
        <v>2587</v>
      </c>
    </row>
    <row r="69" spans="1:1" ht="19.5" customHeight="1" x14ac:dyDescent="0.2">
      <c r="A69" s="80" t="s">
        <v>2588</v>
      </c>
    </row>
    <row r="70" spans="1:1" ht="19.5" customHeight="1" x14ac:dyDescent="0.2">
      <c r="A70" s="80"/>
    </row>
    <row r="71" spans="1:1" ht="19.5" customHeight="1" x14ac:dyDescent="0.2">
      <c r="A71" s="80" t="s">
        <v>2589</v>
      </c>
    </row>
    <row r="72" spans="1:1" ht="19.5" customHeight="1" x14ac:dyDescent="0.2">
      <c r="A72" s="80" t="s">
        <v>2590</v>
      </c>
    </row>
    <row r="73" spans="1:1" ht="19.5" customHeight="1" x14ac:dyDescent="0.2">
      <c r="A73" s="80"/>
    </row>
    <row r="74" spans="1:1" ht="19.5" customHeight="1" x14ac:dyDescent="0.2">
      <c r="A74" s="80" t="s">
        <v>2149</v>
      </c>
    </row>
    <row r="75" spans="1:1" ht="19.5" customHeight="1" x14ac:dyDescent="0.2">
      <c r="A75" s="80"/>
    </row>
    <row r="76" spans="1:1" ht="19.5" customHeight="1" x14ac:dyDescent="0.2">
      <c r="A76" s="80" t="s">
        <v>2591</v>
      </c>
    </row>
    <row r="77" spans="1:1" ht="19.5" customHeight="1" x14ac:dyDescent="0.2">
      <c r="A77" s="80"/>
    </row>
    <row r="78" spans="1:1" ht="19.5" customHeight="1" x14ac:dyDescent="0.2">
      <c r="A78" s="79" t="s">
        <v>2592</v>
      </c>
    </row>
    <row r="79" spans="1:1" ht="19.5" customHeight="1" x14ac:dyDescent="0.2">
      <c r="A79" s="80"/>
    </row>
    <row r="80" spans="1:1" ht="19.5" customHeight="1" x14ac:dyDescent="0.2">
      <c r="A80" s="80" t="s">
        <v>2593</v>
      </c>
    </row>
    <row r="81" spans="1:1" ht="19.5" customHeight="1" x14ac:dyDescent="0.2">
      <c r="A81" s="80" t="s">
        <v>2594</v>
      </c>
    </row>
    <row r="82" spans="1:1" ht="19.5" customHeight="1" x14ac:dyDescent="0.2">
      <c r="A82" s="80"/>
    </row>
    <row r="83" spans="1:1" ht="19.5" customHeight="1" x14ac:dyDescent="0.2">
      <c r="A83" s="80" t="s">
        <v>2595</v>
      </c>
    </row>
    <row r="84" spans="1:1" ht="19.5" customHeight="1" x14ac:dyDescent="0.2">
      <c r="A84" s="80" t="s">
        <v>2596</v>
      </c>
    </row>
    <row r="85" spans="1:1" ht="19.5" customHeight="1" x14ac:dyDescent="0.2">
      <c r="A85" s="80"/>
    </row>
    <row r="86" spans="1:1" ht="19.5" customHeight="1" x14ac:dyDescent="0.2">
      <c r="A86" s="80" t="s">
        <v>2149</v>
      </c>
    </row>
    <row r="87" spans="1:1" ht="19.5" customHeight="1" x14ac:dyDescent="0.2">
      <c r="A87" s="80"/>
    </row>
    <row r="88" spans="1:1" ht="19.5" customHeight="1" x14ac:dyDescent="0.2">
      <c r="A88" s="79" t="s">
        <v>2597</v>
      </c>
    </row>
    <row r="89" spans="1:1" ht="19.5" customHeight="1" x14ac:dyDescent="0.2">
      <c r="A89" s="80"/>
    </row>
    <row r="90" spans="1:1" ht="19.5" customHeight="1" x14ac:dyDescent="0.2">
      <c r="A90" s="80" t="s">
        <v>2598</v>
      </c>
    </row>
    <row r="91" spans="1:1" ht="19.5" customHeight="1" x14ac:dyDescent="0.2">
      <c r="A91" s="80" t="s">
        <v>2599</v>
      </c>
    </row>
    <row r="92" spans="1:1" ht="19.5" customHeight="1" x14ac:dyDescent="0.2">
      <c r="A92" s="80"/>
    </row>
    <row r="93" spans="1:1" ht="19.5" customHeight="1" x14ac:dyDescent="0.2">
      <c r="A93" s="80" t="s">
        <v>2600</v>
      </c>
    </row>
    <row r="94" spans="1:1" ht="19.5" customHeight="1" x14ac:dyDescent="0.2">
      <c r="A94" s="80" t="s">
        <v>2601</v>
      </c>
    </row>
    <row r="95" spans="1:1" ht="19.5" customHeight="1" x14ac:dyDescent="0.2">
      <c r="A95" s="80"/>
    </row>
    <row r="96" spans="1:1" ht="19.5" customHeight="1" x14ac:dyDescent="0.2">
      <c r="A96" s="80" t="s">
        <v>2149</v>
      </c>
    </row>
    <row r="97" spans="1:1" ht="19.5" customHeight="1" x14ac:dyDescent="0.2">
      <c r="A97" s="80"/>
    </row>
    <row r="98" spans="1:1" ht="19.5" customHeight="1" x14ac:dyDescent="0.2">
      <c r="A98" s="79" t="s">
        <v>2602</v>
      </c>
    </row>
    <row r="99" spans="1:1" ht="19.5" customHeight="1" x14ac:dyDescent="0.2">
      <c r="A99" s="80"/>
    </row>
    <row r="100" spans="1:1" ht="19.5" customHeight="1" x14ac:dyDescent="0.2">
      <c r="A100" s="80" t="s">
        <v>2603</v>
      </c>
    </row>
    <row r="101" spans="1:1" ht="19.5" customHeight="1" x14ac:dyDescent="0.2">
      <c r="A101" s="80" t="s">
        <v>2604</v>
      </c>
    </row>
    <row r="102" spans="1:1" ht="19.5" customHeight="1" x14ac:dyDescent="0.2">
      <c r="A102" s="80"/>
    </row>
    <row r="103" spans="1:1" ht="19.5" customHeight="1" x14ac:dyDescent="0.2">
      <c r="A103" s="80" t="s">
        <v>2605</v>
      </c>
    </row>
    <row r="104" spans="1:1" ht="19.5" customHeight="1" x14ac:dyDescent="0.2">
      <c r="A104" s="80" t="s">
        <v>2606</v>
      </c>
    </row>
    <row r="105" spans="1:1" ht="19.5" customHeight="1" x14ac:dyDescent="0.2">
      <c r="A105" s="80"/>
    </row>
    <row r="106" spans="1:1" ht="19.5" customHeight="1" x14ac:dyDescent="0.2">
      <c r="A106" s="80" t="s">
        <v>2149</v>
      </c>
    </row>
    <row r="107" spans="1:1" ht="19.5" customHeight="1" x14ac:dyDescent="0.2">
      <c r="A107" s="80"/>
    </row>
    <row r="108" spans="1:1" ht="19.5" customHeight="1" x14ac:dyDescent="0.2">
      <c r="A108" s="79" t="s">
        <v>2607</v>
      </c>
    </row>
    <row r="109" spans="1:1" ht="19.5" customHeight="1" x14ac:dyDescent="0.2">
      <c r="A109" s="80"/>
    </row>
    <row r="110" spans="1:1" ht="19.5" customHeight="1" x14ac:dyDescent="0.2">
      <c r="A110" s="80" t="s">
        <v>2608</v>
      </c>
    </row>
    <row r="111" spans="1:1" ht="19.5" customHeight="1" x14ac:dyDescent="0.2">
      <c r="A111" s="80" t="s">
        <v>2609</v>
      </c>
    </row>
    <row r="112" spans="1:1" ht="19.5" customHeight="1" x14ac:dyDescent="0.2">
      <c r="A112" s="80"/>
    </row>
    <row r="113" spans="1:1" ht="19.5" customHeight="1" x14ac:dyDescent="0.2">
      <c r="A113" s="80" t="s">
        <v>2610</v>
      </c>
    </row>
    <row r="114" spans="1:1" ht="19.5" customHeight="1" x14ac:dyDescent="0.2">
      <c r="A114" s="80" t="s">
        <v>2611</v>
      </c>
    </row>
    <row r="115" spans="1:1" ht="19.5" customHeight="1" x14ac:dyDescent="0.2">
      <c r="A115" s="80"/>
    </row>
    <row r="116" spans="1:1" ht="19.5" customHeight="1" x14ac:dyDescent="0.2">
      <c r="A116" s="80" t="s">
        <v>2149</v>
      </c>
    </row>
    <row r="117" spans="1:1" ht="19.5" customHeight="1" x14ac:dyDescent="0.2">
      <c r="A117" s="80"/>
    </row>
    <row r="118" spans="1:1" ht="19.5" customHeight="1" x14ac:dyDescent="0.2">
      <c r="A118" s="79" t="s">
        <v>2612</v>
      </c>
    </row>
    <row r="119" spans="1:1" ht="19.5" customHeight="1" x14ac:dyDescent="0.2">
      <c r="A119" s="80"/>
    </row>
    <row r="120" spans="1:1" ht="19.5" customHeight="1" x14ac:dyDescent="0.2">
      <c r="A120" s="80" t="s">
        <v>2613</v>
      </c>
    </row>
    <row r="121" spans="1:1" ht="19.5" customHeight="1" x14ac:dyDescent="0.2">
      <c r="A121" s="80" t="s">
        <v>2614</v>
      </c>
    </row>
    <row r="122" spans="1:1" ht="19.5" customHeight="1" x14ac:dyDescent="0.2">
      <c r="A122" s="80"/>
    </row>
    <row r="123" spans="1:1" ht="19.5" customHeight="1" x14ac:dyDescent="0.2">
      <c r="A123" s="80" t="s">
        <v>2615</v>
      </c>
    </row>
    <row r="124" spans="1:1" ht="19.5" customHeight="1" x14ac:dyDescent="0.2">
      <c r="A124" s="80" t="s">
        <v>2616</v>
      </c>
    </row>
    <row r="125" spans="1:1" ht="19.5" customHeight="1" x14ac:dyDescent="0.2">
      <c r="A125" s="80"/>
    </row>
    <row r="126" spans="1:1" ht="19.5" customHeight="1" x14ac:dyDescent="0.2">
      <c r="A126" s="80" t="s">
        <v>2149</v>
      </c>
    </row>
    <row r="127" spans="1:1" ht="19.5" customHeight="1" x14ac:dyDescent="0.2">
      <c r="A127" s="79"/>
    </row>
    <row r="128" spans="1:1" ht="19.5" customHeight="1" x14ac:dyDescent="0.2">
      <c r="A128" s="79" t="s">
        <v>2617</v>
      </c>
    </row>
    <row r="129" spans="1:1" ht="19.5" customHeight="1" x14ac:dyDescent="0.2">
      <c r="A129" s="80"/>
    </row>
    <row r="130" spans="1:1" ht="19.5" customHeight="1" x14ac:dyDescent="0.2">
      <c r="A130" s="80" t="s">
        <v>2618</v>
      </c>
    </row>
    <row r="131" spans="1:1" ht="19.5" customHeight="1" x14ac:dyDescent="0.2">
      <c r="A131" s="80" t="s">
        <v>2619</v>
      </c>
    </row>
    <row r="132" spans="1:1" ht="19.5" customHeight="1" x14ac:dyDescent="0.2">
      <c r="A132" s="80"/>
    </row>
    <row r="133" spans="1:1" ht="19.5" customHeight="1" x14ac:dyDescent="0.2">
      <c r="A133" s="80" t="s">
        <v>2620</v>
      </c>
    </row>
    <row r="134" spans="1:1" ht="19.5" customHeight="1" x14ac:dyDescent="0.2">
      <c r="A134" s="80" t="s">
        <v>2621</v>
      </c>
    </row>
    <row r="135" spans="1:1" ht="19.5" customHeight="1" x14ac:dyDescent="0.2">
      <c r="A135" s="80"/>
    </row>
    <row r="136" spans="1:1" ht="19.5" customHeight="1" x14ac:dyDescent="0.2">
      <c r="A136" s="80" t="s">
        <v>2149</v>
      </c>
    </row>
    <row r="137" spans="1:1" ht="19.5" customHeight="1" x14ac:dyDescent="0.2">
      <c r="A137" s="80"/>
    </row>
    <row r="138" spans="1:1" ht="19.5" customHeight="1" x14ac:dyDescent="0.2">
      <c r="A138" s="80" t="s">
        <v>2622</v>
      </c>
    </row>
    <row r="139" spans="1:1" ht="19.5" customHeight="1" x14ac:dyDescent="0.2">
      <c r="A139" s="80"/>
    </row>
    <row r="140" spans="1:1" ht="19.5" customHeight="1" x14ac:dyDescent="0.2">
      <c r="A140" s="79" t="s">
        <v>2623</v>
      </c>
    </row>
    <row r="141" spans="1:1" ht="19.5" customHeight="1" x14ac:dyDescent="0.2">
      <c r="A141" s="80"/>
    </row>
    <row r="142" spans="1:1" ht="19.5" customHeight="1" x14ac:dyDescent="0.2">
      <c r="A142" s="80" t="s">
        <v>2624</v>
      </c>
    </row>
    <row r="143" spans="1:1" ht="19.5" customHeight="1" x14ac:dyDescent="0.2">
      <c r="A143" s="80" t="s">
        <v>2625</v>
      </c>
    </row>
    <row r="144" spans="1:1" ht="19.5" customHeight="1" x14ac:dyDescent="0.2">
      <c r="A144" s="80"/>
    </row>
    <row r="145" spans="1:1" ht="19.5" customHeight="1" x14ac:dyDescent="0.2">
      <c r="A145" s="80" t="s">
        <v>2626</v>
      </c>
    </row>
    <row r="146" spans="1:1" ht="19.5" customHeight="1" x14ac:dyDescent="0.2">
      <c r="A146" s="80" t="s">
        <v>2627</v>
      </c>
    </row>
    <row r="147" spans="1:1" ht="19.5" customHeight="1" x14ac:dyDescent="0.2">
      <c r="A147" s="80"/>
    </row>
    <row r="148" spans="1:1" ht="19.5" customHeight="1" x14ac:dyDescent="0.2">
      <c r="A148" s="80" t="s">
        <v>2149</v>
      </c>
    </row>
    <row r="149" spans="1:1" ht="19.5" customHeight="1" x14ac:dyDescent="0.2">
      <c r="A149" s="79"/>
    </row>
    <row r="150" spans="1:1" ht="19.5" customHeight="1" x14ac:dyDescent="0.2">
      <c r="A150" s="79" t="s">
        <v>2628</v>
      </c>
    </row>
    <row r="151" spans="1:1" ht="19.5" customHeight="1" x14ac:dyDescent="0.2">
      <c r="A151" s="80"/>
    </row>
    <row r="152" spans="1:1" ht="19.5" customHeight="1" x14ac:dyDescent="0.2">
      <c r="A152" s="80" t="s">
        <v>2629</v>
      </c>
    </row>
    <row r="153" spans="1:1" ht="19.5" customHeight="1" x14ac:dyDescent="0.2">
      <c r="A153" s="80" t="s">
        <v>2630</v>
      </c>
    </row>
    <row r="154" spans="1:1" ht="19.5" customHeight="1" x14ac:dyDescent="0.2">
      <c r="A154" s="80"/>
    </row>
    <row r="155" spans="1:1" ht="19.5" customHeight="1" x14ac:dyDescent="0.2">
      <c r="A155" s="80" t="s">
        <v>2631</v>
      </c>
    </row>
    <row r="156" spans="1:1" ht="19.5" customHeight="1" x14ac:dyDescent="0.2">
      <c r="A156" s="80" t="s">
        <v>2632</v>
      </c>
    </row>
    <row r="157" spans="1:1" ht="19.5" customHeight="1" x14ac:dyDescent="0.2">
      <c r="A157" s="80"/>
    </row>
    <row r="158" spans="1:1" ht="19.5" customHeight="1" x14ac:dyDescent="0.2">
      <c r="A158" s="80" t="s">
        <v>2149</v>
      </c>
    </row>
    <row r="159" spans="1:1" ht="19.5" customHeight="1" x14ac:dyDescent="0.2">
      <c r="A159" s="80"/>
    </row>
    <row r="160" spans="1:1" ht="19.5" customHeight="1" x14ac:dyDescent="0.2">
      <c r="A160" s="79" t="s">
        <v>2633</v>
      </c>
    </row>
    <row r="161" spans="1:1" ht="19.5" customHeight="1" x14ac:dyDescent="0.2">
      <c r="A161" s="80"/>
    </row>
    <row r="162" spans="1:1" ht="19.5" customHeight="1" x14ac:dyDescent="0.2">
      <c r="A162" s="80" t="s">
        <v>2634</v>
      </c>
    </row>
    <row r="163" spans="1:1" ht="19.5" customHeight="1" x14ac:dyDescent="0.2">
      <c r="A163" s="80" t="s">
        <v>2635</v>
      </c>
    </row>
    <row r="164" spans="1:1" ht="19.5" customHeight="1" x14ac:dyDescent="0.2">
      <c r="A164" s="80"/>
    </row>
    <row r="165" spans="1:1" ht="19.5" customHeight="1" x14ac:dyDescent="0.2">
      <c r="A165" s="80" t="s">
        <v>2636</v>
      </c>
    </row>
    <row r="166" spans="1:1" ht="19.5" customHeight="1" x14ac:dyDescent="0.2">
      <c r="A166" s="80" t="s">
        <v>2637</v>
      </c>
    </row>
    <row r="167" spans="1:1" ht="19.5" customHeight="1" x14ac:dyDescent="0.2">
      <c r="A167" s="80"/>
    </row>
    <row r="168" spans="1:1" ht="19.5" customHeight="1" x14ac:dyDescent="0.2">
      <c r="A168" s="80" t="s">
        <v>2149</v>
      </c>
    </row>
    <row r="169" spans="1:1" ht="19.5" customHeight="1" x14ac:dyDescent="0.2">
      <c r="A169" s="79"/>
    </row>
    <row r="170" spans="1:1" ht="19.5" customHeight="1" x14ac:dyDescent="0.2">
      <c r="A170" s="79" t="s">
        <v>2638</v>
      </c>
    </row>
    <row r="171" spans="1:1" ht="19.5" customHeight="1" x14ac:dyDescent="0.2">
      <c r="A171" s="80"/>
    </row>
    <row r="172" spans="1:1" ht="19.5" customHeight="1" x14ac:dyDescent="0.2">
      <c r="A172" s="80" t="s">
        <v>2639</v>
      </c>
    </row>
    <row r="173" spans="1:1" ht="19.5" customHeight="1" x14ac:dyDescent="0.2">
      <c r="A173" s="80" t="s">
        <v>2640</v>
      </c>
    </row>
    <row r="174" spans="1:1" ht="19.5" customHeight="1" x14ac:dyDescent="0.2">
      <c r="A174" s="80"/>
    </row>
    <row r="175" spans="1:1" ht="19.5" customHeight="1" x14ac:dyDescent="0.2">
      <c r="A175" s="80" t="s">
        <v>2641</v>
      </c>
    </row>
    <row r="176" spans="1:1" ht="19.5" customHeight="1" x14ac:dyDescent="0.2">
      <c r="A176" s="80" t="s">
        <v>2642</v>
      </c>
    </row>
    <row r="177" spans="1:1" ht="19.5" customHeight="1" x14ac:dyDescent="0.2">
      <c r="A177" s="80"/>
    </row>
    <row r="178" spans="1:1" ht="19.5" customHeight="1" x14ac:dyDescent="0.2">
      <c r="A178" s="80" t="s">
        <v>2149</v>
      </c>
    </row>
    <row r="179" spans="1:1" ht="19.5" customHeight="1" x14ac:dyDescent="0.2">
      <c r="A179" s="79"/>
    </row>
    <row r="180" spans="1:1" ht="19.5" customHeight="1" x14ac:dyDescent="0.2">
      <c r="A180" s="79" t="s">
        <v>2643</v>
      </c>
    </row>
    <row r="181" spans="1:1" ht="19.5" customHeight="1" x14ac:dyDescent="0.2">
      <c r="A181" s="80"/>
    </row>
    <row r="182" spans="1:1" ht="19.5" customHeight="1" x14ac:dyDescent="0.2">
      <c r="A182" s="80" t="s">
        <v>2644</v>
      </c>
    </row>
    <row r="183" spans="1:1" ht="19.5" customHeight="1" x14ac:dyDescent="0.2">
      <c r="A183" s="80" t="s">
        <v>2645</v>
      </c>
    </row>
    <row r="184" spans="1:1" ht="19.5" customHeight="1" x14ac:dyDescent="0.2">
      <c r="A184" s="80"/>
    </row>
    <row r="185" spans="1:1" ht="19.5" customHeight="1" x14ac:dyDescent="0.2">
      <c r="A185" s="80" t="s">
        <v>2646</v>
      </c>
    </row>
    <row r="186" spans="1:1" ht="19.5" customHeight="1" x14ac:dyDescent="0.2">
      <c r="A186" s="80" t="s">
        <v>2647</v>
      </c>
    </row>
    <row r="187" spans="1:1" ht="19.5" customHeight="1" x14ac:dyDescent="0.2">
      <c r="A187" s="80"/>
    </row>
    <row r="188" spans="1:1" ht="19.5" customHeight="1" x14ac:dyDescent="0.2">
      <c r="A188" s="80" t="s">
        <v>2149</v>
      </c>
    </row>
    <row r="189" spans="1:1" ht="19.5" customHeight="1" x14ac:dyDescent="0.2">
      <c r="A189" s="80"/>
    </row>
    <row r="190" spans="1:1" ht="19.5" customHeight="1" x14ac:dyDescent="0.2">
      <c r="A190" s="79" t="s">
        <v>2648</v>
      </c>
    </row>
    <row r="191" spans="1:1" ht="19.5" customHeight="1" x14ac:dyDescent="0.2">
      <c r="A191" s="80"/>
    </row>
    <row r="192" spans="1:1" ht="19.5" customHeight="1" x14ac:dyDescent="0.2">
      <c r="A192" s="80" t="s">
        <v>2649</v>
      </c>
    </row>
    <row r="193" spans="1:1" ht="19.5" customHeight="1" x14ac:dyDescent="0.2">
      <c r="A193" s="80" t="s">
        <v>2650</v>
      </c>
    </row>
    <row r="194" spans="1:1" ht="19.5" customHeight="1" x14ac:dyDescent="0.2">
      <c r="A194" s="80"/>
    </row>
    <row r="195" spans="1:1" ht="19.5" customHeight="1" x14ac:dyDescent="0.2">
      <c r="A195" s="80" t="s">
        <v>2651</v>
      </c>
    </row>
    <row r="196" spans="1:1" ht="19.5" customHeight="1" x14ac:dyDescent="0.2">
      <c r="A196" s="80" t="s">
        <v>2652</v>
      </c>
    </row>
    <row r="197" spans="1:1" ht="19.5" customHeight="1" x14ac:dyDescent="0.2">
      <c r="A197" s="80"/>
    </row>
    <row r="198" spans="1:1" ht="19.5" customHeight="1" x14ac:dyDescent="0.2">
      <c r="A198" s="80" t="s">
        <v>2149</v>
      </c>
    </row>
    <row r="199" spans="1:1" ht="19.5" customHeight="1" x14ac:dyDescent="0.2">
      <c r="A199" s="80"/>
    </row>
    <row r="200" spans="1:1" ht="19.5" customHeight="1" x14ac:dyDescent="0.2">
      <c r="A200" s="80" t="s">
        <v>2653</v>
      </c>
    </row>
    <row r="201" spans="1:1" ht="19.5" customHeight="1" x14ac:dyDescent="0.2">
      <c r="A201" s="80"/>
    </row>
    <row r="202" spans="1:1" ht="19.5" customHeight="1" x14ac:dyDescent="0.2">
      <c r="A202" s="79" t="s">
        <v>2654</v>
      </c>
    </row>
    <row r="203" spans="1:1" ht="19.5" customHeight="1" x14ac:dyDescent="0.2">
      <c r="A203" s="80"/>
    </row>
    <row r="204" spans="1:1" ht="19.5" customHeight="1" x14ac:dyDescent="0.2">
      <c r="A204" s="80" t="s">
        <v>2655</v>
      </c>
    </row>
    <row r="205" spans="1:1" ht="19.5" customHeight="1" x14ac:dyDescent="0.2">
      <c r="A205" s="80" t="s">
        <v>2656</v>
      </c>
    </row>
    <row r="206" spans="1:1" ht="19.5" customHeight="1" x14ac:dyDescent="0.2">
      <c r="A206" s="80"/>
    </row>
    <row r="207" spans="1:1" ht="19.5" customHeight="1" x14ac:dyDescent="0.2">
      <c r="A207" s="80" t="s">
        <v>2657</v>
      </c>
    </row>
    <row r="208" spans="1:1" ht="19.5" customHeight="1" x14ac:dyDescent="0.2">
      <c r="A208" s="80" t="s">
        <v>2658</v>
      </c>
    </row>
    <row r="209" spans="1:1" ht="19.5" customHeight="1" x14ac:dyDescent="0.2">
      <c r="A209" s="80"/>
    </row>
    <row r="210" spans="1:1" ht="19.5" customHeight="1" x14ac:dyDescent="0.2">
      <c r="A210" s="80" t="s">
        <v>2149</v>
      </c>
    </row>
    <row r="211" spans="1:1" ht="19.5" customHeight="1" x14ac:dyDescent="0.2">
      <c r="A211" s="80"/>
    </row>
    <row r="212" spans="1:1" ht="19.5" customHeight="1" x14ac:dyDescent="0.2">
      <c r="A212" s="79" t="s">
        <v>2659</v>
      </c>
    </row>
    <row r="213" spans="1:1" ht="19.5" customHeight="1" x14ac:dyDescent="0.2">
      <c r="A213" s="80"/>
    </row>
    <row r="214" spans="1:1" ht="19.5" customHeight="1" x14ac:dyDescent="0.2">
      <c r="A214" s="80" t="s">
        <v>2660</v>
      </c>
    </row>
    <row r="215" spans="1:1" ht="19.5" customHeight="1" x14ac:dyDescent="0.2">
      <c r="A215" s="80" t="s">
        <v>2661</v>
      </c>
    </row>
    <row r="216" spans="1:1" ht="19.5" customHeight="1" x14ac:dyDescent="0.2">
      <c r="A216" s="80"/>
    </row>
    <row r="217" spans="1:1" ht="19.5" customHeight="1" x14ac:dyDescent="0.2">
      <c r="A217" s="80" t="s">
        <v>2662</v>
      </c>
    </row>
    <row r="218" spans="1:1" ht="19.5" customHeight="1" x14ac:dyDescent="0.2">
      <c r="A218" s="80" t="s">
        <v>2663</v>
      </c>
    </row>
    <row r="219" spans="1:1" ht="19.5" customHeight="1" x14ac:dyDescent="0.2">
      <c r="A219" s="80"/>
    </row>
    <row r="220" spans="1:1" ht="19.5" customHeight="1" x14ac:dyDescent="0.2">
      <c r="A220" s="80" t="s">
        <v>2149</v>
      </c>
    </row>
    <row r="221" spans="1:1" ht="19.5" customHeight="1" x14ac:dyDescent="0.2">
      <c r="A221" s="80"/>
    </row>
    <row r="222" spans="1:1" ht="19.5" customHeight="1" x14ac:dyDescent="0.2">
      <c r="A222" s="79" t="s">
        <v>2664</v>
      </c>
    </row>
    <row r="223" spans="1:1" ht="19.5" customHeight="1" x14ac:dyDescent="0.2">
      <c r="A223" s="80"/>
    </row>
    <row r="224" spans="1:1" ht="19.5" customHeight="1" x14ac:dyDescent="0.2">
      <c r="A224" s="80" t="s">
        <v>2665</v>
      </c>
    </row>
    <row r="225" spans="1:1" ht="19.5" customHeight="1" x14ac:dyDescent="0.2">
      <c r="A225" s="80" t="s">
        <v>2666</v>
      </c>
    </row>
    <row r="226" spans="1:1" ht="19.5" customHeight="1" x14ac:dyDescent="0.2">
      <c r="A226" s="80"/>
    </row>
    <row r="227" spans="1:1" ht="19.5" customHeight="1" x14ac:dyDescent="0.2">
      <c r="A227" s="80" t="s">
        <v>2667</v>
      </c>
    </row>
    <row r="228" spans="1:1" ht="19.5" customHeight="1" x14ac:dyDescent="0.2">
      <c r="A228" s="80" t="s">
        <v>2668</v>
      </c>
    </row>
    <row r="229" spans="1:1" ht="19.5" customHeight="1" x14ac:dyDescent="0.2">
      <c r="A229" s="80"/>
    </row>
    <row r="230" spans="1:1" ht="19.5" customHeight="1" x14ac:dyDescent="0.2">
      <c r="A230" s="80" t="s">
        <v>2149</v>
      </c>
    </row>
    <row r="231" spans="1:1" ht="19.5" customHeight="1" x14ac:dyDescent="0.2">
      <c r="A231" s="80"/>
    </row>
    <row r="232" spans="1:1" ht="19.5" customHeight="1" x14ac:dyDescent="0.2">
      <c r="A232" s="79" t="s">
        <v>2669</v>
      </c>
    </row>
    <row r="233" spans="1:1" ht="19.5" customHeight="1" x14ac:dyDescent="0.2">
      <c r="A233" s="80"/>
    </row>
    <row r="234" spans="1:1" ht="19.5" customHeight="1" x14ac:dyDescent="0.2">
      <c r="A234" s="80" t="s">
        <v>2670</v>
      </c>
    </row>
    <row r="235" spans="1:1" ht="19.5" customHeight="1" x14ac:dyDescent="0.2">
      <c r="A235" s="80" t="s">
        <v>2671</v>
      </c>
    </row>
    <row r="236" spans="1:1" ht="19.5" customHeight="1" x14ac:dyDescent="0.2">
      <c r="A236" s="80"/>
    </row>
    <row r="237" spans="1:1" ht="19.5" customHeight="1" x14ac:dyDescent="0.2">
      <c r="A237" s="80" t="s">
        <v>2672</v>
      </c>
    </row>
    <row r="238" spans="1:1" ht="19.5" customHeight="1" x14ac:dyDescent="0.2">
      <c r="A238" s="80" t="s">
        <v>2673</v>
      </c>
    </row>
    <row r="239" spans="1:1" ht="19.5" customHeight="1" x14ac:dyDescent="0.2">
      <c r="A239" s="80"/>
    </row>
    <row r="240" spans="1:1" ht="19.5" customHeight="1" x14ac:dyDescent="0.2">
      <c r="A240" s="80" t="s">
        <v>2149</v>
      </c>
    </row>
    <row r="241" spans="1:1" ht="19.5" customHeight="1" x14ac:dyDescent="0.2">
      <c r="A241" s="79"/>
    </row>
    <row r="242" spans="1:1" ht="19.5" customHeight="1" x14ac:dyDescent="0.2">
      <c r="A242" s="79" t="s">
        <v>2674</v>
      </c>
    </row>
    <row r="243" spans="1:1" ht="19.5" customHeight="1" x14ac:dyDescent="0.2">
      <c r="A243" s="79"/>
    </row>
    <row r="244" spans="1:1" ht="19.5" customHeight="1" x14ac:dyDescent="0.2">
      <c r="A244" s="80" t="s">
        <v>2675</v>
      </c>
    </row>
    <row r="245" spans="1:1" ht="19.5" customHeight="1" x14ac:dyDescent="0.2">
      <c r="A245" s="80" t="s">
        <v>2676</v>
      </c>
    </row>
    <row r="246" spans="1:1" ht="19.5" customHeight="1" x14ac:dyDescent="0.2">
      <c r="A246" s="80"/>
    </row>
    <row r="247" spans="1:1" ht="19.5" customHeight="1" x14ac:dyDescent="0.2">
      <c r="A247" s="80" t="s">
        <v>2677</v>
      </c>
    </row>
    <row r="248" spans="1:1" ht="19.5" customHeight="1" x14ac:dyDescent="0.2">
      <c r="A248" s="80" t="s">
        <v>2678</v>
      </c>
    </row>
    <row r="249" spans="1:1" ht="19.5" customHeight="1" x14ac:dyDescent="0.2">
      <c r="A249" s="80"/>
    </row>
    <row r="250" spans="1:1" ht="19.5" customHeight="1" x14ac:dyDescent="0.2">
      <c r="A250" s="80" t="s">
        <v>2149</v>
      </c>
    </row>
    <row r="251" spans="1:1" ht="19.5" customHeight="1" x14ac:dyDescent="0.2">
      <c r="A251" s="80"/>
    </row>
    <row r="252" spans="1:1" ht="19.5" customHeight="1" x14ac:dyDescent="0.2">
      <c r="A252" s="80" t="s">
        <v>2679</v>
      </c>
    </row>
    <row r="253" spans="1:1" ht="19.5" customHeight="1" x14ac:dyDescent="0.2">
      <c r="A253" s="80"/>
    </row>
    <row r="254" spans="1:1" ht="19.5" customHeight="1" x14ac:dyDescent="0.2">
      <c r="A254" s="78" t="s">
        <v>2680</v>
      </c>
    </row>
    <row r="255" spans="1:1" ht="19.5" customHeight="1" x14ac:dyDescent="0.2">
      <c r="A255" s="82" t="s">
        <v>2681</v>
      </c>
    </row>
    <row r="256" spans="1:1" ht="19.5" customHeight="1" x14ac:dyDescent="0.2">
      <c r="A256" s="80" t="s">
        <v>2682</v>
      </c>
    </row>
    <row r="257" spans="1:1" ht="19.5" customHeight="1" x14ac:dyDescent="0.2">
      <c r="A257" s="80" t="s">
        <v>2683</v>
      </c>
    </row>
    <row r="258" spans="1:1" ht="19.5" customHeight="1" x14ac:dyDescent="0.2">
      <c r="A258" s="80"/>
    </row>
    <row r="259" spans="1:1" ht="19.5" customHeight="1" x14ac:dyDescent="0.2">
      <c r="A259" s="82" t="s">
        <v>2684</v>
      </c>
    </row>
    <row r="260" spans="1:1" ht="19.5" customHeight="1" x14ac:dyDescent="0.2">
      <c r="A260" s="80" t="s">
        <v>2685</v>
      </c>
    </row>
    <row r="261" spans="1:1" ht="19.5" customHeight="1" x14ac:dyDescent="0.2">
      <c r="A261" s="80" t="s">
        <v>2686</v>
      </c>
    </row>
    <row r="262" spans="1:1" ht="19.5" customHeight="1" x14ac:dyDescent="0.2">
      <c r="A262" s="80"/>
    </row>
    <row r="263" spans="1:1" ht="19.5" customHeight="1" x14ac:dyDescent="0.2">
      <c r="A263" s="82" t="s">
        <v>2687</v>
      </c>
    </row>
    <row r="264" spans="1:1" ht="19.5" customHeight="1" x14ac:dyDescent="0.2">
      <c r="A264" s="80" t="s">
        <v>2688</v>
      </c>
    </row>
    <row r="265" spans="1:1" ht="19.5" customHeight="1" x14ac:dyDescent="0.2">
      <c r="A265" s="80" t="s">
        <v>2689</v>
      </c>
    </row>
    <row r="266" spans="1:1" ht="19.5" customHeight="1" x14ac:dyDescent="0.2">
      <c r="A266" s="80"/>
    </row>
    <row r="267" spans="1:1" ht="19.5" customHeight="1" x14ac:dyDescent="0.2">
      <c r="A267" s="83" t="s">
        <v>2690</v>
      </c>
    </row>
    <row r="268" spans="1:1" ht="19.5" customHeight="1" x14ac:dyDescent="0.2">
      <c r="A268" s="80"/>
    </row>
    <row r="269" spans="1:1" ht="19.5" customHeight="1" x14ac:dyDescent="0.2">
      <c r="A269" s="80" t="s">
        <v>2691</v>
      </c>
    </row>
    <row r="270" spans="1:1" ht="19.5" customHeight="1" x14ac:dyDescent="0.2">
      <c r="A270" s="80" t="s">
        <v>2692</v>
      </c>
    </row>
    <row r="271" spans="1:1" ht="19.5" customHeight="1" x14ac:dyDescent="0.2">
      <c r="A271" s="80"/>
    </row>
    <row r="272" spans="1:1" ht="19.5" customHeight="1" x14ac:dyDescent="0.2">
      <c r="A272" s="80" t="s">
        <v>2693</v>
      </c>
    </row>
    <row r="273" spans="1:1" ht="19.5" customHeight="1" x14ac:dyDescent="0.2">
      <c r="A273" s="80" t="s">
        <v>2694</v>
      </c>
    </row>
    <row r="274" spans="1:1" ht="19.5" customHeight="1" x14ac:dyDescent="0.2">
      <c r="A274" s="80"/>
    </row>
    <row r="275" spans="1:1" ht="19.5" customHeight="1" x14ac:dyDescent="0.2">
      <c r="A275" s="80" t="s">
        <v>2149</v>
      </c>
    </row>
    <row r="276" spans="1:1" ht="19.5" customHeight="1" x14ac:dyDescent="0.2">
      <c r="A276" s="83"/>
    </row>
    <row r="277" spans="1:1" ht="19.5" customHeight="1" x14ac:dyDescent="0.2">
      <c r="A277" s="83" t="s">
        <v>2695</v>
      </c>
    </row>
    <row r="278" spans="1:1" ht="19.5" customHeight="1" x14ac:dyDescent="0.2">
      <c r="A278" s="80"/>
    </row>
    <row r="279" spans="1:1" ht="19.5" customHeight="1" x14ac:dyDescent="0.2">
      <c r="A279" s="80" t="s">
        <v>2696</v>
      </c>
    </row>
    <row r="280" spans="1:1" ht="19.5" customHeight="1" x14ac:dyDescent="0.2">
      <c r="A280" s="80" t="s">
        <v>2697</v>
      </c>
    </row>
    <row r="281" spans="1:1" ht="19.5" customHeight="1" x14ac:dyDescent="0.2">
      <c r="A281" s="80"/>
    </row>
    <row r="282" spans="1:1" ht="19.5" customHeight="1" x14ac:dyDescent="0.2">
      <c r="A282" s="80" t="s">
        <v>2698</v>
      </c>
    </row>
    <row r="283" spans="1:1" ht="19.5" customHeight="1" x14ac:dyDescent="0.2">
      <c r="A283" s="80" t="s">
        <v>2699</v>
      </c>
    </row>
    <row r="284" spans="1:1" ht="19.5" customHeight="1" x14ac:dyDescent="0.2">
      <c r="A284" s="80"/>
    </row>
    <row r="285" spans="1:1" ht="19.5" customHeight="1" x14ac:dyDescent="0.2">
      <c r="A285" s="80" t="s">
        <v>2149</v>
      </c>
    </row>
    <row r="286" spans="1:1" ht="19.5" customHeight="1" x14ac:dyDescent="0.2">
      <c r="A286" s="80"/>
    </row>
    <row r="287" spans="1:1" ht="19.5" customHeight="1" x14ac:dyDescent="0.2">
      <c r="A287" s="83" t="s">
        <v>2700</v>
      </c>
    </row>
    <row r="288" spans="1:1" ht="19.5" customHeight="1" x14ac:dyDescent="0.2">
      <c r="A288" s="80"/>
    </row>
    <row r="289" spans="1:1" ht="19.5" customHeight="1" x14ac:dyDescent="0.2">
      <c r="A289" s="80" t="s">
        <v>2701</v>
      </c>
    </row>
    <row r="290" spans="1:1" ht="19.5" customHeight="1" x14ac:dyDescent="0.2">
      <c r="A290" s="80" t="s">
        <v>2702</v>
      </c>
    </row>
    <row r="291" spans="1:1" ht="19.5" customHeight="1" x14ac:dyDescent="0.2">
      <c r="A291" s="80"/>
    </row>
    <row r="292" spans="1:1" ht="19.5" customHeight="1" x14ac:dyDescent="0.2">
      <c r="A292" s="80" t="s">
        <v>2703</v>
      </c>
    </row>
    <row r="293" spans="1:1" ht="19.5" customHeight="1" x14ac:dyDescent="0.2">
      <c r="A293" s="80" t="s">
        <v>2704</v>
      </c>
    </row>
    <row r="294" spans="1:1" ht="19.5" customHeight="1" x14ac:dyDescent="0.2">
      <c r="A294" s="80"/>
    </row>
    <row r="295" spans="1:1" ht="19.5" customHeight="1" x14ac:dyDescent="0.2">
      <c r="A295" s="80" t="s">
        <v>2149</v>
      </c>
    </row>
    <row r="296" spans="1:1" ht="19.5" customHeight="1" x14ac:dyDescent="0.2">
      <c r="A296" s="80"/>
    </row>
    <row r="297" spans="1:1" ht="19.5" customHeight="1" x14ac:dyDescent="0.2">
      <c r="A297" s="83" t="s">
        <v>2705</v>
      </c>
    </row>
    <row r="298" spans="1:1" ht="19.5" customHeight="1" x14ac:dyDescent="0.2">
      <c r="A298" s="80"/>
    </row>
    <row r="299" spans="1:1" ht="19.5" customHeight="1" x14ac:dyDescent="0.2">
      <c r="A299" s="80" t="s">
        <v>2706</v>
      </c>
    </row>
    <row r="300" spans="1:1" ht="19.5" customHeight="1" x14ac:dyDescent="0.2">
      <c r="A300" s="80" t="s">
        <v>2707</v>
      </c>
    </row>
    <row r="301" spans="1:1" ht="19.5" customHeight="1" x14ac:dyDescent="0.2">
      <c r="A301" s="80"/>
    </row>
    <row r="302" spans="1:1" ht="19.5" customHeight="1" x14ac:dyDescent="0.2">
      <c r="A302" s="80" t="s">
        <v>2708</v>
      </c>
    </row>
    <row r="303" spans="1:1" ht="19.5" customHeight="1" x14ac:dyDescent="0.2">
      <c r="A303" s="80" t="s">
        <v>2709</v>
      </c>
    </row>
    <row r="304" spans="1:1" ht="19.5" customHeight="1" x14ac:dyDescent="0.2">
      <c r="A304" s="80"/>
    </row>
    <row r="305" spans="1:1" ht="19.5" customHeight="1" x14ac:dyDescent="0.2">
      <c r="A305" s="80" t="s">
        <v>2149</v>
      </c>
    </row>
    <row r="306" spans="1:1" ht="19.5" customHeight="1" x14ac:dyDescent="0.2">
      <c r="A306" s="80"/>
    </row>
    <row r="307" spans="1:1" ht="19.5" customHeight="1" x14ac:dyDescent="0.2">
      <c r="A307" s="83" t="s">
        <v>2710</v>
      </c>
    </row>
    <row r="308" spans="1:1" ht="19.5" customHeight="1" x14ac:dyDescent="0.2">
      <c r="A308" s="80"/>
    </row>
    <row r="309" spans="1:1" ht="19.5" customHeight="1" x14ac:dyDescent="0.2">
      <c r="A309" s="80" t="s">
        <v>2711</v>
      </c>
    </row>
    <row r="310" spans="1:1" ht="19.5" customHeight="1" x14ac:dyDescent="0.2">
      <c r="A310" s="80" t="s">
        <v>2712</v>
      </c>
    </row>
    <row r="311" spans="1:1" ht="19.5" customHeight="1" x14ac:dyDescent="0.2">
      <c r="A311" s="80"/>
    </row>
    <row r="312" spans="1:1" ht="19.5" customHeight="1" x14ac:dyDescent="0.2">
      <c r="A312" s="80" t="s">
        <v>2713</v>
      </c>
    </row>
    <row r="313" spans="1:1" ht="19.5" customHeight="1" x14ac:dyDescent="0.2">
      <c r="A313" s="80" t="s">
        <v>2714</v>
      </c>
    </row>
    <row r="314" spans="1:1" ht="19.5" customHeight="1" x14ac:dyDescent="0.2">
      <c r="A314" s="80"/>
    </row>
    <row r="315" spans="1:1" ht="19.5" customHeight="1" x14ac:dyDescent="0.2">
      <c r="A315" s="80" t="s">
        <v>2149</v>
      </c>
    </row>
    <row r="316" spans="1:1" ht="19.5" customHeight="1" x14ac:dyDescent="0.2">
      <c r="A316" s="83"/>
    </row>
    <row r="317" spans="1:1" ht="19.5" customHeight="1" x14ac:dyDescent="0.2">
      <c r="A317" s="83" t="s">
        <v>2715</v>
      </c>
    </row>
    <row r="318" spans="1:1" ht="19.5" customHeight="1" x14ac:dyDescent="0.2">
      <c r="A318" s="80"/>
    </row>
    <row r="319" spans="1:1" ht="19.5" customHeight="1" x14ac:dyDescent="0.2">
      <c r="A319" s="80" t="s">
        <v>2716</v>
      </c>
    </row>
    <row r="320" spans="1:1" ht="19.5" customHeight="1" x14ac:dyDescent="0.2">
      <c r="A320" s="80" t="s">
        <v>2717</v>
      </c>
    </row>
    <row r="321" spans="1:1" ht="19.5" customHeight="1" x14ac:dyDescent="0.2">
      <c r="A321" s="80"/>
    </row>
    <row r="322" spans="1:1" ht="19.5" customHeight="1" x14ac:dyDescent="0.2">
      <c r="A322" s="80" t="s">
        <v>2718</v>
      </c>
    </row>
    <row r="323" spans="1:1" ht="19.5" customHeight="1" x14ac:dyDescent="0.2">
      <c r="A323" s="80" t="s">
        <v>2719</v>
      </c>
    </row>
    <row r="324" spans="1:1" ht="19.5" customHeight="1" x14ac:dyDescent="0.2">
      <c r="A324" s="80"/>
    </row>
    <row r="325" spans="1:1" ht="19.5" customHeight="1" x14ac:dyDescent="0.2">
      <c r="A325" s="80" t="s">
        <v>2149</v>
      </c>
    </row>
    <row r="326" spans="1:1" ht="19.5" customHeight="1" x14ac:dyDescent="0.2">
      <c r="A326" s="80"/>
    </row>
    <row r="327" spans="1:1" ht="19.5" customHeight="1" x14ac:dyDescent="0.2">
      <c r="A327" s="83" t="s">
        <v>2720</v>
      </c>
    </row>
    <row r="328" spans="1:1" ht="19.5" customHeight="1" x14ac:dyDescent="0.2">
      <c r="A328" s="80"/>
    </row>
    <row r="329" spans="1:1" ht="19.5" customHeight="1" x14ac:dyDescent="0.2">
      <c r="A329" s="80" t="s">
        <v>2721</v>
      </c>
    </row>
    <row r="330" spans="1:1" ht="19.5" customHeight="1" x14ac:dyDescent="0.2">
      <c r="A330" s="80" t="s">
        <v>2722</v>
      </c>
    </row>
    <row r="331" spans="1:1" ht="19.5" customHeight="1" x14ac:dyDescent="0.2">
      <c r="A331" s="80"/>
    </row>
    <row r="332" spans="1:1" ht="19.5" customHeight="1" x14ac:dyDescent="0.2">
      <c r="A332" s="80" t="s">
        <v>2723</v>
      </c>
    </row>
    <row r="333" spans="1:1" ht="19.5" customHeight="1" x14ac:dyDescent="0.2">
      <c r="A333" s="80" t="s">
        <v>2724</v>
      </c>
    </row>
    <row r="334" spans="1:1" ht="19.5" customHeight="1" x14ac:dyDescent="0.2">
      <c r="A334" s="80"/>
    </row>
    <row r="335" spans="1:1" ht="19.5" customHeight="1" x14ac:dyDescent="0.2">
      <c r="A335" s="80" t="s">
        <v>2149</v>
      </c>
    </row>
    <row r="336" spans="1:1" ht="19.5" customHeight="1" x14ac:dyDescent="0.2">
      <c r="A336" s="80"/>
    </row>
    <row r="337" spans="1:1" ht="19.5" customHeight="1" x14ac:dyDescent="0.2">
      <c r="A337" s="80" t="s">
        <v>2725</v>
      </c>
    </row>
    <row r="338" spans="1:1" ht="19.5" customHeight="1" x14ac:dyDescent="0.2">
      <c r="A338" s="80"/>
    </row>
    <row r="339" spans="1:1" ht="19.5" customHeight="1" x14ac:dyDescent="0.2">
      <c r="A339" s="83" t="s">
        <v>2726</v>
      </c>
    </row>
    <row r="340" spans="1:1" ht="19.5" customHeight="1" x14ac:dyDescent="0.2">
      <c r="A340" s="80"/>
    </row>
    <row r="341" spans="1:1" ht="19.5" customHeight="1" x14ac:dyDescent="0.2">
      <c r="A341" s="80" t="s">
        <v>2711</v>
      </c>
    </row>
    <row r="342" spans="1:1" ht="19.5" customHeight="1" x14ac:dyDescent="0.2">
      <c r="A342" s="80" t="s">
        <v>2727</v>
      </c>
    </row>
    <row r="343" spans="1:1" ht="19.5" customHeight="1" x14ac:dyDescent="0.2">
      <c r="A343" s="80"/>
    </row>
    <row r="344" spans="1:1" ht="19.5" customHeight="1" x14ac:dyDescent="0.2">
      <c r="A344" s="80" t="s">
        <v>2584</v>
      </c>
    </row>
    <row r="345" spans="1:1" ht="19.5" customHeight="1" x14ac:dyDescent="0.2">
      <c r="A345" s="80" t="s">
        <v>2728</v>
      </c>
    </row>
    <row r="346" spans="1:1" ht="19.5" customHeight="1" x14ac:dyDescent="0.2">
      <c r="A346" s="80"/>
    </row>
    <row r="347" spans="1:1" ht="19.5" customHeight="1" x14ac:dyDescent="0.2">
      <c r="A347" s="80" t="s">
        <v>2149</v>
      </c>
    </row>
    <row r="348" spans="1:1" ht="19.5" customHeight="1" x14ac:dyDescent="0.2">
      <c r="A348" s="80"/>
    </row>
    <row r="349" spans="1:1" ht="19.5" customHeight="1" x14ac:dyDescent="0.2">
      <c r="A349" s="83" t="s">
        <v>2729</v>
      </c>
    </row>
    <row r="350" spans="1:1" ht="19.5" customHeight="1" x14ac:dyDescent="0.2">
      <c r="A350" s="80"/>
    </row>
    <row r="351" spans="1:1" ht="19.5" customHeight="1" x14ac:dyDescent="0.2">
      <c r="A351" s="80" t="s">
        <v>2730</v>
      </c>
    </row>
    <row r="352" spans="1:1" ht="19.5" customHeight="1" x14ac:dyDescent="0.2">
      <c r="A352" s="80" t="s">
        <v>2731</v>
      </c>
    </row>
    <row r="353" spans="1:1" ht="19.5" customHeight="1" x14ac:dyDescent="0.2">
      <c r="A353" s="80"/>
    </row>
    <row r="354" spans="1:1" ht="19.5" customHeight="1" x14ac:dyDescent="0.2">
      <c r="A354" s="80" t="s">
        <v>2732</v>
      </c>
    </row>
    <row r="355" spans="1:1" ht="19.5" customHeight="1" x14ac:dyDescent="0.2">
      <c r="A355" s="80" t="s">
        <v>2733</v>
      </c>
    </row>
    <row r="356" spans="1:1" ht="19.5" customHeight="1" x14ac:dyDescent="0.2">
      <c r="A356" s="80"/>
    </row>
    <row r="357" spans="1:1" ht="19.5" customHeight="1" x14ac:dyDescent="0.2">
      <c r="A357" s="80" t="s">
        <v>2149</v>
      </c>
    </row>
    <row r="358" spans="1:1" ht="19.5" customHeight="1" x14ac:dyDescent="0.2">
      <c r="A358" s="80"/>
    </row>
    <row r="359" spans="1:1" ht="19.5" customHeight="1" x14ac:dyDescent="0.2">
      <c r="A359" s="83" t="s">
        <v>2734</v>
      </c>
    </row>
    <row r="360" spans="1:1" ht="19.5" customHeight="1" x14ac:dyDescent="0.2">
      <c r="A360" s="80"/>
    </row>
    <row r="361" spans="1:1" ht="19.5" customHeight="1" x14ac:dyDescent="0.2">
      <c r="A361" s="80" t="s">
        <v>2735</v>
      </c>
    </row>
    <row r="362" spans="1:1" ht="19.5" customHeight="1" x14ac:dyDescent="0.2">
      <c r="A362" s="80" t="s">
        <v>2736</v>
      </c>
    </row>
    <row r="363" spans="1:1" ht="19.5" customHeight="1" x14ac:dyDescent="0.2">
      <c r="A363" s="80"/>
    </row>
    <row r="364" spans="1:1" ht="19.5" customHeight="1" x14ac:dyDescent="0.2">
      <c r="A364" s="80" t="s">
        <v>2737</v>
      </c>
    </row>
    <row r="365" spans="1:1" ht="19.5" customHeight="1" x14ac:dyDescent="0.2">
      <c r="A365" s="80" t="s">
        <v>2738</v>
      </c>
    </row>
    <row r="366" spans="1:1" ht="19.5" customHeight="1" x14ac:dyDescent="0.2">
      <c r="A366" s="80"/>
    </row>
    <row r="367" spans="1:1" ht="19.5" customHeight="1" x14ac:dyDescent="0.2">
      <c r="A367" s="80" t="s">
        <v>2149</v>
      </c>
    </row>
    <row r="368" spans="1:1" ht="19.5" customHeight="1" x14ac:dyDescent="0.2">
      <c r="A368" s="80"/>
    </row>
    <row r="369" spans="1:1" ht="19.5" customHeight="1" x14ac:dyDescent="0.2">
      <c r="A369" s="83" t="s">
        <v>2739</v>
      </c>
    </row>
    <row r="370" spans="1:1" ht="19.5" customHeight="1" x14ac:dyDescent="0.2">
      <c r="A370" s="80"/>
    </row>
    <row r="371" spans="1:1" ht="19.5" customHeight="1" x14ac:dyDescent="0.2">
      <c r="A371" s="80" t="s">
        <v>2740</v>
      </c>
    </row>
    <row r="372" spans="1:1" ht="19.5" customHeight="1" x14ac:dyDescent="0.2">
      <c r="A372" s="80" t="s">
        <v>2741</v>
      </c>
    </row>
    <row r="373" spans="1:1" ht="19.5" customHeight="1" x14ac:dyDescent="0.2">
      <c r="A373" s="80"/>
    </row>
    <row r="374" spans="1:1" ht="19.5" customHeight="1" x14ac:dyDescent="0.2">
      <c r="A374" s="80" t="s">
        <v>2742</v>
      </c>
    </row>
    <row r="375" spans="1:1" ht="19.5" customHeight="1" x14ac:dyDescent="0.2">
      <c r="A375" s="80" t="s">
        <v>2743</v>
      </c>
    </row>
    <row r="376" spans="1:1" ht="19.5" customHeight="1" x14ac:dyDescent="0.2">
      <c r="A376" s="80"/>
    </row>
    <row r="377" spans="1:1" ht="19.5" customHeight="1" x14ac:dyDescent="0.2">
      <c r="A377" s="80" t="s">
        <v>2149</v>
      </c>
    </row>
    <row r="378" spans="1:1" ht="19.5" customHeight="1" x14ac:dyDescent="0.2">
      <c r="A378" s="80"/>
    </row>
    <row r="379" spans="1:1" ht="19.5" customHeight="1" x14ac:dyDescent="0.2">
      <c r="A379" s="83" t="s">
        <v>2744</v>
      </c>
    </row>
    <row r="380" spans="1:1" ht="19.5" customHeight="1" x14ac:dyDescent="0.2">
      <c r="A380" s="80"/>
    </row>
    <row r="381" spans="1:1" ht="19.5" customHeight="1" x14ac:dyDescent="0.2">
      <c r="A381" s="80" t="s">
        <v>2745</v>
      </c>
    </row>
    <row r="382" spans="1:1" ht="19.5" customHeight="1" x14ac:dyDescent="0.2">
      <c r="A382" s="80" t="s">
        <v>2746</v>
      </c>
    </row>
    <row r="383" spans="1:1" ht="19.5" customHeight="1" x14ac:dyDescent="0.2">
      <c r="A383" s="80"/>
    </row>
    <row r="384" spans="1:1" ht="19.5" customHeight="1" x14ac:dyDescent="0.2">
      <c r="A384" s="80" t="s">
        <v>2747</v>
      </c>
    </row>
    <row r="385" spans="1:1" ht="19.5" customHeight="1" x14ac:dyDescent="0.2">
      <c r="A385" s="80" t="s">
        <v>2748</v>
      </c>
    </row>
    <row r="386" spans="1:1" ht="19.5" customHeight="1" x14ac:dyDescent="0.2">
      <c r="A386" s="80"/>
    </row>
    <row r="387" spans="1:1" ht="19.5" customHeight="1" x14ac:dyDescent="0.2">
      <c r="A387" s="80" t="s">
        <v>2149</v>
      </c>
    </row>
    <row r="388" spans="1:1" ht="19.5" customHeight="1" x14ac:dyDescent="0.2">
      <c r="A388" s="80"/>
    </row>
    <row r="389" spans="1:1" ht="19.5" customHeight="1" x14ac:dyDescent="0.2">
      <c r="A389" s="83" t="s">
        <v>2749</v>
      </c>
    </row>
    <row r="390" spans="1:1" ht="19.5" customHeight="1" x14ac:dyDescent="0.2">
      <c r="A390" s="80"/>
    </row>
    <row r="391" spans="1:1" ht="19.5" customHeight="1" x14ac:dyDescent="0.2">
      <c r="A391" s="80" t="s">
        <v>2750</v>
      </c>
    </row>
    <row r="392" spans="1:1" ht="19.5" customHeight="1" x14ac:dyDescent="0.2">
      <c r="A392" s="80" t="s">
        <v>2751</v>
      </c>
    </row>
    <row r="393" spans="1:1" ht="19.5" customHeight="1" x14ac:dyDescent="0.2">
      <c r="A393" s="80"/>
    </row>
    <row r="394" spans="1:1" ht="19.5" customHeight="1" x14ac:dyDescent="0.2">
      <c r="A394" s="80" t="s">
        <v>2752</v>
      </c>
    </row>
    <row r="395" spans="1:1" ht="19.5" customHeight="1" x14ac:dyDescent="0.2">
      <c r="A395" s="80" t="s">
        <v>2753</v>
      </c>
    </row>
    <row r="396" spans="1:1" ht="19.5" customHeight="1" x14ac:dyDescent="0.2">
      <c r="A396" s="80"/>
    </row>
    <row r="397" spans="1:1" ht="19.5" customHeight="1" x14ac:dyDescent="0.2">
      <c r="A397" s="80" t="s">
        <v>2149</v>
      </c>
    </row>
    <row r="398" spans="1:1" ht="19.5" customHeight="1" x14ac:dyDescent="0.2">
      <c r="A398" s="80"/>
    </row>
    <row r="399" spans="1:1" ht="19.5" customHeight="1" x14ac:dyDescent="0.2">
      <c r="A399" s="80" t="s">
        <v>2754</v>
      </c>
    </row>
    <row r="400" spans="1:1" ht="19.5" customHeight="1" x14ac:dyDescent="0.2">
      <c r="A400" s="80"/>
    </row>
    <row r="401" spans="1:1" ht="19.5" customHeight="1" x14ac:dyDescent="0.2">
      <c r="A401" s="78"/>
    </row>
    <row r="402" spans="1:1" ht="19.5" customHeight="1" x14ac:dyDescent="0.2">
      <c r="A402" s="78" t="s">
        <v>2755</v>
      </c>
    </row>
    <row r="403" spans="1:1" ht="19.5" customHeight="1" x14ac:dyDescent="0.2">
      <c r="A403" s="78"/>
    </row>
    <row r="404" spans="1:1" ht="19.5" customHeight="1" x14ac:dyDescent="0.2">
      <c r="A404" s="82" t="s">
        <v>2756</v>
      </c>
    </row>
    <row r="405" spans="1:1" ht="19.5" customHeight="1" x14ac:dyDescent="0.2">
      <c r="A405" s="80" t="s">
        <v>2757</v>
      </c>
    </row>
    <row r="406" spans="1:1" ht="19.5" customHeight="1" x14ac:dyDescent="0.2">
      <c r="A406" s="80" t="s">
        <v>2758</v>
      </c>
    </row>
    <row r="407" spans="1:1" ht="19.5" customHeight="1" x14ac:dyDescent="0.2">
      <c r="A407" s="80"/>
    </row>
    <row r="408" spans="1:1" ht="19.5" customHeight="1" x14ac:dyDescent="0.2">
      <c r="A408" s="82" t="s">
        <v>2759</v>
      </c>
    </row>
    <row r="409" spans="1:1" ht="19.5" customHeight="1" x14ac:dyDescent="0.2">
      <c r="A409" s="80" t="s">
        <v>2760</v>
      </c>
    </row>
    <row r="410" spans="1:1" ht="19.5" customHeight="1" x14ac:dyDescent="0.2">
      <c r="A410" s="80" t="s">
        <v>2761</v>
      </c>
    </row>
    <row r="411" spans="1:1" ht="19.5" customHeight="1" x14ac:dyDescent="0.2">
      <c r="A411" s="80"/>
    </row>
    <row r="412" spans="1:1" ht="19.5" customHeight="1" x14ac:dyDescent="0.2">
      <c r="A412" s="82" t="s">
        <v>2762</v>
      </c>
    </row>
    <row r="413" spans="1:1" ht="19.5" customHeight="1" x14ac:dyDescent="0.2">
      <c r="A413" s="80" t="s">
        <v>2763</v>
      </c>
    </row>
    <row r="414" spans="1:1" ht="19.5" customHeight="1" x14ac:dyDescent="0.2">
      <c r="A414" s="80" t="s">
        <v>2764</v>
      </c>
    </row>
    <row r="415" spans="1:1" ht="19.5" customHeight="1" x14ac:dyDescent="0.2">
      <c r="A415" s="80"/>
    </row>
    <row r="416" spans="1:1" ht="19.5" customHeight="1" x14ac:dyDescent="0.2">
      <c r="A416" s="83" t="s">
        <v>2765</v>
      </c>
    </row>
    <row r="417" spans="1:1" ht="19.5" customHeight="1" x14ac:dyDescent="0.2">
      <c r="A417" s="80"/>
    </row>
    <row r="418" spans="1:1" ht="19.5" customHeight="1" x14ac:dyDescent="0.2">
      <c r="A418" s="80" t="s">
        <v>2766</v>
      </c>
    </row>
    <row r="419" spans="1:1" ht="19.5" customHeight="1" x14ac:dyDescent="0.2">
      <c r="A419" s="80" t="s">
        <v>2767</v>
      </c>
    </row>
    <row r="420" spans="1:1" ht="19.5" customHeight="1" x14ac:dyDescent="0.2">
      <c r="A420" s="80"/>
    </row>
    <row r="421" spans="1:1" ht="19.5" customHeight="1" x14ac:dyDescent="0.2">
      <c r="A421" s="80" t="s">
        <v>2768</v>
      </c>
    </row>
    <row r="422" spans="1:1" ht="19.5" customHeight="1" x14ac:dyDescent="0.2">
      <c r="A422" s="80" t="s">
        <v>2769</v>
      </c>
    </row>
    <row r="423" spans="1:1" ht="19.5" customHeight="1" x14ac:dyDescent="0.2">
      <c r="A423" s="80"/>
    </row>
    <row r="424" spans="1:1" ht="19.5" customHeight="1" x14ac:dyDescent="0.2">
      <c r="A424" s="80" t="s">
        <v>2149</v>
      </c>
    </row>
    <row r="425" spans="1:1" ht="19.5" customHeight="1" x14ac:dyDescent="0.2">
      <c r="A425" s="83"/>
    </row>
    <row r="426" spans="1:1" ht="19.5" customHeight="1" x14ac:dyDescent="0.2">
      <c r="A426" s="83" t="s">
        <v>2770</v>
      </c>
    </row>
    <row r="427" spans="1:1" ht="19.5" customHeight="1" x14ac:dyDescent="0.2">
      <c r="A427" s="80"/>
    </row>
    <row r="428" spans="1:1" ht="19.5" customHeight="1" x14ac:dyDescent="0.2">
      <c r="A428" s="80" t="s">
        <v>2745</v>
      </c>
    </row>
    <row r="429" spans="1:1" ht="19.5" customHeight="1" x14ac:dyDescent="0.2">
      <c r="A429" s="80" t="s">
        <v>2771</v>
      </c>
    </row>
    <row r="430" spans="1:1" ht="19.5" customHeight="1" x14ac:dyDescent="0.2">
      <c r="A430" s="80"/>
    </row>
    <row r="431" spans="1:1" ht="19.5" customHeight="1" x14ac:dyDescent="0.2">
      <c r="A431" s="80" t="s">
        <v>2747</v>
      </c>
    </row>
    <row r="432" spans="1:1" ht="19.5" customHeight="1" x14ac:dyDescent="0.2">
      <c r="A432" s="80" t="s">
        <v>2772</v>
      </c>
    </row>
    <row r="433" spans="1:1" ht="19.5" customHeight="1" x14ac:dyDescent="0.2">
      <c r="A433" s="80"/>
    </row>
    <row r="434" spans="1:1" ht="19.5" customHeight="1" x14ac:dyDescent="0.2">
      <c r="A434" s="83" t="s">
        <v>2773</v>
      </c>
    </row>
    <row r="435" spans="1:1" ht="19.5" customHeight="1" x14ac:dyDescent="0.2">
      <c r="A435" s="80"/>
    </row>
    <row r="436" spans="1:1" ht="19.5" customHeight="1" x14ac:dyDescent="0.2">
      <c r="A436" s="80" t="s">
        <v>2774</v>
      </c>
    </row>
    <row r="437" spans="1:1" ht="19.5" customHeight="1" x14ac:dyDescent="0.2">
      <c r="A437" s="80" t="s">
        <v>2775</v>
      </c>
    </row>
    <row r="438" spans="1:1" ht="19.5" customHeight="1" x14ac:dyDescent="0.2">
      <c r="A438" s="80"/>
    </row>
    <row r="439" spans="1:1" ht="19.5" customHeight="1" x14ac:dyDescent="0.2">
      <c r="A439" s="80" t="s">
        <v>2776</v>
      </c>
    </row>
    <row r="440" spans="1:1" ht="19.5" customHeight="1" x14ac:dyDescent="0.2">
      <c r="A440" s="80" t="s">
        <v>2777</v>
      </c>
    </row>
    <row r="441" spans="1:1" ht="19.5" customHeight="1" x14ac:dyDescent="0.2">
      <c r="A441" s="80"/>
    </row>
    <row r="442" spans="1:1" ht="19.5" customHeight="1" x14ac:dyDescent="0.2">
      <c r="A442" s="80" t="s">
        <v>2149</v>
      </c>
    </row>
    <row r="443" spans="1:1" ht="19.5" customHeight="1" x14ac:dyDescent="0.2">
      <c r="A443" s="80"/>
    </row>
    <row r="444" spans="1:1" ht="19.5" customHeight="1" x14ac:dyDescent="0.2">
      <c r="A444" s="83" t="s">
        <v>2778</v>
      </c>
    </row>
    <row r="445" spans="1:1" ht="19.5" customHeight="1" x14ac:dyDescent="0.2">
      <c r="A445" s="80"/>
    </row>
    <row r="446" spans="1:1" ht="19.5" customHeight="1" x14ac:dyDescent="0.2">
      <c r="A446" s="80" t="s">
        <v>2779</v>
      </c>
    </row>
    <row r="447" spans="1:1" ht="19.5" customHeight="1" x14ac:dyDescent="0.2">
      <c r="A447" s="80" t="s">
        <v>2780</v>
      </c>
    </row>
    <row r="448" spans="1:1" ht="19.5" customHeight="1" x14ac:dyDescent="0.2">
      <c r="A448" s="80"/>
    </row>
    <row r="449" spans="1:1" ht="19.5" customHeight="1" x14ac:dyDescent="0.2">
      <c r="A449" s="80" t="s">
        <v>2781</v>
      </c>
    </row>
    <row r="450" spans="1:1" ht="19.5" customHeight="1" x14ac:dyDescent="0.2">
      <c r="A450" s="80" t="s">
        <v>2782</v>
      </c>
    </row>
    <row r="451" spans="1:1" ht="19.5" customHeight="1" x14ac:dyDescent="0.2">
      <c r="A451" s="80"/>
    </row>
    <row r="452" spans="1:1" ht="19.5" customHeight="1" x14ac:dyDescent="0.2">
      <c r="A452" s="80" t="s">
        <v>2149</v>
      </c>
    </row>
    <row r="453" spans="1:1" ht="19.5" customHeight="1" x14ac:dyDescent="0.2">
      <c r="A453" s="83"/>
    </row>
    <row r="454" spans="1:1" ht="19.5" customHeight="1" x14ac:dyDescent="0.2">
      <c r="A454" s="83" t="s">
        <v>2783</v>
      </c>
    </row>
    <row r="455" spans="1:1" ht="19.5" customHeight="1" x14ac:dyDescent="0.2">
      <c r="A455" s="80" t="s">
        <v>2784</v>
      </c>
    </row>
    <row r="456" spans="1:1" ht="19.5" customHeight="1" x14ac:dyDescent="0.2">
      <c r="A456" s="80" t="s">
        <v>2785</v>
      </c>
    </row>
    <row r="457" spans="1:1" ht="19.5" customHeight="1" x14ac:dyDescent="0.2">
      <c r="A457" s="80"/>
    </row>
    <row r="458" spans="1:1" ht="19.5" customHeight="1" x14ac:dyDescent="0.2">
      <c r="A458" s="80" t="s">
        <v>2786</v>
      </c>
    </row>
    <row r="459" spans="1:1" ht="19.5" customHeight="1" x14ac:dyDescent="0.2">
      <c r="A459" s="80" t="s">
        <v>2787</v>
      </c>
    </row>
    <row r="460" spans="1:1" ht="19.5" customHeight="1" x14ac:dyDescent="0.2">
      <c r="A460" s="80"/>
    </row>
    <row r="461" spans="1:1" ht="19.5" customHeight="1" x14ac:dyDescent="0.2">
      <c r="A461" s="80" t="s">
        <v>2149</v>
      </c>
    </row>
    <row r="462" spans="1:1" ht="19.5" customHeight="1" x14ac:dyDescent="0.2">
      <c r="A462" s="80"/>
    </row>
    <row r="463" spans="1:1" ht="19.5" customHeight="1" x14ac:dyDescent="0.2">
      <c r="A463" s="80" t="s">
        <v>2788</v>
      </c>
    </row>
    <row r="464" spans="1:1" ht="19.5" customHeight="1" x14ac:dyDescent="0.2">
      <c r="A464" s="80"/>
    </row>
    <row r="465" spans="1:1" ht="19.5" customHeight="1" x14ac:dyDescent="0.2">
      <c r="A465" s="78" t="s">
        <v>2789</v>
      </c>
    </row>
    <row r="466" spans="1:1" ht="19.5" customHeight="1" x14ac:dyDescent="0.2">
      <c r="A466" s="80"/>
    </row>
    <row r="467" spans="1:1" ht="19.5" customHeight="1" x14ac:dyDescent="0.2">
      <c r="A467" s="82" t="s">
        <v>2790</v>
      </c>
    </row>
    <row r="468" spans="1:1" ht="19.5" customHeight="1" x14ac:dyDescent="0.2">
      <c r="A468" s="80" t="s">
        <v>2791</v>
      </c>
    </row>
    <row r="469" spans="1:1" ht="19.5" customHeight="1" x14ac:dyDescent="0.2">
      <c r="A469" s="80" t="s">
        <v>2792</v>
      </c>
    </row>
    <row r="470" spans="1:1" ht="19.5" customHeight="1" x14ac:dyDescent="0.2">
      <c r="A470" s="80"/>
    </row>
    <row r="471" spans="1:1" ht="19.5" customHeight="1" x14ac:dyDescent="0.2">
      <c r="A471" s="86" t="s">
        <v>2793</v>
      </c>
    </row>
    <row r="472" spans="1:1" ht="19.5" customHeight="1" x14ac:dyDescent="0.2">
      <c r="A472" s="80" t="s">
        <v>2794</v>
      </c>
    </row>
    <row r="473" spans="1:1" ht="19.5" customHeight="1" x14ac:dyDescent="0.2">
      <c r="A473" s="80" t="s">
        <v>2795</v>
      </c>
    </row>
    <row r="474" spans="1:1" ht="19.5" customHeight="1" x14ac:dyDescent="0.2">
      <c r="A474" s="80"/>
    </row>
    <row r="475" spans="1:1" ht="19.5" customHeight="1" x14ac:dyDescent="0.2">
      <c r="A475" s="82" t="s">
        <v>2796</v>
      </c>
    </row>
    <row r="476" spans="1:1" ht="19.5" customHeight="1" x14ac:dyDescent="0.2">
      <c r="A476" s="80" t="s">
        <v>2797</v>
      </c>
    </row>
    <row r="477" spans="1:1" ht="19.5" customHeight="1" x14ac:dyDescent="0.2">
      <c r="A477" s="80" t="s">
        <v>2798</v>
      </c>
    </row>
    <row r="478" spans="1:1" ht="19.5" customHeight="1" x14ac:dyDescent="0.2">
      <c r="A478" s="80"/>
    </row>
    <row r="479" spans="1:1" ht="19.5" customHeight="1" x14ac:dyDescent="0.2">
      <c r="A479" s="83" t="s">
        <v>2799</v>
      </c>
    </row>
    <row r="480" spans="1:1" ht="19.5" customHeight="1" x14ac:dyDescent="0.2">
      <c r="A480" s="80"/>
    </row>
    <row r="481" spans="1:1" ht="19.5" customHeight="1" x14ac:dyDescent="0.2">
      <c r="A481" s="80" t="s">
        <v>2800</v>
      </c>
    </row>
    <row r="482" spans="1:1" ht="19.5" customHeight="1" x14ac:dyDescent="0.2">
      <c r="A482" s="80" t="s">
        <v>2801</v>
      </c>
    </row>
    <row r="483" spans="1:1" ht="19.5" customHeight="1" x14ac:dyDescent="0.2">
      <c r="A483" s="80"/>
    </row>
    <row r="484" spans="1:1" ht="19.5" customHeight="1" x14ac:dyDescent="0.2">
      <c r="A484" s="80" t="s">
        <v>2802</v>
      </c>
    </row>
    <row r="485" spans="1:1" ht="19.5" customHeight="1" x14ac:dyDescent="0.2">
      <c r="A485" s="80" t="s">
        <v>2803</v>
      </c>
    </row>
    <row r="486" spans="1:1" ht="19.5" customHeight="1" x14ac:dyDescent="0.2">
      <c r="A486" s="80"/>
    </row>
    <row r="487" spans="1:1" ht="19.5" customHeight="1" x14ac:dyDescent="0.2">
      <c r="A487" s="80" t="s">
        <v>2149</v>
      </c>
    </row>
    <row r="488" spans="1:1" ht="19.5" customHeight="1" x14ac:dyDescent="0.2">
      <c r="A488" s="80"/>
    </row>
    <row r="489" spans="1:1" ht="19.5" customHeight="1" x14ac:dyDescent="0.2">
      <c r="A489" s="80" t="s">
        <v>2804</v>
      </c>
    </row>
    <row r="490" spans="1:1" ht="19.5" customHeight="1" x14ac:dyDescent="0.2">
      <c r="A490" s="80"/>
    </row>
    <row r="491" spans="1:1" ht="19.5" customHeight="1" x14ac:dyDescent="0.2">
      <c r="A491" s="80" t="s">
        <v>2805</v>
      </c>
    </row>
    <row r="492" spans="1:1" ht="19.5" customHeight="1" x14ac:dyDescent="0.2">
      <c r="A492" s="80" t="s">
        <v>2806</v>
      </c>
    </row>
    <row r="493" spans="1:1" ht="19.5" customHeight="1" x14ac:dyDescent="0.2">
      <c r="A493" s="80"/>
    </row>
    <row r="494" spans="1:1" ht="19.5" customHeight="1" x14ac:dyDescent="0.2">
      <c r="A494" s="80" t="s">
        <v>2807</v>
      </c>
    </row>
    <row r="495" spans="1:1" ht="19.5" customHeight="1" x14ac:dyDescent="0.2">
      <c r="A495" s="80"/>
    </row>
    <row r="496" spans="1:1" ht="19.5" customHeight="1" x14ac:dyDescent="0.2">
      <c r="A496" s="78" t="s">
        <v>2808</v>
      </c>
    </row>
    <row r="497" spans="1:1" ht="19.5" customHeight="1" x14ac:dyDescent="0.2">
      <c r="A497" s="82" t="s">
        <v>2809</v>
      </c>
    </row>
    <row r="498" spans="1:1" ht="19.5" customHeight="1" x14ac:dyDescent="0.2">
      <c r="A498" s="80" t="s">
        <v>2810</v>
      </c>
    </row>
    <row r="499" spans="1:1" ht="19.5" customHeight="1" x14ac:dyDescent="0.2">
      <c r="A499" s="80" t="s">
        <v>2811</v>
      </c>
    </row>
    <row r="500" spans="1:1" ht="19.5" customHeight="1" x14ac:dyDescent="0.2">
      <c r="A500" s="80"/>
    </row>
    <row r="501" spans="1:1" ht="19.5" customHeight="1" x14ac:dyDescent="0.2">
      <c r="A501" s="82" t="s">
        <v>2812</v>
      </c>
    </row>
    <row r="502" spans="1:1" ht="19.5" customHeight="1" x14ac:dyDescent="0.2">
      <c r="A502" s="80" t="s">
        <v>2813</v>
      </c>
    </row>
    <row r="503" spans="1:1" ht="19.5" customHeight="1" x14ac:dyDescent="0.2">
      <c r="A503" s="80" t="s">
        <v>2814</v>
      </c>
    </row>
    <row r="504" spans="1:1" ht="15" customHeight="1" x14ac:dyDescent="0.2">
      <c r="A504" s="87"/>
    </row>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08"/>
  <sheetViews>
    <sheetView zoomScaleNormal="100" workbookViewId="0">
      <pane ySplit="1" topLeftCell="A2" activePane="bottomLeft" state="frozen"/>
      <selection pane="bottomLeft" activeCell="A2" sqref="A2"/>
    </sheetView>
  </sheetViews>
  <sheetFormatPr defaultColWidth="8.7109375" defaultRowHeight="12.75" x14ac:dyDescent="0.2"/>
  <cols>
    <col min="1" max="1" width="8" customWidth="1"/>
    <col min="2" max="2" width="31" customWidth="1"/>
    <col min="3" max="3" width="14" customWidth="1"/>
    <col min="4" max="4" width="12" customWidth="1"/>
    <col min="5" max="5" width="29" customWidth="1"/>
    <col min="6" max="6" width="20" customWidth="1"/>
    <col min="7" max="7" width="18" customWidth="1"/>
    <col min="8" max="8" width="28" customWidth="1"/>
    <col min="9" max="10" width="65" customWidth="1"/>
  </cols>
  <sheetData>
    <row r="1" spans="1:10" ht="28.5" customHeight="1" x14ac:dyDescent="0.2">
      <c r="A1" s="34" t="s">
        <v>0</v>
      </c>
      <c r="B1" s="34" t="s">
        <v>1</v>
      </c>
      <c r="C1" s="34" t="s">
        <v>2</v>
      </c>
      <c r="D1" s="34" t="s">
        <v>1251</v>
      </c>
      <c r="E1" s="34" t="s">
        <v>1376</v>
      </c>
      <c r="F1" s="34" t="s">
        <v>2815</v>
      </c>
      <c r="G1" s="34" t="s">
        <v>1375</v>
      </c>
      <c r="H1" s="34" t="s">
        <v>2816</v>
      </c>
      <c r="I1" s="34" t="s">
        <v>1377</v>
      </c>
      <c r="J1" s="34" t="s">
        <v>11</v>
      </c>
    </row>
    <row r="2" spans="1:10" ht="60" customHeight="1" x14ac:dyDescent="0.2">
      <c r="A2" s="35">
        <v>4</v>
      </c>
      <c r="B2" s="35" t="s">
        <v>39</v>
      </c>
      <c r="C2" s="35" t="s">
        <v>17</v>
      </c>
      <c r="D2" s="35">
        <v>1</v>
      </c>
      <c r="E2" s="35" t="s">
        <v>1378</v>
      </c>
      <c r="F2" s="35" t="s">
        <v>19</v>
      </c>
      <c r="G2" s="35" t="s">
        <v>40</v>
      </c>
      <c r="H2" s="37" t="s">
        <v>2817</v>
      </c>
      <c r="I2" s="35" t="s">
        <v>2818</v>
      </c>
      <c r="J2" s="35" t="s">
        <v>44</v>
      </c>
    </row>
    <row r="3" spans="1:10" ht="60" customHeight="1" x14ac:dyDescent="0.2">
      <c r="A3" s="35">
        <v>6</v>
      </c>
      <c r="B3" s="35" t="s">
        <v>52</v>
      </c>
      <c r="C3" s="35" t="s">
        <v>17</v>
      </c>
      <c r="D3" s="35">
        <v>1</v>
      </c>
      <c r="E3" s="35" t="s">
        <v>1385</v>
      </c>
      <c r="F3" s="35" t="s">
        <v>40</v>
      </c>
      <c r="G3" s="35" t="s">
        <v>40</v>
      </c>
      <c r="H3" s="36" t="s">
        <v>2819</v>
      </c>
      <c r="I3" s="35" t="s">
        <v>2820</v>
      </c>
      <c r="J3" s="35" t="s">
        <v>56</v>
      </c>
    </row>
    <row r="4" spans="1:10" ht="60" customHeight="1" x14ac:dyDescent="0.2">
      <c r="A4" s="35">
        <v>7</v>
      </c>
      <c r="B4" s="35" t="s">
        <v>58</v>
      </c>
      <c r="C4" s="35" t="s">
        <v>17</v>
      </c>
      <c r="D4" s="35">
        <v>1</v>
      </c>
      <c r="E4" s="35" t="s">
        <v>1378</v>
      </c>
      <c r="F4" s="35" t="s">
        <v>59</v>
      </c>
      <c r="G4" s="35" t="s">
        <v>59</v>
      </c>
      <c r="H4" s="36" t="s">
        <v>2819</v>
      </c>
      <c r="I4" s="35" t="s">
        <v>2821</v>
      </c>
      <c r="J4" s="35" t="s">
        <v>61</v>
      </c>
    </row>
    <row r="5" spans="1:10" ht="60" customHeight="1" x14ac:dyDescent="0.2">
      <c r="A5" s="35">
        <v>8</v>
      </c>
      <c r="B5" s="35" t="s">
        <v>63</v>
      </c>
      <c r="C5" s="35" t="s">
        <v>17</v>
      </c>
      <c r="D5" s="35">
        <v>1</v>
      </c>
      <c r="E5" s="35" t="s">
        <v>1378</v>
      </c>
      <c r="F5" s="35" t="s">
        <v>64</v>
      </c>
      <c r="G5" s="35" t="s">
        <v>64</v>
      </c>
      <c r="H5" s="36" t="s">
        <v>2819</v>
      </c>
      <c r="I5" s="35" t="s">
        <v>2821</v>
      </c>
      <c r="J5" s="35" t="s">
        <v>65</v>
      </c>
    </row>
    <row r="6" spans="1:10" ht="60" customHeight="1" x14ac:dyDescent="0.2">
      <c r="A6" s="35">
        <v>10</v>
      </c>
      <c r="B6" s="35" t="s">
        <v>72</v>
      </c>
      <c r="C6" s="35" t="s">
        <v>17</v>
      </c>
      <c r="D6" s="35">
        <v>1</v>
      </c>
      <c r="E6" s="35" t="s">
        <v>1385</v>
      </c>
      <c r="F6" s="35" t="s">
        <v>40</v>
      </c>
      <c r="G6" s="35" t="s">
        <v>40</v>
      </c>
      <c r="H6" s="36" t="s">
        <v>2819</v>
      </c>
      <c r="I6" s="35" t="s">
        <v>2820</v>
      </c>
      <c r="J6" s="35" t="s">
        <v>76</v>
      </c>
    </row>
    <row r="7" spans="1:10" ht="60" customHeight="1" x14ac:dyDescent="0.2">
      <c r="A7" s="35">
        <v>12</v>
      </c>
      <c r="B7" s="35" t="s">
        <v>84</v>
      </c>
      <c r="C7" s="35" t="s">
        <v>17</v>
      </c>
      <c r="D7" s="35">
        <v>1</v>
      </c>
      <c r="E7" s="35" t="s">
        <v>1378</v>
      </c>
      <c r="F7" s="35" t="s">
        <v>19</v>
      </c>
      <c r="G7" s="35" t="s">
        <v>19</v>
      </c>
      <c r="H7" s="36" t="s">
        <v>2819</v>
      </c>
      <c r="I7" s="35" t="s">
        <v>2821</v>
      </c>
      <c r="J7" s="35" t="s">
        <v>85</v>
      </c>
    </row>
    <row r="8" spans="1:10" ht="60" customHeight="1" x14ac:dyDescent="0.2">
      <c r="A8" s="35">
        <v>13</v>
      </c>
      <c r="B8" s="35" t="s">
        <v>87</v>
      </c>
      <c r="C8" s="35" t="s">
        <v>17</v>
      </c>
      <c r="D8" s="35">
        <v>1</v>
      </c>
      <c r="E8" s="35" t="s">
        <v>1378</v>
      </c>
      <c r="F8" s="35" t="s">
        <v>19</v>
      </c>
      <c r="G8" s="35" t="s">
        <v>40</v>
      </c>
      <c r="H8" s="37" t="s">
        <v>2817</v>
      </c>
      <c r="I8" s="35" t="s">
        <v>2818</v>
      </c>
      <c r="J8" s="35" t="s">
        <v>90</v>
      </c>
    </row>
    <row r="9" spans="1:10" ht="60" customHeight="1" x14ac:dyDescent="0.2">
      <c r="A9" s="35">
        <v>16</v>
      </c>
      <c r="B9" s="35" t="s">
        <v>99</v>
      </c>
      <c r="C9" s="35" t="s">
        <v>17</v>
      </c>
      <c r="D9" s="35">
        <v>1</v>
      </c>
      <c r="E9" s="35" t="s">
        <v>1378</v>
      </c>
      <c r="F9" s="35" t="s">
        <v>19</v>
      </c>
      <c r="G9" s="35" t="s">
        <v>19</v>
      </c>
      <c r="H9" s="36" t="s">
        <v>2819</v>
      </c>
      <c r="I9" s="35" t="s">
        <v>2821</v>
      </c>
      <c r="J9" s="35" t="s">
        <v>100</v>
      </c>
    </row>
    <row r="10" spans="1:10" ht="60" customHeight="1" x14ac:dyDescent="0.2">
      <c r="A10" s="35">
        <v>17</v>
      </c>
      <c r="B10" s="35" t="s">
        <v>103</v>
      </c>
      <c r="C10" s="35" t="s">
        <v>17</v>
      </c>
      <c r="D10" s="35">
        <v>1</v>
      </c>
      <c r="E10" s="35" t="s">
        <v>1397</v>
      </c>
      <c r="F10" s="35" t="s">
        <v>41</v>
      </c>
      <c r="G10" s="35" t="s">
        <v>41</v>
      </c>
      <c r="H10" s="36" t="s">
        <v>2819</v>
      </c>
      <c r="I10" s="35" t="s">
        <v>2822</v>
      </c>
      <c r="J10" s="35" t="s">
        <v>104</v>
      </c>
    </row>
    <row r="11" spans="1:10" ht="60" customHeight="1" x14ac:dyDescent="0.2">
      <c r="A11" s="35">
        <v>18</v>
      </c>
      <c r="B11" s="35" t="s">
        <v>106</v>
      </c>
      <c r="C11" s="35" t="s">
        <v>17</v>
      </c>
      <c r="D11" s="35">
        <v>1</v>
      </c>
      <c r="E11" s="35" t="s">
        <v>1378</v>
      </c>
      <c r="F11" s="35" t="s">
        <v>59</v>
      </c>
      <c r="G11" s="35" t="s">
        <v>59</v>
      </c>
      <c r="H11" s="36" t="s">
        <v>2819</v>
      </c>
      <c r="I11" s="35" t="s">
        <v>2821</v>
      </c>
      <c r="J11" s="35" t="s">
        <v>107</v>
      </c>
    </row>
    <row r="12" spans="1:10" ht="60" customHeight="1" x14ac:dyDescent="0.2">
      <c r="A12" s="35">
        <v>20</v>
      </c>
      <c r="B12" s="35" t="s">
        <v>115</v>
      </c>
      <c r="C12" s="35" t="s">
        <v>17</v>
      </c>
      <c r="D12" s="35">
        <v>1</v>
      </c>
      <c r="E12" s="35" t="s">
        <v>1385</v>
      </c>
      <c r="F12" s="35" t="s">
        <v>40</v>
      </c>
      <c r="G12" s="35" t="s">
        <v>40</v>
      </c>
      <c r="H12" s="36" t="s">
        <v>2819</v>
      </c>
      <c r="I12" s="35" t="s">
        <v>2820</v>
      </c>
      <c r="J12" s="35" t="s">
        <v>117</v>
      </c>
    </row>
    <row r="13" spans="1:10" ht="60" customHeight="1" x14ac:dyDescent="0.2">
      <c r="A13" s="35">
        <v>21</v>
      </c>
      <c r="B13" s="35" t="s">
        <v>119</v>
      </c>
      <c r="C13" s="35" t="s">
        <v>17</v>
      </c>
      <c r="D13" s="35">
        <v>1</v>
      </c>
      <c r="E13" s="35" t="s">
        <v>1378</v>
      </c>
      <c r="F13" s="35" t="s">
        <v>19</v>
      </c>
      <c r="G13" s="35" t="s">
        <v>41</v>
      </c>
      <c r="H13" s="39" t="s">
        <v>2823</v>
      </c>
      <c r="I13" s="35" t="s">
        <v>2824</v>
      </c>
      <c r="J13" s="35" t="s">
        <v>120</v>
      </c>
    </row>
    <row r="14" spans="1:10" ht="60" customHeight="1" x14ac:dyDescent="0.2">
      <c r="A14" s="35">
        <v>22</v>
      </c>
      <c r="B14" s="35" t="s">
        <v>122</v>
      </c>
      <c r="C14" s="35" t="s">
        <v>17</v>
      </c>
      <c r="D14" s="35">
        <v>1</v>
      </c>
      <c r="E14" s="35" t="s">
        <v>1378</v>
      </c>
      <c r="F14" s="35" t="s">
        <v>19</v>
      </c>
      <c r="G14" s="35" t="s">
        <v>40</v>
      </c>
      <c r="H14" s="37" t="s">
        <v>2817</v>
      </c>
      <c r="I14" s="35" t="s">
        <v>2818</v>
      </c>
      <c r="J14" s="35" t="s">
        <v>124</v>
      </c>
    </row>
    <row r="15" spans="1:10" ht="60" customHeight="1" x14ac:dyDescent="0.2">
      <c r="A15" s="35">
        <v>24</v>
      </c>
      <c r="B15" s="35" t="s">
        <v>131</v>
      </c>
      <c r="C15" s="35" t="s">
        <v>17</v>
      </c>
      <c r="D15" s="35">
        <v>1</v>
      </c>
      <c r="E15" s="35" t="s">
        <v>1378</v>
      </c>
      <c r="F15" s="35" t="s">
        <v>19</v>
      </c>
      <c r="G15" s="35" t="s">
        <v>41</v>
      </c>
      <c r="H15" s="39" t="s">
        <v>2823</v>
      </c>
      <c r="I15" s="35" t="s">
        <v>2824</v>
      </c>
      <c r="J15" s="35" t="s">
        <v>133</v>
      </c>
    </row>
    <row r="16" spans="1:10" ht="60" customHeight="1" x14ac:dyDescent="0.2">
      <c r="A16" s="35">
        <v>30</v>
      </c>
      <c r="B16" s="35" t="s">
        <v>150</v>
      </c>
      <c r="C16" s="35" t="s">
        <v>17</v>
      </c>
      <c r="D16" s="35">
        <v>1</v>
      </c>
      <c r="E16" s="35" t="s">
        <v>1385</v>
      </c>
      <c r="F16" s="35" t="s">
        <v>40</v>
      </c>
      <c r="G16" s="35" t="s">
        <v>40</v>
      </c>
      <c r="H16" s="36" t="s">
        <v>2819</v>
      </c>
      <c r="I16" s="35" t="s">
        <v>2820</v>
      </c>
      <c r="J16" s="35" t="s">
        <v>151</v>
      </c>
    </row>
    <row r="17" spans="1:10" ht="60" customHeight="1" x14ac:dyDescent="0.2">
      <c r="A17" s="35">
        <v>33</v>
      </c>
      <c r="B17" s="35" t="s">
        <v>162</v>
      </c>
      <c r="C17" s="35" t="s">
        <v>17</v>
      </c>
      <c r="D17" s="35">
        <v>1</v>
      </c>
      <c r="E17" s="35" t="s">
        <v>1385</v>
      </c>
      <c r="F17" s="35" t="s">
        <v>40</v>
      </c>
      <c r="G17" s="35" t="s">
        <v>40</v>
      </c>
      <c r="H17" s="36" t="s">
        <v>2819</v>
      </c>
      <c r="I17" s="35" t="s">
        <v>2820</v>
      </c>
      <c r="J17" s="35" t="s">
        <v>165</v>
      </c>
    </row>
    <row r="18" spans="1:10" ht="60" customHeight="1" x14ac:dyDescent="0.2">
      <c r="A18" s="35">
        <v>35</v>
      </c>
      <c r="B18" s="35" t="s">
        <v>170</v>
      </c>
      <c r="C18" s="35" t="s">
        <v>17</v>
      </c>
      <c r="D18" s="35">
        <v>1</v>
      </c>
      <c r="E18" s="35" t="s">
        <v>1414</v>
      </c>
      <c r="F18" s="35" t="s">
        <v>59</v>
      </c>
      <c r="G18" s="35" t="s">
        <v>59</v>
      </c>
      <c r="H18" s="36" t="s">
        <v>2819</v>
      </c>
      <c r="I18" s="35" t="s">
        <v>2825</v>
      </c>
      <c r="J18" s="35" t="s">
        <v>171</v>
      </c>
    </row>
    <row r="19" spans="1:10" ht="60" customHeight="1" x14ac:dyDescent="0.2">
      <c r="A19" s="35">
        <v>36</v>
      </c>
      <c r="B19" s="35" t="s">
        <v>173</v>
      </c>
      <c r="C19" s="35" t="s">
        <v>17</v>
      </c>
      <c r="D19" s="35">
        <v>1</v>
      </c>
      <c r="E19" s="35" t="s">
        <v>1378</v>
      </c>
      <c r="F19" s="35" t="s">
        <v>19</v>
      </c>
      <c r="G19" s="35" t="s">
        <v>41</v>
      </c>
      <c r="H19" s="39" t="s">
        <v>2823</v>
      </c>
      <c r="I19" s="35" t="s">
        <v>2824</v>
      </c>
      <c r="J19" s="35" t="s">
        <v>175</v>
      </c>
    </row>
    <row r="20" spans="1:10" ht="60" customHeight="1" x14ac:dyDescent="0.2">
      <c r="A20" s="35">
        <v>37</v>
      </c>
      <c r="B20" s="35" t="s">
        <v>177</v>
      </c>
      <c r="C20" s="35" t="s">
        <v>17</v>
      </c>
      <c r="D20" s="35">
        <v>1</v>
      </c>
      <c r="E20" s="35" t="s">
        <v>1385</v>
      </c>
      <c r="F20" s="35" t="s">
        <v>40</v>
      </c>
      <c r="G20" s="35" t="s">
        <v>40</v>
      </c>
      <c r="H20" s="36" t="s">
        <v>2819</v>
      </c>
      <c r="I20" s="35" t="s">
        <v>2820</v>
      </c>
      <c r="J20" s="35" t="s">
        <v>179</v>
      </c>
    </row>
    <row r="21" spans="1:10" ht="60" customHeight="1" x14ac:dyDescent="0.2">
      <c r="A21" s="35">
        <v>40</v>
      </c>
      <c r="B21" s="35" t="s">
        <v>187</v>
      </c>
      <c r="C21" s="35" t="s">
        <v>17</v>
      </c>
      <c r="D21" s="35">
        <v>1</v>
      </c>
      <c r="E21" s="35" t="s">
        <v>1378</v>
      </c>
      <c r="F21" s="35" t="s">
        <v>19</v>
      </c>
      <c r="G21" s="35" t="s">
        <v>59</v>
      </c>
      <c r="H21" s="37" t="s">
        <v>2817</v>
      </c>
      <c r="I21" s="35" t="s">
        <v>2826</v>
      </c>
      <c r="J21" s="35" t="s">
        <v>188</v>
      </c>
    </row>
    <row r="22" spans="1:10" ht="60" customHeight="1" x14ac:dyDescent="0.2">
      <c r="A22" s="35">
        <v>42</v>
      </c>
      <c r="B22" s="35" t="s">
        <v>193</v>
      </c>
      <c r="C22" s="35" t="s">
        <v>17</v>
      </c>
      <c r="D22" s="35">
        <v>1</v>
      </c>
      <c r="E22" s="35" t="s">
        <v>1378</v>
      </c>
      <c r="F22" s="35" t="s">
        <v>19</v>
      </c>
      <c r="G22" s="35" t="s">
        <v>40</v>
      </c>
      <c r="H22" s="36" t="s">
        <v>2827</v>
      </c>
      <c r="I22" s="35" t="s">
        <v>2818</v>
      </c>
      <c r="J22" s="35" t="s">
        <v>194</v>
      </c>
    </row>
    <row r="23" spans="1:10" ht="60" customHeight="1" x14ac:dyDescent="0.2">
      <c r="A23" s="35">
        <v>43</v>
      </c>
      <c r="B23" s="35" t="s">
        <v>196</v>
      </c>
      <c r="C23" s="35" t="s">
        <v>17</v>
      </c>
      <c r="D23" s="35">
        <v>1</v>
      </c>
      <c r="E23" s="35" t="s">
        <v>1378</v>
      </c>
      <c r="F23" s="35" t="s">
        <v>19</v>
      </c>
      <c r="G23" s="35" t="s">
        <v>41</v>
      </c>
      <c r="H23" s="39" t="s">
        <v>2823</v>
      </c>
      <c r="I23" s="35" t="s">
        <v>2824</v>
      </c>
      <c r="J23" s="35" t="s">
        <v>197</v>
      </c>
    </row>
    <row r="24" spans="1:10" ht="60" customHeight="1" x14ac:dyDescent="0.2">
      <c r="A24" s="35">
        <v>45</v>
      </c>
      <c r="B24" s="35" t="s">
        <v>202</v>
      </c>
      <c r="C24" s="35" t="s">
        <v>17</v>
      </c>
      <c r="D24" s="35">
        <v>1</v>
      </c>
      <c r="E24" s="35" t="s">
        <v>1378</v>
      </c>
      <c r="F24" s="35" t="s">
        <v>19</v>
      </c>
      <c r="G24" s="35" t="s">
        <v>41</v>
      </c>
      <c r="H24" s="39" t="s">
        <v>2823</v>
      </c>
      <c r="I24" s="35" t="s">
        <v>2824</v>
      </c>
      <c r="J24" s="35" t="s">
        <v>203</v>
      </c>
    </row>
    <row r="25" spans="1:10" ht="60" customHeight="1" x14ac:dyDescent="0.2">
      <c r="A25" s="35">
        <v>46</v>
      </c>
      <c r="B25" s="35" t="s">
        <v>205</v>
      </c>
      <c r="C25" s="35" t="s">
        <v>17</v>
      </c>
      <c r="D25" s="35">
        <v>1</v>
      </c>
      <c r="E25" s="35" t="s">
        <v>1397</v>
      </c>
      <c r="F25" s="35" t="s">
        <v>41</v>
      </c>
      <c r="G25" s="35" t="s">
        <v>41</v>
      </c>
      <c r="H25" s="36" t="s">
        <v>2819</v>
      </c>
      <c r="I25" s="35" t="s">
        <v>2828</v>
      </c>
      <c r="J25" s="35" t="s">
        <v>206</v>
      </c>
    </row>
    <row r="26" spans="1:10" ht="60" customHeight="1" x14ac:dyDescent="0.2">
      <c r="A26" s="35">
        <v>54</v>
      </c>
      <c r="B26" s="35" t="s">
        <v>234</v>
      </c>
      <c r="C26" s="35" t="s">
        <v>17</v>
      </c>
      <c r="D26" s="35">
        <v>1</v>
      </c>
      <c r="E26" s="35" t="s">
        <v>1378</v>
      </c>
      <c r="F26" s="35" t="s">
        <v>59</v>
      </c>
      <c r="G26" s="35" t="s">
        <v>59</v>
      </c>
      <c r="H26" s="36" t="s">
        <v>2819</v>
      </c>
      <c r="I26" s="35" t="s">
        <v>2821</v>
      </c>
      <c r="J26" s="35" t="s">
        <v>235</v>
      </c>
    </row>
    <row r="27" spans="1:10" ht="60" customHeight="1" x14ac:dyDescent="0.2">
      <c r="A27" s="35">
        <v>55</v>
      </c>
      <c r="B27" s="35" t="s">
        <v>237</v>
      </c>
      <c r="C27" s="35" t="s">
        <v>17</v>
      </c>
      <c r="D27" s="35">
        <v>1</v>
      </c>
      <c r="E27" s="35" t="s">
        <v>1432</v>
      </c>
      <c r="F27" s="35" t="s">
        <v>64</v>
      </c>
      <c r="G27" s="35" t="s">
        <v>64</v>
      </c>
      <c r="H27" s="36" t="s">
        <v>2819</v>
      </c>
      <c r="I27" s="35" t="s">
        <v>2829</v>
      </c>
      <c r="J27" s="35" t="s">
        <v>238</v>
      </c>
    </row>
    <row r="28" spans="1:10" ht="60" customHeight="1" x14ac:dyDescent="0.2">
      <c r="A28" s="35">
        <v>56</v>
      </c>
      <c r="B28" s="35" t="s">
        <v>240</v>
      </c>
      <c r="C28" s="35" t="s">
        <v>17</v>
      </c>
      <c r="D28" s="35">
        <v>1</v>
      </c>
      <c r="E28" s="35" t="s">
        <v>1434</v>
      </c>
      <c r="F28" s="35" t="s">
        <v>212</v>
      </c>
      <c r="G28" s="35" t="s">
        <v>212</v>
      </c>
      <c r="H28" s="36" t="s">
        <v>2819</v>
      </c>
      <c r="I28" s="35" t="s">
        <v>2830</v>
      </c>
      <c r="J28" s="35" t="s">
        <v>241</v>
      </c>
    </row>
    <row r="29" spans="1:10" ht="60" customHeight="1" x14ac:dyDescent="0.2">
      <c r="A29" s="35">
        <v>57</v>
      </c>
      <c r="B29" s="35" t="s">
        <v>243</v>
      </c>
      <c r="C29" s="35" t="s">
        <v>17</v>
      </c>
      <c r="D29" s="35">
        <v>0</v>
      </c>
      <c r="E29" s="35"/>
      <c r="F29" s="35" t="s">
        <v>19</v>
      </c>
      <c r="G29" s="35" t="s">
        <v>245</v>
      </c>
      <c r="H29" s="39" t="s">
        <v>2823</v>
      </c>
      <c r="I29" s="35" t="s">
        <v>2831</v>
      </c>
      <c r="J29" s="35" t="s">
        <v>246</v>
      </c>
    </row>
    <row r="30" spans="1:10" ht="60" customHeight="1" x14ac:dyDescent="0.2">
      <c r="A30" s="35">
        <v>60</v>
      </c>
      <c r="B30" s="35" t="s">
        <v>254</v>
      </c>
      <c r="C30" s="35" t="s">
        <v>17</v>
      </c>
      <c r="D30" s="35">
        <v>0</v>
      </c>
      <c r="E30" s="35"/>
      <c r="F30" s="35" t="s">
        <v>19</v>
      </c>
      <c r="G30" s="35" t="s">
        <v>245</v>
      </c>
      <c r="H30" s="39" t="s">
        <v>2823</v>
      </c>
      <c r="I30" s="35" t="s">
        <v>2831</v>
      </c>
      <c r="J30" s="35" t="s">
        <v>255</v>
      </c>
    </row>
    <row r="31" spans="1:10" ht="60" customHeight="1" x14ac:dyDescent="0.2">
      <c r="A31" s="35">
        <v>76</v>
      </c>
      <c r="B31" s="35" t="s">
        <v>314</v>
      </c>
      <c r="C31" s="35" t="s">
        <v>268</v>
      </c>
      <c r="D31" s="35">
        <v>1</v>
      </c>
      <c r="E31" s="35" t="s">
        <v>1437</v>
      </c>
      <c r="F31" s="35" t="s">
        <v>64</v>
      </c>
      <c r="G31" s="35" t="s">
        <v>64</v>
      </c>
      <c r="H31" s="36" t="s">
        <v>2819</v>
      </c>
      <c r="I31" s="35" t="s">
        <v>2832</v>
      </c>
      <c r="J31" s="35" t="s">
        <v>316</v>
      </c>
    </row>
    <row r="32" spans="1:10" ht="60" customHeight="1" x14ac:dyDescent="0.2">
      <c r="A32" s="35">
        <v>82</v>
      </c>
      <c r="B32" s="35" t="s">
        <v>334</v>
      </c>
      <c r="C32" s="35" t="s">
        <v>268</v>
      </c>
      <c r="D32" s="35">
        <v>1</v>
      </c>
      <c r="E32" s="35" t="s">
        <v>1378</v>
      </c>
      <c r="F32" s="35" t="s">
        <v>79</v>
      </c>
      <c r="G32" s="35" t="s">
        <v>40</v>
      </c>
      <c r="H32" s="37" t="s">
        <v>2817</v>
      </c>
      <c r="I32" s="35" t="s">
        <v>2833</v>
      </c>
      <c r="J32" s="35" t="s">
        <v>336</v>
      </c>
    </row>
    <row r="33" spans="1:10" ht="60" customHeight="1" x14ac:dyDescent="0.2">
      <c r="A33" s="35">
        <v>89</v>
      </c>
      <c r="B33" s="35" t="s">
        <v>355</v>
      </c>
      <c r="C33" s="35" t="s">
        <v>268</v>
      </c>
      <c r="D33" s="35">
        <v>1</v>
      </c>
      <c r="E33" s="35" t="s">
        <v>1460</v>
      </c>
      <c r="F33" s="35" t="s">
        <v>356</v>
      </c>
      <c r="G33" s="35" t="s">
        <v>356</v>
      </c>
      <c r="H33" s="36" t="s">
        <v>2819</v>
      </c>
      <c r="I33" s="35" t="s">
        <v>2834</v>
      </c>
      <c r="J33" s="35" t="s">
        <v>358</v>
      </c>
    </row>
    <row r="34" spans="1:10" ht="60" customHeight="1" x14ac:dyDescent="0.2">
      <c r="A34" s="35">
        <v>99</v>
      </c>
      <c r="B34" s="35" t="s">
        <v>391</v>
      </c>
      <c r="C34" s="35" t="s">
        <v>268</v>
      </c>
      <c r="D34" s="35">
        <v>1</v>
      </c>
      <c r="E34" s="35" t="s">
        <v>1442</v>
      </c>
      <c r="F34" s="35" t="s">
        <v>79</v>
      </c>
      <c r="G34" s="35" t="s">
        <v>299</v>
      </c>
      <c r="H34" s="36" t="s">
        <v>2835</v>
      </c>
      <c r="I34" s="35" t="s">
        <v>2836</v>
      </c>
      <c r="J34" s="35" t="s">
        <v>395</v>
      </c>
    </row>
    <row r="35" spans="1:10" ht="60" customHeight="1" x14ac:dyDescent="0.2">
      <c r="A35" s="35">
        <v>101</v>
      </c>
      <c r="B35" s="35" t="s">
        <v>402</v>
      </c>
      <c r="C35" s="35" t="s">
        <v>268</v>
      </c>
      <c r="D35" s="35">
        <v>1</v>
      </c>
      <c r="E35" s="35" t="s">
        <v>1442</v>
      </c>
      <c r="F35" s="35" t="s">
        <v>79</v>
      </c>
      <c r="G35" s="35" t="s">
        <v>299</v>
      </c>
      <c r="H35" s="36" t="s">
        <v>2835</v>
      </c>
      <c r="I35" s="35" t="s">
        <v>2836</v>
      </c>
      <c r="J35" s="35" t="s">
        <v>404</v>
      </c>
    </row>
    <row r="36" spans="1:10" ht="60" customHeight="1" x14ac:dyDescent="0.2">
      <c r="A36" s="35">
        <v>104</v>
      </c>
      <c r="B36" s="35" t="s">
        <v>411</v>
      </c>
      <c r="C36" s="35" t="s">
        <v>268</v>
      </c>
      <c r="D36" s="35">
        <v>0</v>
      </c>
      <c r="E36" s="35"/>
      <c r="F36" s="35" t="s">
        <v>79</v>
      </c>
      <c r="G36" s="35" t="s">
        <v>412</v>
      </c>
      <c r="H36" s="36" t="s">
        <v>2819</v>
      </c>
      <c r="I36" s="35" t="s">
        <v>2837</v>
      </c>
      <c r="J36" s="35" t="s">
        <v>414</v>
      </c>
    </row>
    <row r="37" spans="1:10" ht="60" customHeight="1" x14ac:dyDescent="0.2">
      <c r="A37" s="35">
        <v>108</v>
      </c>
      <c r="B37" s="35" t="s">
        <v>426</v>
      </c>
      <c r="C37" s="35" t="s">
        <v>268</v>
      </c>
      <c r="D37" s="35">
        <v>0</v>
      </c>
      <c r="E37" s="35"/>
      <c r="F37" s="35" t="s">
        <v>79</v>
      </c>
      <c r="G37" s="35" t="s">
        <v>412</v>
      </c>
      <c r="H37" s="36" t="s">
        <v>2819</v>
      </c>
      <c r="I37" s="35" t="s">
        <v>2837</v>
      </c>
      <c r="J37" s="35" t="s">
        <v>428</v>
      </c>
    </row>
    <row r="38" spans="1:10" ht="60" customHeight="1" x14ac:dyDescent="0.2">
      <c r="A38" s="35">
        <v>113</v>
      </c>
      <c r="B38" s="35" t="s">
        <v>444</v>
      </c>
      <c r="C38" s="35" t="s">
        <v>268</v>
      </c>
      <c r="D38" s="35">
        <v>0</v>
      </c>
      <c r="E38" s="35"/>
      <c r="F38" s="35" t="s">
        <v>79</v>
      </c>
      <c r="G38" s="35" t="s">
        <v>245</v>
      </c>
      <c r="H38" s="39" t="s">
        <v>2823</v>
      </c>
      <c r="I38" s="35" t="s">
        <v>2838</v>
      </c>
      <c r="J38" s="35" t="s">
        <v>448</v>
      </c>
    </row>
    <row r="39" spans="1:10" ht="60" customHeight="1" x14ac:dyDescent="0.2">
      <c r="A39" s="35">
        <v>115</v>
      </c>
      <c r="B39" s="35" t="s">
        <v>456</v>
      </c>
      <c r="C39" s="35" t="s">
        <v>268</v>
      </c>
      <c r="D39" s="35">
        <v>0</v>
      </c>
      <c r="E39" s="35"/>
      <c r="F39" s="35" t="s">
        <v>356</v>
      </c>
      <c r="G39" s="35" t="s">
        <v>356</v>
      </c>
      <c r="H39" s="36" t="s">
        <v>2819</v>
      </c>
      <c r="I39" s="35" t="s">
        <v>2839</v>
      </c>
      <c r="J39" s="35" t="s">
        <v>459</v>
      </c>
    </row>
    <row r="40" spans="1:10" ht="60" customHeight="1" x14ac:dyDescent="0.2">
      <c r="A40" s="35">
        <v>117</v>
      </c>
      <c r="B40" s="35" t="s">
        <v>463</v>
      </c>
      <c r="C40" s="35" t="s">
        <v>268</v>
      </c>
      <c r="D40" s="35">
        <v>0</v>
      </c>
      <c r="E40" s="35"/>
      <c r="F40" s="35" t="s">
        <v>79</v>
      </c>
      <c r="G40" s="35" t="s">
        <v>412</v>
      </c>
      <c r="H40" s="36" t="s">
        <v>2819</v>
      </c>
      <c r="I40" s="35" t="s">
        <v>2837</v>
      </c>
      <c r="J40" s="35" t="s">
        <v>465</v>
      </c>
    </row>
    <row r="41" spans="1:10" ht="60" customHeight="1" x14ac:dyDescent="0.2">
      <c r="A41" s="35">
        <v>119</v>
      </c>
      <c r="B41" s="35" t="s">
        <v>469</v>
      </c>
      <c r="C41" s="35" t="s">
        <v>268</v>
      </c>
      <c r="D41" s="35">
        <v>0</v>
      </c>
      <c r="E41" s="35"/>
      <c r="F41" s="35" t="s">
        <v>79</v>
      </c>
      <c r="G41" s="35" t="s">
        <v>412</v>
      </c>
      <c r="H41" s="36" t="s">
        <v>2819</v>
      </c>
      <c r="I41" s="35" t="s">
        <v>2837</v>
      </c>
      <c r="J41" s="35" t="s">
        <v>471</v>
      </c>
    </row>
    <row r="42" spans="1:10" ht="60" customHeight="1" x14ac:dyDescent="0.2">
      <c r="A42" s="35">
        <v>129</v>
      </c>
      <c r="B42" s="35" t="s">
        <v>521</v>
      </c>
      <c r="C42" s="35" t="s">
        <v>507</v>
      </c>
      <c r="D42" s="35">
        <v>1</v>
      </c>
      <c r="E42" s="35" t="s">
        <v>1475</v>
      </c>
      <c r="F42" s="35" t="s">
        <v>558</v>
      </c>
      <c r="G42" s="35" t="s">
        <v>356</v>
      </c>
      <c r="H42" s="36" t="s">
        <v>2819</v>
      </c>
      <c r="I42" s="35" t="s">
        <v>2840</v>
      </c>
      <c r="J42" s="35" t="s">
        <v>524</v>
      </c>
    </row>
    <row r="43" spans="1:10" ht="60" customHeight="1" x14ac:dyDescent="0.2">
      <c r="A43" s="35">
        <v>130</v>
      </c>
      <c r="B43" s="35" t="s">
        <v>526</v>
      </c>
      <c r="C43" s="35" t="s">
        <v>507</v>
      </c>
      <c r="D43" s="35">
        <v>1</v>
      </c>
      <c r="E43" s="35" t="s">
        <v>1378</v>
      </c>
      <c r="F43" s="35" t="s">
        <v>64</v>
      </c>
      <c r="G43" s="35" t="s">
        <v>64</v>
      </c>
      <c r="H43" s="36" t="s">
        <v>2819</v>
      </c>
      <c r="I43" s="35" t="s">
        <v>2821</v>
      </c>
      <c r="J43" s="35" t="s">
        <v>529</v>
      </c>
    </row>
    <row r="44" spans="1:10" ht="60" customHeight="1" x14ac:dyDescent="0.2">
      <c r="A44" s="35">
        <v>131</v>
      </c>
      <c r="B44" s="35" t="s">
        <v>531</v>
      </c>
      <c r="C44" s="35" t="s">
        <v>507</v>
      </c>
      <c r="D44" s="35">
        <v>1</v>
      </c>
      <c r="E44" s="35" t="s">
        <v>1477</v>
      </c>
      <c r="F44" s="35" t="s">
        <v>64</v>
      </c>
      <c r="G44" s="35" t="s">
        <v>64</v>
      </c>
      <c r="H44" s="36" t="s">
        <v>2819</v>
      </c>
      <c r="I44" s="35" t="s">
        <v>2841</v>
      </c>
      <c r="J44" s="35" t="s">
        <v>533</v>
      </c>
    </row>
    <row r="45" spans="1:10" ht="60" customHeight="1" x14ac:dyDescent="0.2">
      <c r="A45" s="35">
        <v>132</v>
      </c>
      <c r="B45" s="35" t="s">
        <v>534</v>
      </c>
      <c r="C45" s="35" t="s">
        <v>507</v>
      </c>
      <c r="D45" s="35">
        <v>1</v>
      </c>
      <c r="E45" s="35" t="s">
        <v>1414</v>
      </c>
      <c r="F45" s="35" t="s">
        <v>64</v>
      </c>
      <c r="G45" s="35" t="s">
        <v>64</v>
      </c>
      <c r="H45" s="36" t="s">
        <v>2819</v>
      </c>
      <c r="I45" s="35" t="s">
        <v>2825</v>
      </c>
      <c r="J45" s="35" t="s">
        <v>536</v>
      </c>
    </row>
    <row r="46" spans="1:10" ht="60" customHeight="1" x14ac:dyDescent="0.2">
      <c r="A46" s="35">
        <v>133</v>
      </c>
      <c r="B46" s="35" t="s">
        <v>537</v>
      </c>
      <c r="C46" s="35" t="s">
        <v>507</v>
      </c>
      <c r="D46" s="35">
        <v>1</v>
      </c>
      <c r="E46" s="35" t="s">
        <v>1414</v>
      </c>
      <c r="F46" s="35" t="s">
        <v>64</v>
      </c>
      <c r="G46" s="35" t="s">
        <v>64</v>
      </c>
      <c r="H46" s="36" t="s">
        <v>2819</v>
      </c>
      <c r="I46" s="35" t="s">
        <v>2825</v>
      </c>
      <c r="J46" s="35" t="s">
        <v>539</v>
      </c>
    </row>
    <row r="47" spans="1:10" ht="60" customHeight="1" x14ac:dyDescent="0.2">
      <c r="A47" s="35">
        <v>134</v>
      </c>
      <c r="B47" s="35" t="s">
        <v>540</v>
      </c>
      <c r="C47" s="35" t="s">
        <v>507</v>
      </c>
      <c r="D47" s="35">
        <v>1</v>
      </c>
      <c r="E47" s="35" t="s">
        <v>1481</v>
      </c>
      <c r="F47" s="35" t="s">
        <v>64</v>
      </c>
      <c r="G47" s="35" t="s">
        <v>64</v>
      </c>
      <c r="H47" s="36" t="s">
        <v>2819</v>
      </c>
      <c r="I47" s="35" t="s">
        <v>2842</v>
      </c>
      <c r="J47" s="35" t="s">
        <v>542</v>
      </c>
    </row>
    <row r="48" spans="1:10" ht="60" customHeight="1" x14ac:dyDescent="0.2">
      <c r="A48" s="35">
        <v>135</v>
      </c>
      <c r="B48" s="35" t="s">
        <v>544</v>
      </c>
      <c r="C48" s="35" t="s">
        <v>507</v>
      </c>
      <c r="D48" s="35">
        <v>1</v>
      </c>
      <c r="E48" s="35" t="s">
        <v>1483</v>
      </c>
      <c r="F48" s="35" t="s">
        <v>64</v>
      </c>
      <c r="G48" s="35" t="s">
        <v>64</v>
      </c>
      <c r="H48" s="36" t="s">
        <v>2819</v>
      </c>
      <c r="I48" s="35" t="s">
        <v>2843</v>
      </c>
      <c r="J48" s="35" t="s">
        <v>546</v>
      </c>
    </row>
    <row r="49" spans="1:10" ht="60" customHeight="1" x14ac:dyDescent="0.2">
      <c r="A49" s="35">
        <v>136</v>
      </c>
      <c r="B49" s="35" t="s">
        <v>547</v>
      </c>
      <c r="C49" s="35" t="s">
        <v>507</v>
      </c>
      <c r="D49" s="35">
        <v>0</v>
      </c>
      <c r="E49" s="35"/>
      <c r="F49" s="35" t="s">
        <v>64</v>
      </c>
      <c r="G49" s="35" t="s">
        <v>64</v>
      </c>
      <c r="H49" s="36" t="s">
        <v>2819</v>
      </c>
      <c r="I49" s="35" t="s">
        <v>2839</v>
      </c>
      <c r="J49" s="35" t="s">
        <v>549</v>
      </c>
    </row>
    <row r="50" spans="1:10" ht="60" customHeight="1" x14ac:dyDescent="0.2">
      <c r="A50" s="35">
        <v>137</v>
      </c>
      <c r="B50" s="35" t="s">
        <v>550</v>
      </c>
      <c r="C50" s="35" t="s">
        <v>507</v>
      </c>
      <c r="D50" s="35">
        <v>1</v>
      </c>
      <c r="E50" s="35" t="s">
        <v>1378</v>
      </c>
      <c r="F50" s="35" t="s">
        <v>64</v>
      </c>
      <c r="G50" s="35" t="s">
        <v>64</v>
      </c>
      <c r="H50" s="36" t="s">
        <v>2819</v>
      </c>
      <c r="I50" s="35" t="s">
        <v>2821</v>
      </c>
      <c r="J50" s="35" t="s">
        <v>552</v>
      </c>
    </row>
    <row r="51" spans="1:10" ht="60" customHeight="1" x14ac:dyDescent="0.2">
      <c r="A51" s="35">
        <v>138</v>
      </c>
      <c r="B51" s="35" t="s">
        <v>553</v>
      </c>
      <c r="C51" s="35" t="s">
        <v>507</v>
      </c>
      <c r="D51" s="35">
        <v>1</v>
      </c>
      <c r="E51" s="35" t="s">
        <v>1483</v>
      </c>
      <c r="F51" s="35" t="s">
        <v>558</v>
      </c>
      <c r="G51" s="35" t="s">
        <v>554</v>
      </c>
      <c r="H51" s="36" t="s">
        <v>2819</v>
      </c>
      <c r="I51" s="35" t="s">
        <v>2844</v>
      </c>
      <c r="J51" s="35" t="s">
        <v>556</v>
      </c>
    </row>
    <row r="52" spans="1:10" ht="60" customHeight="1" x14ac:dyDescent="0.2">
      <c r="A52" s="35">
        <v>149</v>
      </c>
      <c r="B52" s="35" t="s">
        <v>592</v>
      </c>
      <c r="C52" s="35" t="s">
        <v>507</v>
      </c>
      <c r="D52" s="35">
        <v>1</v>
      </c>
      <c r="E52" s="35" t="s">
        <v>1414</v>
      </c>
      <c r="F52" s="35" t="s">
        <v>64</v>
      </c>
      <c r="G52" s="35" t="s">
        <v>64</v>
      </c>
      <c r="H52" s="36" t="s">
        <v>2819</v>
      </c>
      <c r="I52" s="35" t="s">
        <v>2825</v>
      </c>
      <c r="J52" s="35" t="s">
        <v>594</v>
      </c>
    </row>
    <row r="53" spans="1:10" ht="60" customHeight="1" x14ac:dyDescent="0.2">
      <c r="A53" s="35">
        <v>153</v>
      </c>
      <c r="B53" s="35" t="s">
        <v>605</v>
      </c>
      <c r="C53" s="35" t="s">
        <v>507</v>
      </c>
      <c r="D53" s="35">
        <v>1</v>
      </c>
      <c r="E53" s="35" t="s">
        <v>1378</v>
      </c>
      <c r="F53" s="35" t="s">
        <v>19</v>
      </c>
      <c r="G53" s="35" t="s">
        <v>41</v>
      </c>
      <c r="H53" s="39" t="s">
        <v>2823</v>
      </c>
      <c r="I53" s="35" t="s">
        <v>2824</v>
      </c>
      <c r="J53" s="35" t="s">
        <v>607</v>
      </c>
    </row>
    <row r="54" spans="1:10" ht="60" customHeight="1" x14ac:dyDescent="0.2">
      <c r="A54" s="35">
        <v>156</v>
      </c>
      <c r="B54" s="35" t="s">
        <v>614</v>
      </c>
      <c r="C54" s="35" t="s">
        <v>507</v>
      </c>
      <c r="D54" s="35">
        <v>0</v>
      </c>
      <c r="E54" s="35"/>
      <c r="F54" s="35" t="s">
        <v>19</v>
      </c>
      <c r="G54" s="35" t="s">
        <v>299</v>
      </c>
      <c r="H54" s="39" t="s">
        <v>2823</v>
      </c>
      <c r="I54" s="35" t="s">
        <v>2845</v>
      </c>
      <c r="J54" s="35" t="s">
        <v>616</v>
      </c>
    </row>
    <row r="55" spans="1:10" ht="60" customHeight="1" x14ac:dyDescent="0.2">
      <c r="A55" s="35">
        <v>157</v>
      </c>
      <c r="B55" s="35" t="s">
        <v>617</v>
      </c>
      <c r="C55" s="35" t="s">
        <v>507</v>
      </c>
      <c r="D55" s="35">
        <v>1</v>
      </c>
      <c r="E55" s="35" t="s">
        <v>1378</v>
      </c>
      <c r="F55" s="35" t="s">
        <v>64</v>
      </c>
      <c r="G55" s="35" t="s">
        <v>64</v>
      </c>
      <c r="H55" s="36" t="s">
        <v>2819</v>
      </c>
      <c r="I55" s="35" t="s">
        <v>2821</v>
      </c>
      <c r="J55" s="35" t="s">
        <v>619</v>
      </c>
    </row>
    <row r="56" spans="1:10" ht="60" customHeight="1" x14ac:dyDescent="0.2">
      <c r="A56" s="35">
        <v>158</v>
      </c>
      <c r="B56" s="35" t="s">
        <v>620</v>
      </c>
      <c r="C56" s="35" t="s">
        <v>507</v>
      </c>
      <c r="D56" s="35">
        <v>1</v>
      </c>
      <c r="E56" s="35" t="s">
        <v>1378</v>
      </c>
      <c r="F56" s="35" t="s">
        <v>245</v>
      </c>
      <c r="G56" s="35" t="s">
        <v>40</v>
      </c>
      <c r="H56" s="37" t="s">
        <v>2817</v>
      </c>
      <c r="I56" s="35" t="s">
        <v>2846</v>
      </c>
      <c r="J56" s="35" t="s">
        <v>623</v>
      </c>
    </row>
    <row r="57" spans="1:10" ht="60" customHeight="1" x14ac:dyDescent="0.2">
      <c r="A57" s="35">
        <v>159</v>
      </c>
      <c r="B57" s="35" t="s">
        <v>625</v>
      </c>
      <c r="C57" s="35" t="s">
        <v>507</v>
      </c>
      <c r="D57" s="35">
        <v>2</v>
      </c>
      <c r="E57" s="35" t="s">
        <v>1507</v>
      </c>
      <c r="F57" s="35" t="s">
        <v>412</v>
      </c>
      <c r="G57" s="35" t="s">
        <v>412</v>
      </c>
      <c r="H57" s="36" t="s">
        <v>2819</v>
      </c>
      <c r="I57" s="35" t="s">
        <v>2847</v>
      </c>
      <c r="J57" s="35" t="s">
        <v>627</v>
      </c>
    </row>
    <row r="58" spans="1:10" ht="60" customHeight="1" x14ac:dyDescent="0.2">
      <c r="A58" s="35">
        <v>161</v>
      </c>
      <c r="B58" s="35" t="s">
        <v>631</v>
      </c>
      <c r="C58" s="35" t="s">
        <v>507</v>
      </c>
      <c r="D58" s="35">
        <v>1</v>
      </c>
      <c r="E58" s="35" t="s">
        <v>1477</v>
      </c>
      <c r="F58" s="35" t="s">
        <v>245</v>
      </c>
      <c r="G58" s="35" t="s">
        <v>554</v>
      </c>
      <c r="H58" s="36" t="s">
        <v>2819</v>
      </c>
      <c r="I58" s="35" t="s">
        <v>2848</v>
      </c>
      <c r="J58" s="35" t="s">
        <v>633</v>
      </c>
    </row>
    <row r="59" spans="1:10" ht="60" customHeight="1" x14ac:dyDescent="0.2">
      <c r="A59" s="35">
        <v>169</v>
      </c>
      <c r="B59" s="35" t="s">
        <v>661</v>
      </c>
      <c r="C59" s="35" t="s">
        <v>507</v>
      </c>
      <c r="D59" s="35">
        <v>2</v>
      </c>
      <c r="E59" s="35" t="s">
        <v>1518</v>
      </c>
      <c r="F59" s="35" t="s">
        <v>299</v>
      </c>
      <c r="G59" s="35" t="s">
        <v>19</v>
      </c>
      <c r="H59" s="36" t="s">
        <v>2827</v>
      </c>
      <c r="I59" s="35" t="s">
        <v>2849</v>
      </c>
      <c r="J59" s="35" t="s">
        <v>663</v>
      </c>
    </row>
    <row r="60" spans="1:10" ht="60" customHeight="1" x14ac:dyDescent="0.2">
      <c r="A60" s="35">
        <v>170</v>
      </c>
      <c r="B60" s="35" t="s">
        <v>664</v>
      </c>
      <c r="C60" s="35" t="s">
        <v>507</v>
      </c>
      <c r="D60" s="35">
        <v>1</v>
      </c>
      <c r="E60" s="35" t="s">
        <v>1378</v>
      </c>
      <c r="F60" s="35" t="s">
        <v>19</v>
      </c>
      <c r="G60" s="35" t="s">
        <v>40</v>
      </c>
      <c r="H60" s="37" t="s">
        <v>2817</v>
      </c>
      <c r="I60" s="35" t="s">
        <v>2818</v>
      </c>
      <c r="J60" s="35" t="s">
        <v>667</v>
      </c>
    </row>
    <row r="61" spans="1:10" ht="60" customHeight="1" x14ac:dyDescent="0.2">
      <c r="A61" s="35">
        <v>171</v>
      </c>
      <c r="B61" s="35" t="s">
        <v>669</v>
      </c>
      <c r="C61" s="35" t="s">
        <v>507</v>
      </c>
      <c r="D61" s="35">
        <v>2</v>
      </c>
      <c r="E61" s="35" t="s">
        <v>1477</v>
      </c>
      <c r="F61" s="35" t="s">
        <v>64</v>
      </c>
      <c r="G61" s="35" t="s">
        <v>64</v>
      </c>
      <c r="H61" s="36" t="s">
        <v>2819</v>
      </c>
      <c r="I61" s="35" t="s">
        <v>2841</v>
      </c>
      <c r="J61" s="35" t="s">
        <v>672</v>
      </c>
    </row>
    <row r="62" spans="1:10" ht="60" customHeight="1" x14ac:dyDescent="0.2">
      <c r="A62" s="35">
        <v>172</v>
      </c>
      <c r="B62" s="35" t="s">
        <v>674</v>
      </c>
      <c r="C62" s="35" t="s">
        <v>507</v>
      </c>
      <c r="D62" s="35">
        <v>1</v>
      </c>
      <c r="E62" s="35" t="s">
        <v>1414</v>
      </c>
      <c r="F62" s="35" t="s">
        <v>558</v>
      </c>
      <c r="G62" s="35" t="s">
        <v>59</v>
      </c>
      <c r="H62" s="36" t="s">
        <v>2835</v>
      </c>
      <c r="I62" s="35" t="s">
        <v>2850</v>
      </c>
      <c r="J62" s="35" t="s">
        <v>676</v>
      </c>
    </row>
    <row r="63" spans="1:10" ht="60" customHeight="1" x14ac:dyDescent="0.2">
      <c r="A63" s="35">
        <v>173</v>
      </c>
      <c r="B63" s="35" t="s">
        <v>678</v>
      </c>
      <c r="C63" s="35" t="s">
        <v>507</v>
      </c>
      <c r="D63" s="35">
        <v>1</v>
      </c>
      <c r="E63" s="35" t="s">
        <v>1385</v>
      </c>
      <c r="F63" s="35" t="s">
        <v>558</v>
      </c>
      <c r="G63" s="35" t="s">
        <v>40</v>
      </c>
      <c r="H63" s="36" t="s">
        <v>2835</v>
      </c>
      <c r="I63" s="35" t="s">
        <v>2851</v>
      </c>
      <c r="J63" s="35" t="s">
        <v>680</v>
      </c>
    </row>
    <row r="64" spans="1:10" ht="60" customHeight="1" x14ac:dyDescent="0.2">
      <c r="A64" s="35">
        <v>174</v>
      </c>
      <c r="B64" s="35" t="s">
        <v>681</v>
      </c>
      <c r="C64" s="35" t="s">
        <v>507</v>
      </c>
      <c r="D64" s="35">
        <v>1</v>
      </c>
      <c r="E64" s="35" t="s">
        <v>1522</v>
      </c>
      <c r="F64" s="35" t="s">
        <v>19</v>
      </c>
      <c r="G64" s="35" t="s">
        <v>554</v>
      </c>
      <c r="H64" s="36" t="s">
        <v>2819</v>
      </c>
      <c r="I64" s="35" t="s">
        <v>2852</v>
      </c>
      <c r="J64" s="35" t="s">
        <v>684</v>
      </c>
    </row>
    <row r="65" spans="1:10" ht="60" customHeight="1" x14ac:dyDescent="0.2">
      <c r="A65" s="35">
        <v>175</v>
      </c>
      <c r="B65" s="35" t="s">
        <v>686</v>
      </c>
      <c r="C65" s="35" t="s">
        <v>507</v>
      </c>
      <c r="D65" s="35">
        <v>1</v>
      </c>
      <c r="E65" s="35" t="s">
        <v>1475</v>
      </c>
      <c r="F65" s="35" t="s">
        <v>558</v>
      </c>
      <c r="G65" s="35" t="s">
        <v>356</v>
      </c>
      <c r="H65" s="36" t="s">
        <v>2819</v>
      </c>
      <c r="I65" s="35" t="s">
        <v>2840</v>
      </c>
      <c r="J65" s="35" t="s">
        <v>689</v>
      </c>
    </row>
    <row r="66" spans="1:10" ht="60" customHeight="1" x14ac:dyDescent="0.2">
      <c r="A66" s="35">
        <v>183</v>
      </c>
      <c r="B66" s="35" t="s">
        <v>723</v>
      </c>
      <c r="C66" s="35" t="s">
        <v>507</v>
      </c>
      <c r="D66" s="35">
        <v>0</v>
      </c>
      <c r="E66" s="35"/>
      <c r="F66" s="35" t="s">
        <v>64</v>
      </c>
      <c r="G66" s="35" t="s">
        <v>64</v>
      </c>
      <c r="H66" s="36" t="s">
        <v>2819</v>
      </c>
      <c r="I66" s="35" t="s">
        <v>2839</v>
      </c>
      <c r="J66" s="35" t="s">
        <v>725</v>
      </c>
    </row>
    <row r="67" spans="1:10" ht="60" customHeight="1" x14ac:dyDescent="0.2">
      <c r="A67" s="35">
        <v>185</v>
      </c>
      <c r="B67" s="35" t="s">
        <v>731</v>
      </c>
      <c r="C67" s="35" t="s">
        <v>507</v>
      </c>
      <c r="D67" s="35">
        <v>1</v>
      </c>
      <c r="E67" s="35" t="s">
        <v>1477</v>
      </c>
      <c r="F67" s="35" t="s">
        <v>245</v>
      </c>
      <c r="G67" s="35" t="s">
        <v>554</v>
      </c>
      <c r="H67" s="36" t="s">
        <v>2819</v>
      </c>
      <c r="I67" s="35" t="s">
        <v>2848</v>
      </c>
      <c r="J67" s="35" t="s">
        <v>733</v>
      </c>
    </row>
    <row r="68" spans="1:10" ht="60" customHeight="1" x14ac:dyDescent="0.2">
      <c r="A68" s="35">
        <v>186</v>
      </c>
      <c r="B68" s="35" t="s">
        <v>734</v>
      </c>
      <c r="C68" s="35" t="s">
        <v>507</v>
      </c>
      <c r="D68" s="35">
        <v>1</v>
      </c>
      <c r="E68" s="35" t="s">
        <v>1475</v>
      </c>
      <c r="F68" s="35" t="s">
        <v>558</v>
      </c>
      <c r="G68" s="35" t="s">
        <v>356</v>
      </c>
      <c r="H68" s="36" t="s">
        <v>2819</v>
      </c>
      <c r="I68" s="35" t="s">
        <v>2840</v>
      </c>
      <c r="J68" s="35" t="s">
        <v>737</v>
      </c>
    </row>
    <row r="69" spans="1:10" ht="60" customHeight="1" x14ac:dyDescent="0.2">
      <c r="A69" s="35">
        <v>196</v>
      </c>
      <c r="B69" s="35" t="s">
        <v>777</v>
      </c>
      <c r="C69" s="35" t="s">
        <v>745</v>
      </c>
      <c r="D69" s="35">
        <v>0</v>
      </c>
      <c r="E69" s="35"/>
      <c r="F69" s="35" t="s">
        <v>19</v>
      </c>
      <c r="G69" s="35" t="s">
        <v>245</v>
      </c>
      <c r="H69" s="39" t="s">
        <v>2823</v>
      </c>
      <c r="I69" s="35" t="s">
        <v>2831</v>
      </c>
      <c r="J69" s="35" t="s">
        <v>779</v>
      </c>
    </row>
    <row r="70" spans="1:10" ht="60" customHeight="1" x14ac:dyDescent="0.2">
      <c r="A70" s="35">
        <v>211</v>
      </c>
      <c r="B70" s="35" t="s">
        <v>826</v>
      </c>
      <c r="C70" s="35" t="s">
        <v>745</v>
      </c>
      <c r="D70" s="35">
        <v>1</v>
      </c>
      <c r="E70" s="35" t="s">
        <v>1378</v>
      </c>
      <c r="F70" s="35" t="s">
        <v>19</v>
      </c>
      <c r="G70" s="35" t="s">
        <v>41</v>
      </c>
      <c r="H70" s="39" t="s">
        <v>2823</v>
      </c>
      <c r="I70" s="35" t="s">
        <v>2824</v>
      </c>
      <c r="J70" s="35" t="s">
        <v>828</v>
      </c>
    </row>
    <row r="71" spans="1:10" ht="60" customHeight="1" x14ac:dyDescent="0.2">
      <c r="A71" s="35">
        <v>217</v>
      </c>
      <c r="B71" s="35" t="s">
        <v>844</v>
      </c>
      <c r="C71" s="35" t="s">
        <v>745</v>
      </c>
      <c r="D71" s="35">
        <v>1</v>
      </c>
      <c r="E71" s="35" t="s">
        <v>1397</v>
      </c>
      <c r="F71" s="35" t="s">
        <v>41</v>
      </c>
      <c r="G71" s="35" t="s">
        <v>41</v>
      </c>
      <c r="H71" s="36" t="s">
        <v>2819</v>
      </c>
      <c r="I71" s="35" t="s">
        <v>2853</v>
      </c>
      <c r="J71" s="35" t="s">
        <v>846</v>
      </c>
    </row>
    <row r="72" spans="1:10" ht="60" customHeight="1" x14ac:dyDescent="0.2">
      <c r="A72" s="35">
        <v>220</v>
      </c>
      <c r="B72" s="35" t="s">
        <v>853</v>
      </c>
      <c r="C72" s="35" t="s">
        <v>745</v>
      </c>
      <c r="D72" s="35">
        <v>1</v>
      </c>
      <c r="E72" s="35" t="s">
        <v>1378</v>
      </c>
      <c r="F72" s="35" t="s">
        <v>79</v>
      </c>
      <c r="G72" s="35" t="s">
        <v>79</v>
      </c>
      <c r="H72" s="36" t="s">
        <v>2819</v>
      </c>
      <c r="I72" s="35" t="s">
        <v>2821</v>
      </c>
      <c r="J72" s="35" t="s">
        <v>855</v>
      </c>
    </row>
    <row r="73" spans="1:10" ht="60" customHeight="1" x14ac:dyDescent="0.2">
      <c r="A73" s="35">
        <v>224</v>
      </c>
      <c r="B73" s="35" t="s">
        <v>868</v>
      </c>
      <c r="C73" s="35" t="s">
        <v>745</v>
      </c>
      <c r="D73" s="35">
        <v>1</v>
      </c>
      <c r="E73" s="35" t="s">
        <v>1564</v>
      </c>
      <c r="F73" s="35" t="s">
        <v>245</v>
      </c>
      <c r="G73" s="35" t="s">
        <v>412</v>
      </c>
      <c r="H73" s="36" t="s">
        <v>2819</v>
      </c>
      <c r="I73" s="35" t="s">
        <v>2854</v>
      </c>
      <c r="J73" s="35" t="s">
        <v>870</v>
      </c>
    </row>
    <row r="74" spans="1:10" ht="60" customHeight="1" x14ac:dyDescent="0.2">
      <c r="A74" s="35">
        <v>226</v>
      </c>
      <c r="B74" s="35" t="s">
        <v>875</v>
      </c>
      <c r="C74" s="35" t="s">
        <v>745</v>
      </c>
      <c r="D74" s="35">
        <v>1</v>
      </c>
      <c r="E74" s="35" t="s">
        <v>1564</v>
      </c>
      <c r="F74" s="35" t="s">
        <v>245</v>
      </c>
      <c r="G74" s="35" t="s">
        <v>412</v>
      </c>
      <c r="H74" s="36" t="s">
        <v>2819</v>
      </c>
      <c r="I74" s="35" t="s">
        <v>2854</v>
      </c>
      <c r="J74" s="35" t="s">
        <v>878</v>
      </c>
    </row>
    <row r="75" spans="1:10" ht="60" customHeight="1" x14ac:dyDescent="0.2">
      <c r="A75" s="35">
        <v>228</v>
      </c>
      <c r="B75" s="35" t="s">
        <v>885</v>
      </c>
      <c r="C75" s="35" t="s">
        <v>745</v>
      </c>
      <c r="D75" s="35">
        <v>1</v>
      </c>
      <c r="E75" s="35" t="s">
        <v>1473</v>
      </c>
      <c r="F75" s="35" t="s">
        <v>245</v>
      </c>
      <c r="G75" s="35" t="s">
        <v>356</v>
      </c>
      <c r="H75" s="36" t="s">
        <v>2819</v>
      </c>
      <c r="I75" s="35" t="s">
        <v>2855</v>
      </c>
      <c r="J75" s="35" t="s">
        <v>887</v>
      </c>
    </row>
    <row r="76" spans="1:10" ht="60" customHeight="1" x14ac:dyDescent="0.2">
      <c r="A76" s="35">
        <v>229</v>
      </c>
      <c r="B76" s="35" t="s">
        <v>888</v>
      </c>
      <c r="C76" s="35" t="s">
        <v>745</v>
      </c>
      <c r="D76" s="35">
        <v>1</v>
      </c>
      <c r="E76" s="35" t="s">
        <v>1414</v>
      </c>
      <c r="F76" s="35" t="s">
        <v>41</v>
      </c>
      <c r="G76" s="35" t="s">
        <v>212</v>
      </c>
      <c r="H76" s="36" t="s">
        <v>2827</v>
      </c>
      <c r="I76" s="35" t="s">
        <v>2856</v>
      </c>
      <c r="J76" s="35" t="s">
        <v>890</v>
      </c>
    </row>
    <row r="77" spans="1:10" ht="60" customHeight="1" x14ac:dyDescent="0.2">
      <c r="A77" s="35">
        <v>238</v>
      </c>
      <c r="B77" s="35" t="s">
        <v>919</v>
      </c>
      <c r="C77" s="35" t="s">
        <v>745</v>
      </c>
      <c r="D77" s="35">
        <v>1</v>
      </c>
      <c r="E77" s="35" t="s">
        <v>1460</v>
      </c>
      <c r="F77" s="35" t="s">
        <v>356</v>
      </c>
      <c r="G77" s="35" t="s">
        <v>356</v>
      </c>
      <c r="H77" s="36" t="s">
        <v>2819</v>
      </c>
      <c r="I77" s="35" t="s">
        <v>2834</v>
      </c>
      <c r="J77" s="35" t="s">
        <v>922</v>
      </c>
    </row>
    <row r="78" spans="1:10" ht="60" customHeight="1" x14ac:dyDescent="0.2">
      <c r="A78" s="35">
        <v>239</v>
      </c>
      <c r="B78" s="35" t="s">
        <v>924</v>
      </c>
      <c r="C78" s="35" t="s">
        <v>745</v>
      </c>
      <c r="D78" s="35">
        <v>1</v>
      </c>
      <c r="E78" s="35" t="s">
        <v>1564</v>
      </c>
      <c r="F78" s="35" t="s">
        <v>245</v>
      </c>
      <c r="G78" s="35" t="s">
        <v>412</v>
      </c>
      <c r="H78" s="36" t="s">
        <v>2819</v>
      </c>
      <c r="I78" s="35" t="s">
        <v>2854</v>
      </c>
      <c r="J78" s="35" t="s">
        <v>926</v>
      </c>
    </row>
    <row r="79" spans="1:10" ht="60" customHeight="1" x14ac:dyDescent="0.2">
      <c r="A79" s="35">
        <v>243</v>
      </c>
      <c r="B79" s="35" t="s">
        <v>938</v>
      </c>
      <c r="C79" s="35" t="s">
        <v>745</v>
      </c>
      <c r="D79" s="35">
        <v>1</v>
      </c>
      <c r="E79" s="35" t="s">
        <v>1483</v>
      </c>
      <c r="F79" s="35" t="s">
        <v>356</v>
      </c>
      <c r="G79" s="35" t="s">
        <v>356</v>
      </c>
      <c r="H79" s="36" t="s">
        <v>2819</v>
      </c>
      <c r="I79" s="35" t="s">
        <v>2843</v>
      </c>
      <c r="J79" s="35" t="s">
        <v>941</v>
      </c>
    </row>
    <row r="80" spans="1:10" ht="60" customHeight="1" x14ac:dyDescent="0.2">
      <c r="A80" s="35">
        <v>246</v>
      </c>
      <c r="B80" s="35" t="s">
        <v>953</v>
      </c>
      <c r="C80" s="35" t="s">
        <v>745</v>
      </c>
      <c r="D80" s="35">
        <v>2</v>
      </c>
      <c r="E80" s="35" t="s">
        <v>1397</v>
      </c>
      <c r="F80" s="35" t="s">
        <v>41</v>
      </c>
      <c r="G80" s="35" t="s">
        <v>41</v>
      </c>
      <c r="H80" s="36" t="s">
        <v>2819</v>
      </c>
      <c r="I80" s="35" t="s">
        <v>2822</v>
      </c>
      <c r="J80" s="35" t="s">
        <v>956</v>
      </c>
    </row>
    <row r="81" spans="1:10" ht="60" customHeight="1" x14ac:dyDescent="0.2">
      <c r="A81" s="35">
        <v>249</v>
      </c>
      <c r="B81" s="35" t="s">
        <v>968</v>
      </c>
      <c r="C81" s="35" t="s">
        <v>745</v>
      </c>
      <c r="D81" s="35">
        <v>0</v>
      </c>
      <c r="E81" s="35"/>
      <c r="F81" s="35" t="s">
        <v>19</v>
      </c>
      <c r="G81" s="35" t="s">
        <v>41</v>
      </c>
      <c r="H81" s="39" t="s">
        <v>2823</v>
      </c>
      <c r="I81" s="35" t="s">
        <v>2857</v>
      </c>
      <c r="J81" s="35" t="s">
        <v>970</v>
      </c>
    </row>
    <row r="82" spans="1:10" ht="60" customHeight="1" x14ac:dyDescent="0.2">
      <c r="A82" s="35">
        <v>259</v>
      </c>
      <c r="B82" s="35" t="s">
        <v>1007</v>
      </c>
      <c r="C82" s="35" t="s">
        <v>973</v>
      </c>
      <c r="D82" s="35">
        <v>1</v>
      </c>
      <c r="E82" s="35" t="s">
        <v>1378</v>
      </c>
      <c r="F82" s="35" t="s">
        <v>19</v>
      </c>
      <c r="G82" s="35" t="s">
        <v>40</v>
      </c>
      <c r="H82" s="37" t="s">
        <v>2817</v>
      </c>
      <c r="I82" s="35" t="s">
        <v>2818</v>
      </c>
      <c r="J82" s="35" t="s">
        <v>1009</v>
      </c>
    </row>
    <row r="83" spans="1:10" ht="60" customHeight="1" x14ac:dyDescent="0.2">
      <c r="A83" s="35">
        <v>260</v>
      </c>
      <c r="B83" s="35" t="s">
        <v>1011</v>
      </c>
      <c r="C83" s="35" t="s">
        <v>973</v>
      </c>
      <c r="D83" s="35">
        <v>1</v>
      </c>
      <c r="E83" s="35" t="s">
        <v>1385</v>
      </c>
      <c r="F83" s="35" t="s">
        <v>40</v>
      </c>
      <c r="G83" s="35" t="s">
        <v>40</v>
      </c>
      <c r="H83" s="36" t="s">
        <v>2819</v>
      </c>
      <c r="I83" s="35" t="s">
        <v>2820</v>
      </c>
      <c r="J83" s="35" t="s">
        <v>1013</v>
      </c>
    </row>
    <row r="84" spans="1:10" ht="60" customHeight="1" x14ac:dyDescent="0.2">
      <c r="A84" s="35">
        <v>261</v>
      </c>
      <c r="B84" s="35" t="s">
        <v>1014</v>
      </c>
      <c r="C84" s="35" t="s">
        <v>973</v>
      </c>
      <c r="D84" s="35">
        <v>1</v>
      </c>
      <c r="E84" s="35" t="s">
        <v>1378</v>
      </c>
      <c r="F84" s="35" t="s">
        <v>64</v>
      </c>
      <c r="G84" s="35" t="s">
        <v>64</v>
      </c>
      <c r="H84" s="36" t="s">
        <v>2819</v>
      </c>
      <c r="I84" s="35" t="s">
        <v>2821</v>
      </c>
      <c r="J84" s="35" t="s">
        <v>1016</v>
      </c>
    </row>
    <row r="85" spans="1:10" ht="60" customHeight="1" x14ac:dyDescent="0.2">
      <c r="A85" s="35">
        <v>264</v>
      </c>
      <c r="B85" s="35" t="s">
        <v>411</v>
      </c>
      <c r="C85" s="35" t="s">
        <v>973</v>
      </c>
      <c r="D85" s="35">
        <v>0</v>
      </c>
      <c r="E85" s="35"/>
      <c r="F85" s="35" t="s">
        <v>19</v>
      </c>
      <c r="G85" s="35" t="s">
        <v>412</v>
      </c>
      <c r="H85" s="36" t="s">
        <v>2819</v>
      </c>
      <c r="I85" s="35" t="s">
        <v>2858</v>
      </c>
      <c r="J85" s="35" t="s">
        <v>1025</v>
      </c>
    </row>
    <row r="86" spans="1:10" ht="60" customHeight="1" x14ac:dyDescent="0.2">
      <c r="A86" s="35">
        <v>267</v>
      </c>
      <c r="B86" s="35" t="s">
        <v>1033</v>
      </c>
      <c r="C86" s="35" t="s">
        <v>973</v>
      </c>
      <c r="D86" s="35">
        <v>1</v>
      </c>
      <c r="E86" s="35" t="s">
        <v>1483</v>
      </c>
      <c r="F86" s="35" t="s">
        <v>558</v>
      </c>
      <c r="G86" s="35" t="s">
        <v>356</v>
      </c>
      <c r="H86" s="36" t="s">
        <v>2819</v>
      </c>
      <c r="I86" s="35" t="s">
        <v>2859</v>
      </c>
      <c r="J86" s="35" t="s">
        <v>1035</v>
      </c>
    </row>
    <row r="87" spans="1:10" ht="60" customHeight="1" x14ac:dyDescent="0.2">
      <c r="A87" s="35">
        <v>280</v>
      </c>
      <c r="B87" s="35" t="s">
        <v>1072</v>
      </c>
      <c r="C87" s="35" t="s">
        <v>973</v>
      </c>
      <c r="D87" s="35">
        <v>1</v>
      </c>
      <c r="E87" s="35" t="s">
        <v>1378</v>
      </c>
      <c r="F87" s="35" t="s">
        <v>19</v>
      </c>
      <c r="G87" s="35" t="s">
        <v>41</v>
      </c>
      <c r="H87" s="39" t="s">
        <v>2823</v>
      </c>
      <c r="I87" s="35" t="s">
        <v>2824</v>
      </c>
      <c r="J87" s="35" t="s">
        <v>1074</v>
      </c>
    </row>
    <row r="88" spans="1:10" ht="60" customHeight="1" x14ac:dyDescent="0.2">
      <c r="A88" s="35">
        <v>282</v>
      </c>
      <c r="B88" s="35" t="s">
        <v>1078</v>
      </c>
      <c r="C88" s="35" t="s">
        <v>973</v>
      </c>
      <c r="D88" s="35">
        <v>0</v>
      </c>
      <c r="E88" s="35"/>
      <c r="F88" s="35" t="s">
        <v>19</v>
      </c>
      <c r="G88" s="35" t="s">
        <v>513</v>
      </c>
      <c r="H88" s="37" t="s">
        <v>2817</v>
      </c>
      <c r="I88" s="35" t="s">
        <v>2860</v>
      </c>
      <c r="J88" s="35" t="s">
        <v>1080</v>
      </c>
    </row>
    <row r="89" spans="1:10" ht="60" customHeight="1" x14ac:dyDescent="0.2">
      <c r="A89" s="35">
        <v>283</v>
      </c>
      <c r="B89" s="35" t="s">
        <v>1082</v>
      </c>
      <c r="C89" s="35" t="s">
        <v>973</v>
      </c>
      <c r="D89" s="35">
        <v>0</v>
      </c>
      <c r="E89" s="35"/>
      <c r="F89" s="35" t="s">
        <v>19</v>
      </c>
      <c r="G89" s="35" t="s">
        <v>513</v>
      </c>
      <c r="H89" s="37" t="s">
        <v>2817</v>
      </c>
      <c r="I89" s="35" t="s">
        <v>2860</v>
      </c>
      <c r="J89" s="35" t="s">
        <v>1084</v>
      </c>
    </row>
    <row r="90" spans="1:10" ht="60" customHeight="1" x14ac:dyDescent="0.2">
      <c r="A90" s="35">
        <v>284</v>
      </c>
      <c r="B90" s="35" t="s">
        <v>1086</v>
      </c>
      <c r="C90" s="35" t="s">
        <v>973</v>
      </c>
      <c r="D90" s="35">
        <v>0</v>
      </c>
      <c r="E90" s="35"/>
      <c r="F90" s="35" t="s">
        <v>19</v>
      </c>
      <c r="G90" s="35" t="s">
        <v>513</v>
      </c>
      <c r="H90" s="37" t="s">
        <v>2817</v>
      </c>
      <c r="I90" s="35" t="s">
        <v>2860</v>
      </c>
      <c r="J90" s="35" t="s">
        <v>1088</v>
      </c>
    </row>
    <row r="91" spans="1:10" ht="60" customHeight="1" x14ac:dyDescent="0.2">
      <c r="A91" s="35">
        <v>285</v>
      </c>
      <c r="B91" s="35" t="s">
        <v>1090</v>
      </c>
      <c r="C91" s="35" t="s">
        <v>973</v>
      </c>
      <c r="D91" s="35">
        <v>0</v>
      </c>
      <c r="E91" s="35"/>
      <c r="F91" s="35" t="s">
        <v>19</v>
      </c>
      <c r="G91" s="35" t="s">
        <v>245</v>
      </c>
      <c r="H91" s="39" t="s">
        <v>2823</v>
      </c>
      <c r="I91" s="35" t="s">
        <v>2831</v>
      </c>
      <c r="J91" s="35" t="s">
        <v>1092</v>
      </c>
    </row>
    <row r="92" spans="1:10" ht="60" customHeight="1" x14ac:dyDescent="0.2">
      <c r="A92" s="35">
        <v>286</v>
      </c>
      <c r="B92" s="35" t="s">
        <v>1093</v>
      </c>
      <c r="C92" s="35" t="s">
        <v>973</v>
      </c>
      <c r="D92" s="35">
        <v>0</v>
      </c>
      <c r="E92" s="35"/>
      <c r="F92" s="35" t="s">
        <v>19</v>
      </c>
      <c r="G92" s="35" t="s">
        <v>554</v>
      </c>
      <c r="H92" s="36" t="s">
        <v>2819</v>
      </c>
      <c r="I92" s="35" t="s">
        <v>2861</v>
      </c>
      <c r="J92" s="35" t="s">
        <v>1095</v>
      </c>
    </row>
    <row r="93" spans="1:10" ht="60" customHeight="1" x14ac:dyDescent="0.2">
      <c r="A93" s="35">
        <v>287</v>
      </c>
      <c r="B93" s="35" t="s">
        <v>1097</v>
      </c>
      <c r="C93" s="35" t="s">
        <v>973</v>
      </c>
      <c r="D93" s="35">
        <v>0</v>
      </c>
      <c r="E93" s="35"/>
      <c r="F93" s="35" t="s">
        <v>19</v>
      </c>
      <c r="G93" s="35" t="s">
        <v>412</v>
      </c>
      <c r="H93" s="36" t="s">
        <v>2819</v>
      </c>
      <c r="I93" s="35" t="s">
        <v>2858</v>
      </c>
      <c r="J93" s="35" t="s">
        <v>1099</v>
      </c>
    </row>
    <row r="94" spans="1:10" ht="60" customHeight="1" x14ac:dyDescent="0.2">
      <c r="A94" s="35">
        <v>289</v>
      </c>
      <c r="B94" s="35" t="s">
        <v>1105</v>
      </c>
      <c r="C94" s="35" t="s">
        <v>973</v>
      </c>
      <c r="D94" s="35">
        <v>0</v>
      </c>
      <c r="E94" s="35"/>
      <c r="F94" s="35" t="s">
        <v>19</v>
      </c>
      <c r="G94" s="35" t="s">
        <v>245</v>
      </c>
      <c r="H94" s="39" t="s">
        <v>2823</v>
      </c>
      <c r="I94" s="35" t="s">
        <v>2831</v>
      </c>
      <c r="J94" s="35" t="s">
        <v>1108</v>
      </c>
    </row>
    <row r="95" spans="1:10" ht="60" customHeight="1" x14ac:dyDescent="0.2">
      <c r="A95" s="35">
        <v>290</v>
      </c>
      <c r="B95" s="35" t="s">
        <v>1110</v>
      </c>
      <c r="C95" s="35" t="s">
        <v>973</v>
      </c>
      <c r="D95" s="35">
        <v>0</v>
      </c>
      <c r="E95" s="35"/>
      <c r="F95" s="35" t="s">
        <v>19</v>
      </c>
      <c r="G95" s="35" t="s">
        <v>245</v>
      </c>
      <c r="H95" s="37" t="s">
        <v>2817</v>
      </c>
      <c r="I95" s="35" t="s">
        <v>2831</v>
      </c>
      <c r="J95" s="35" t="s">
        <v>1112</v>
      </c>
    </row>
    <row r="96" spans="1:10" ht="60" customHeight="1" x14ac:dyDescent="0.2">
      <c r="A96" s="35">
        <v>292</v>
      </c>
      <c r="B96" s="35" t="s">
        <v>1118</v>
      </c>
      <c r="C96" s="35" t="s">
        <v>973</v>
      </c>
      <c r="D96" s="35">
        <v>0</v>
      </c>
      <c r="E96" s="35"/>
      <c r="F96" s="35" t="s">
        <v>558</v>
      </c>
      <c r="G96" s="35" t="s">
        <v>356</v>
      </c>
      <c r="H96" s="36" t="s">
        <v>2819</v>
      </c>
      <c r="I96" s="35" t="s">
        <v>2862</v>
      </c>
      <c r="J96" s="35" t="s">
        <v>1120</v>
      </c>
    </row>
    <row r="97" spans="1:10" ht="60" customHeight="1" x14ac:dyDescent="0.2">
      <c r="A97" s="35">
        <v>293</v>
      </c>
      <c r="B97" s="35" t="s">
        <v>1121</v>
      </c>
      <c r="C97" s="35" t="s">
        <v>973</v>
      </c>
      <c r="D97" s="35">
        <v>0</v>
      </c>
      <c r="E97" s="35"/>
      <c r="F97" s="35" t="s">
        <v>19</v>
      </c>
      <c r="G97" s="35" t="s">
        <v>513</v>
      </c>
      <c r="H97" s="37" t="s">
        <v>2817</v>
      </c>
      <c r="I97" s="35" t="s">
        <v>2860</v>
      </c>
      <c r="J97" s="35" t="s">
        <v>1123</v>
      </c>
    </row>
    <row r="98" spans="1:10" ht="60" customHeight="1" x14ac:dyDescent="0.2">
      <c r="A98" s="35">
        <v>295</v>
      </c>
      <c r="B98" s="35" t="s">
        <v>1127</v>
      </c>
      <c r="C98" s="35" t="s">
        <v>973</v>
      </c>
      <c r="D98" s="35">
        <v>0</v>
      </c>
      <c r="E98" s="35"/>
      <c r="F98" s="35" t="s">
        <v>19</v>
      </c>
      <c r="G98" s="35" t="s">
        <v>554</v>
      </c>
      <c r="H98" s="39" t="s">
        <v>2823</v>
      </c>
      <c r="I98" s="35" t="s">
        <v>2861</v>
      </c>
      <c r="J98" s="35" t="s">
        <v>1129</v>
      </c>
    </row>
    <row r="99" spans="1:10" ht="60" customHeight="1" x14ac:dyDescent="0.2">
      <c r="A99" s="35">
        <v>296</v>
      </c>
      <c r="B99" s="35" t="s">
        <v>1130</v>
      </c>
      <c r="C99" s="35" t="s">
        <v>973</v>
      </c>
      <c r="D99" s="35">
        <v>0</v>
      </c>
      <c r="E99" s="35"/>
      <c r="F99" s="35" t="s">
        <v>19</v>
      </c>
      <c r="G99" s="35" t="s">
        <v>245</v>
      </c>
      <c r="H99" s="39" t="s">
        <v>2823</v>
      </c>
      <c r="I99" s="35" t="s">
        <v>2831</v>
      </c>
      <c r="J99" s="35" t="s">
        <v>1132</v>
      </c>
    </row>
    <row r="100" spans="1:10" ht="60" customHeight="1" x14ac:dyDescent="0.2">
      <c r="A100" s="35">
        <v>297</v>
      </c>
      <c r="B100" s="35" t="s">
        <v>1133</v>
      </c>
      <c r="C100" s="35" t="s">
        <v>973</v>
      </c>
      <c r="D100" s="35">
        <v>0</v>
      </c>
      <c r="E100" s="35"/>
      <c r="F100" s="35" t="s">
        <v>19</v>
      </c>
      <c r="G100" s="35" t="s">
        <v>212</v>
      </c>
      <c r="H100" s="37" t="s">
        <v>2817</v>
      </c>
      <c r="I100" s="35" t="s">
        <v>2863</v>
      </c>
      <c r="J100" s="35" t="s">
        <v>1135</v>
      </c>
    </row>
    <row r="101" spans="1:10" ht="60" customHeight="1" x14ac:dyDescent="0.2">
      <c r="A101" s="35">
        <v>298</v>
      </c>
      <c r="B101" s="35" t="s">
        <v>1136</v>
      </c>
      <c r="C101" s="35" t="s">
        <v>973</v>
      </c>
      <c r="D101" s="35">
        <v>0</v>
      </c>
      <c r="E101" s="35"/>
      <c r="F101" s="35" t="s">
        <v>79</v>
      </c>
      <c r="G101" s="35" t="s">
        <v>554</v>
      </c>
      <c r="H101" s="39" t="s">
        <v>2823</v>
      </c>
      <c r="I101" s="35" t="s">
        <v>2864</v>
      </c>
      <c r="J101" s="35" t="s">
        <v>1138</v>
      </c>
    </row>
    <row r="102" spans="1:10" ht="60" customHeight="1" x14ac:dyDescent="0.2">
      <c r="A102" s="35">
        <v>299</v>
      </c>
      <c r="B102" s="35" t="s">
        <v>1140</v>
      </c>
      <c r="C102" s="35" t="s">
        <v>973</v>
      </c>
      <c r="D102" s="35">
        <v>0</v>
      </c>
      <c r="E102" s="35"/>
      <c r="F102" s="35" t="s">
        <v>19</v>
      </c>
      <c r="G102" s="35" t="s">
        <v>554</v>
      </c>
      <c r="H102" s="39" t="s">
        <v>2823</v>
      </c>
      <c r="I102" s="35" t="s">
        <v>2861</v>
      </c>
      <c r="J102" s="35" t="s">
        <v>1142</v>
      </c>
    </row>
    <row r="103" spans="1:10" ht="60" customHeight="1" x14ac:dyDescent="0.2">
      <c r="A103" s="35">
        <v>300</v>
      </c>
      <c r="B103" s="35" t="s">
        <v>1144</v>
      </c>
      <c r="C103" s="35" t="s">
        <v>973</v>
      </c>
      <c r="D103" s="35">
        <v>0</v>
      </c>
      <c r="E103" s="35"/>
      <c r="F103" s="35" t="s">
        <v>19</v>
      </c>
      <c r="G103" s="35" t="s">
        <v>59</v>
      </c>
      <c r="H103" s="39" t="s">
        <v>2823</v>
      </c>
      <c r="I103" s="35" t="s">
        <v>2865</v>
      </c>
      <c r="J103" s="35" t="s">
        <v>1147</v>
      </c>
    </row>
    <row r="104" spans="1:10" ht="60" customHeight="1" x14ac:dyDescent="0.2">
      <c r="A104" s="35">
        <v>301</v>
      </c>
      <c r="B104" s="35" t="s">
        <v>1149</v>
      </c>
      <c r="C104" s="35" t="s">
        <v>973</v>
      </c>
      <c r="D104" s="35">
        <v>0</v>
      </c>
      <c r="E104" s="35"/>
      <c r="F104" s="35" t="s">
        <v>19</v>
      </c>
      <c r="G104" s="35" t="s">
        <v>554</v>
      </c>
      <c r="H104" s="36" t="s">
        <v>2819</v>
      </c>
      <c r="I104" s="35" t="s">
        <v>2861</v>
      </c>
      <c r="J104" s="35" t="s">
        <v>1151</v>
      </c>
    </row>
    <row r="105" spans="1:10" ht="60" customHeight="1" x14ac:dyDescent="0.2">
      <c r="A105" s="35">
        <v>303</v>
      </c>
      <c r="B105" s="35" t="s">
        <v>1157</v>
      </c>
      <c r="C105" s="35" t="s">
        <v>973</v>
      </c>
      <c r="D105" s="35">
        <v>0</v>
      </c>
      <c r="E105" s="35"/>
      <c r="F105" s="35" t="s">
        <v>19</v>
      </c>
      <c r="G105" s="35" t="s">
        <v>245</v>
      </c>
      <c r="H105" s="39" t="s">
        <v>2823</v>
      </c>
      <c r="I105" s="35" t="s">
        <v>2831</v>
      </c>
      <c r="J105" s="35" t="s">
        <v>1159</v>
      </c>
    </row>
    <row r="106" spans="1:10" ht="60" customHeight="1" x14ac:dyDescent="0.2">
      <c r="A106" s="35">
        <v>304</v>
      </c>
      <c r="B106" s="35" t="s">
        <v>1161</v>
      </c>
      <c r="C106" s="35" t="s">
        <v>973</v>
      </c>
      <c r="D106" s="35">
        <v>0</v>
      </c>
      <c r="E106" s="35"/>
      <c r="F106" s="35" t="s">
        <v>19</v>
      </c>
      <c r="G106" s="35" t="s">
        <v>554</v>
      </c>
      <c r="H106" s="36" t="s">
        <v>2819</v>
      </c>
      <c r="I106" s="35" t="s">
        <v>2861</v>
      </c>
      <c r="J106" s="35" t="s">
        <v>1163</v>
      </c>
    </row>
    <row r="107" spans="1:10" ht="60" customHeight="1" x14ac:dyDescent="0.2">
      <c r="A107" s="35">
        <v>307</v>
      </c>
      <c r="B107" s="35" t="s">
        <v>1172</v>
      </c>
      <c r="C107" s="35" t="s">
        <v>973</v>
      </c>
      <c r="D107" s="35">
        <v>0</v>
      </c>
      <c r="E107" s="35"/>
      <c r="F107" s="35" t="s">
        <v>19</v>
      </c>
      <c r="G107" s="35" t="s">
        <v>245</v>
      </c>
      <c r="H107" s="37" t="s">
        <v>2817</v>
      </c>
      <c r="I107" s="35" t="s">
        <v>2831</v>
      </c>
      <c r="J107" s="35" t="s">
        <v>1174</v>
      </c>
    </row>
    <row r="108" spans="1:10" ht="60" customHeight="1" x14ac:dyDescent="0.2">
      <c r="A108" s="35">
        <v>308</v>
      </c>
      <c r="B108" s="35" t="s">
        <v>1176</v>
      </c>
      <c r="C108" s="35" t="s">
        <v>973</v>
      </c>
      <c r="D108" s="35">
        <v>0</v>
      </c>
      <c r="E108" s="35"/>
      <c r="F108" s="35" t="s">
        <v>19</v>
      </c>
      <c r="G108" s="35" t="s">
        <v>554</v>
      </c>
      <c r="H108" s="36" t="s">
        <v>2819</v>
      </c>
      <c r="I108" s="35" t="s">
        <v>2861</v>
      </c>
      <c r="J108" s="35" t="s">
        <v>1179</v>
      </c>
    </row>
  </sheetData>
  <pageMargins left="0.75" right="0.75" top="1" bottom="1" header="0.511811023622047" footer="0.511811023622047"/>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5"/>
  <sheetViews>
    <sheetView zoomScaleNormal="100" workbookViewId="0">
      <pane ySplit="1" topLeftCell="A2" activePane="bottomLeft" state="frozen"/>
      <selection pane="bottomLeft" activeCell="A2" sqref="A2"/>
    </sheetView>
  </sheetViews>
  <sheetFormatPr defaultColWidth="8.7109375" defaultRowHeight="12.75" x14ac:dyDescent="0.2"/>
  <cols>
    <col min="1" max="1" width="24" customWidth="1"/>
    <col min="2" max="3" width="16" customWidth="1"/>
    <col min="4" max="5" width="18" customWidth="1"/>
    <col min="6" max="6" width="12" customWidth="1"/>
    <col min="7" max="7" width="18" customWidth="1"/>
  </cols>
  <sheetData>
    <row r="1" spans="1:7" ht="33.75" customHeight="1" x14ac:dyDescent="0.2">
      <c r="A1" s="34" t="s">
        <v>2866</v>
      </c>
      <c r="B1" s="34" t="s">
        <v>2867</v>
      </c>
      <c r="C1" s="34" t="s">
        <v>2868</v>
      </c>
      <c r="D1" s="34" t="s">
        <v>2869</v>
      </c>
      <c r="E1" s="34" t="s">
        <v>2870</v>
      </c>
      <c r="F1" s="34" t="s">
        <v>2817</v>
      </c>
      <c r="G1" s="34" t="s">
        <v>2871</v>
      </c>
    </row>
    <row r="2" spans="1:7" x14ac:dyDescent="0.2">
      <c r="A2" t="s">
        <v>19</v>
      </c>
      <c r="B2">
        <v>90</v>
      </c>
      <c r="C2">
        <v>90</v>
      </c>
      <c r="D2">
        <v>0</v>
      </c>
      <c r="E2">
        <v>90</v>
      </c>
      <c r="F2">
        <v>0</v>
      </c>
      <c r="G2">
        <v>0</v>
      </c>
    </row>
    <row r="3" spans="1:7" x14ac:dyDescent="0.2">
      <c r="A3" t="s">
        <v>40</v>
      </c>
      <c r="B3">
        <v>21</v>
      </c>
      <c r="C3">
        <v>21</v>
      </c>
      <c r="D3">
        <v>0</v>
      </c>
      <c r="E3">
        <v>14</v>
      </c>
      <c r="F3">
        <v>7</v>
      </c>
      <c r="G3">
        <v>0</v>
      </c>
    </row>
    <row r="4" spans="1:7" x14ac:dyDescent="0.2">
      <c r="A4" t="s">
        <v>299</v>
      </c>
      <c r="B4">
        <v>16</v>
      </c>
      <c r="C4">
        <v>14</v>
      </c>
      <c r="D4">
        <v>2</v>
      </c>
      <c r="E4">
        <v>15</v>
      </c>
      <c r="F4">
        <v>0</v>
      </c>
      <c r="G4">
        <v>1</v>
      </c>
    </row>
    <row r="5" spans="1:7" x14ac:dyDescent="0.2">
      <c r="A5" t="s">
        <v>558</v>
      </c>
      <c r="B5">
        <v>10</v>
      </c>
      <c r="C5">
        <v>10</v>
      </c>
      <c r="D5">
        <v>0</v>
      </c>
      <c r="E5">
        <v>10</v>
      </c>
      <c r="F5">
        <v>0</v>
      </c>
      <c r="G5">
        <v>0</v>
      </c>
    </row>
    <row r="6" spans="1:7" x14ac:dyDescent="0.2">
      <c r="A6" t="s">
        <v>79</v>
      </c>
      <c r="B6">
        <v>52</v>
      </c>
      <c r="C6">
        <v>39</v>
      </c>
      <c r="D6">
        <v>13</v>
      </c>
      <c r="E6">
        <v>52</v>
      </c>
      <c r="F6">
        <v>0</v>
      </c>
      <c r="G6">
        <v>0</v>
      </c>
    </row>
    <row r="7" spans="1:7" x14ac:dyDescent="0.2">
      <c r="A7" t="s">
        <v>41</v>
      </c>
      <c r="B7">
        <v>30</v>
      </c>
      <c r="C7">
        <v>22</v>
      </c>
      <c r="D7">
        <v>8</v>
      </c>
      <c r="E7">
        <v>18</v>
      </c>
      <c r="F7">
        <v>3</v>
      </c>
      <c r="G7">
        <v>9</v>
      </c>
    </row>
    <row r="8" spans="1:7" x14ac:dyDescent="0.2">
      <c r="A8" t="s">
        <v>245</v>
      </c>
      <c r="B8">
        <v>12</v>
      </c>
      <c r="C8">
        <v>2</v>
      </c>
      <c r="D8">
        <v>10</v>
      </c>
      <c r="E8">
        <v>2</v>
      </c>
      <c r="F8">
        <v>2</v>
      </c>
      <c r="G8">
        <v>8</v>
      </c>
    </row>
    <row r="9" spans="1:7" x14ac:dyDescent="0.2">
      <c r="A9" t="s">
        <v>212</v>
      </c>
      <c r="B9">
        <v>10</v>
      </c>
      <c r="C9">
        <v>5</v>
      </c>
      <c r="D9">
        <v>5</v>
      </c>
      <c r="E9">
        <v>9</v>
      </c>
      <c r="F9">
        <v>1</v>
      </c>
      <c r="G9">
        <v>0</v>
      </c>
    </row>
    <row r="10" spans="1:7" x14ac:dyDescent="0.2">
      <c r="A10" t="s">
        <v>356</v>
      </c>
      <c r="B10">
        <v>10</v>
      </c>
      <c r="C10">
        <v>8</v>
      </c>
      <c r="D10">
        <v>2</v>
      </c>
      <c r="E10">
        <v>10</v>
      </c>
      <c r="F10">
        <v>0</v>
      </c>
      <c r="G10">
        <v>0</v>
      </c>
    </row>
    <row r="11" spans="1:7" x14ac:dyDescent="0.2">
      <c r="A11" t="s">
        <v>412</v>
      </c>
      <c r="B11">
        <v>10</v>
      </c>
      <c r="C11">
        <v>4</v>
      </c>
      <c r="D11">
        <v>6</v>
      </c>
      <c r="E11">
        <v>10</v>
      </c>
      <c r="F11">
        <v>0</v>
      </c>
      <c r="G11">
        <v>0</v>
      </c>
    </row>
    <row r="12" spans="1:7" x14ac:dyDescent="0.2">
      <c r="A12" t="s">
        <v>513</v>
      </c>
      <c r="B12">
        <v>10</v>
      </c>
      <c r="C12">
        <v>5</v>
      </c>
      <c r="D12">
        <v>5</v>
      </c>
      <c r="E12">
        <v>6</v>
      </c>
      <c r="F12">
        <v>4</v>
      </c>
      <c r="G12">
        <v>0</v>
      </c>
    </row>
    <row r="13" spans="1:7" x14ac:dyDescent="0.2">
      <c r="A13" t="s">
        <v>64</v>
      </c>
      <c r="B13">
        <v>19</v>
      </c>
      <c r="C13">
        <v>14</v>
      </c>
      <c r="D13">
        <v>5</v>
      </c>
      <c r="E13">
        <v>19</v>
      </c>
      <c r="F13">
        <v>0</v>
      </c>
      <c r="G13">
        <v>0</v>
      </c>
    </row>
    <row r="14" spans="1:7" x14ac:dyDescent="0.2">
      <c r="A14" t="s">
        <v>59</v>
      </c>
      <c r="B14">
        <v>10</v>
      </c>
      <c r="C14">
        <v>7</v>
      </c>
      <c r="D14">
        <v>3</v>
      </c>
      <c r="E14">
        <v>8</v>
      </c>
      <c r="F14">
        <v>1</v>
      </c>
      <c r="G14">
        <v>1</v>
      </c>
    </row>
    <row r="15" spans="1:7" x14ac:dyDescent="0.2">
      <c r="A15" t="s">
        <v>554</v>
      </c>
      <c r="B15">
        <v>11</v>
      </c>
      <c r="C15">
        <v>4</v>
      </c>
      <c r="D15">
        <v>7</v>
      </c>
      <c r="E15">
        <v>8</v>
      </c>
      <c r="F15">
        <v>0</v>
      </c>
      <c r="G15">
        <v>3</v>
      </c>
    </row>
  </sheetData>
  <pageMargins left="0.75" right="0.75" top="1" bottom="1" header="0.511811023622047" footer="0.511811023622047"/>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312"/>
  <sheetViews>
    <sheetView zoomScaleNormal="100" workbookViewId="0">
      <pane ySplit="1" topLeftCell="A2" activePane="bottomLeft" state="frozen"/>
      <selection pane="bottomLeft" activeCell="A2" sqref="A2"/>
    </sheetView>
  </sheetViews>
  <sheetFormatPr defaultColWidth="8.7109375" defaultRowHeight="12.75" x14ac:dyDescent="0.2"/>
  <cols>
    <col min="1" max="1" width="8" customWidth="1"/>
    <col min="2" max="2" width="34" customWidth="1"/>
    <col min="3" max="3" width="14" customWidth="1"/>
    <col min="4" max="4" width="12" customWidth="1"/>
    <col min="5" max="5" width="48" customWidth="1"/>
    <col min="6" max="6" width="12" customWidth="1"/>
    <col min="7" max="7" width="31" customWidth="1"/>
    <col min="8" max="8" width="24" customWidth="1"/>
    <col min="9" max="9" width="25" customWidth="1"/>
    <col min="10" max="10" width="23" customWidth="1"/>
    <col min="11" max="11" width="36" customWidth="1"/>
    <col min="12" max="12" width="25" customWidth="1"/>
    <col min="13" max="14" width="72" customWidth="1"/>
    <col min="15" max="15" width="18" customWidth="1"/>
    <col min="16" max="16" width="38" customWidth="1"/>
  </cols>
  <sheetData>
    <row r="1" spans="1:16" ht="33.75" customHeight="1" x14ac:dyDescent="0.2">
      <c r="A1" s="34" t="s">
        <v>0</v>
      </c>
      <c r="B1" s="34" t="s">
        <v>1</v>
      </c>
      <c r="C1" s="34" t="s">
        <v>2</v>
      </c>
      <c r="D1" s="34" t="s">
        <v>3</v>
      </c>
      <c r="E1" s="34" t="s">
        <v>2872</v>
      </c>
      <c r="F1" s="34" t="s">
        <v>1251</v>
      </c>
      <c r="G1" s="34" t="s">
        <v>1376</v>
      </c>
      <c r="H1" s="34" t="s">
        <v>2873</v>
      </c>
      <c r="I1" s="34" t="s">
        <v>2874</v>
      </c>
      <c r="J1" s="34" t="s">
        <v>2875</v>
      </c>
      <c r="K1" s="34" t="s">
        <v>2876</v>
      </c>
      <c r="L1" s="34" t="s">
        <v>2816</v>
      </c>
      <c r="M1" s="34" t="s">
        <v>2877</v>
      </c>
      <c r="N1" s="34" t="s">
        <v>11</v>
      </c>
      <c r="O1" s="34" t="s">
        <v>2878</v>
      </c>
      <c r="P1" s="34" t="s">
        <v>2879</v>
      </c>
    </row>
    <row r="2" spans="1:16" ht="54" customHeight="1" x14ac:dyDescent="0.2">
      <c r="A2" s="35">
        <v>1</v>
      </c>
      <c r="B2" s="35" t="s">
        <v>16</v>
      </c>
      <c r="C2" s="35" t="s">
        <v>17</v>
      </c>
      <c r="D2" s="35" t="s">
        <v>18</v>
      </c>
      <c r="E2" s="35" t="s">
        <v>16</v>
      </c>
      <c r="F2" s="35">
        <v>1</v>
      </c>
      <c r="G2" s="35" t="s">
        <v>1378</v>
      </c>
      <c r="H2" s="35" t="s">
        <v>19</v>
      </c>
      <c r="I2" s="35" t="s">
        <v>2880</v>
      </c>
      <c r="J2" s="35" t="s">
        <v>19</v>
      </c>
      <c r="K2" s="35"/>
      <c r="L2" s="88" t="s">
        <v>2827</v>
      </c>
      <c r="M2" s="35" t="s">
        <v>2821</v>
      </c>
      <c r="N2" s="35" t="s">
        <v>25</v>
      </c>
      <c r="O2" s="35"/>
      <c r="P2" s="35"/>
    </row>
    <row r="3" spans="1:16" ht="54" customHeight="1" x14ac:dyDescent="0.2">
      <c r="A3" s="35">
        <v>2</v>
      </c>
      <c r="B3" s="35" t="s">
        <v>27</v>
      </c>
      <c r="C3" s="35" t="s">
        <v>17</v>
      </c>
      <c r="D3" s="35" t="s">
        <v>18</v>
      </c>
      <c r="E3" s="35" t="s">
        <v>27</v>
      </c>
      <c r="F3" s="35">
        <v>1</v>
      </c>
      <c r="G3" s="35" t="s">
        <v>1378</v>
      </c>
      <c r="H3" s="35" t="s">
        <v>2881</v>
      </c>
      <c r="I3" s="35" t="s">
        <v>2882</v>
      </c>
      <c r="J3" s="35" t="s">
        <v>19</v>
      </c>
      <c r="K3" s="35" t="s">
        <v>2881</v>
      </c>
      <c r="L3" s="88" t="s">
        <v>2827</v>
      </c>
      <c r="M3" s="35" t="s">
        <v>2821</v>
      </c>
      <c r="N3" s="35" t="s">
        <v>31</v>
      </c>
      <c r="O3" s="35"/>
      <c r="P3" s="35"/>
    </row>
    <row r="4" spans="1:16" ht="54" customHeight="1" x14ac:dyDescent="0.2">
      <c r="A4" s="35">
        <v>3</v>
      </c>
      <c r="B4" s="35" t="s">
        <v>33</v>
      </c>
      <c r="C4" s="35" t="s">
        <v>17</v>
      </c>
      <c r="D4" s="35" t="s">
        <v>18</v>
      </c>
      <c r="E4" s="35" t="s">
        <v>33</v>
      </c>
      <c r="F4" s="35">
        <v>1</v>
      </c>
      <c r="G4" s="35" t="s">
        <v>1378</v>
      </c>
      <c r="H4" s="35" t="s">
        <v>2883</v>
      </c>
      <c r="I4" s="35" t="s">
        <v>2882</v>
      </c>
      <c r="J4" s="35" t="s">
        <v>19</v>
      </c>
      <c r="K4" s="35" t="s">
        <v>2883</v>
      </c>
      <c r="L4" s="88" t="s">
        <v>2827</v>
      </c>
      <c r="M4" s="35" t="s">
        <v>2821</v>
      </c>
      <c r="N4" s="35" t="s">
        <v>37</v>
      </c>
      <c r="O4" s="35"/>
      <c r="P4" s="35"/>
    </row>
    <row r="5" spans="1:16" ht="54" customHeight="1" x14ac:dyDescent="0.2">
      <c r="A5" s="35">
        <v>4</v>
      </c>
      <c r="B5" s="35" t="s">
        <v>39</v>
      </c>
      <c r="C5" s="35" t="s">
        <v>17</v>
      </c>
      <c r="D5" s="35" t="s">
        <v>18</v>
      </c>
      <c r="E5" s="35" t="s">
        <v>39</v>
      </c>
      <c r="F5" s="35">
        <v>1</v>
      </c>
      <c r="G5" s="35" t="s">
        <v>1378</v>
      </c>
      <c r="H5" s="35" t="s">
        <v>2884</v>
      </c>
      <c r="I5" s="35" t="s">
        <v>2882</v>
      </c>
      <c r="J5" s="35" t="s">
        <v>40</v>
      </c>
      <c r="K5" s="35" t="s">
        <v>2884</v>
      </c>
      <c r="L5" s="89" t="s">
        <v>2817</v>
      </c>
      <c r="M5" s="35" t="s">
        <v>2818</v>
      </c>
      <c r="N5" s="35" t="s">
        <v>44</v>
      </c>
      <c r="O5" s="35"/>
      <c r="P5" s="35"/>
    </row>
    <row r="6" spans="1:16" ht="54" customHeight="1" x14ac:dyDescent="0.2">
      <c r="A6" s="35">
        <v>5</v>
      </c>
      <c r="B6" s="35" t="s">
        <v>46</v>
      </c>
      <c r="C6" s="35" t="s">
        <v>17</v>
      </c>
      <c r="D6" s="35" t="s">
        <v>18</v>
      </c>
      <c r="E6" s="35" t="s">
        <v>46</v>
      </c>
      <c r="F6" s="35">
        <v>1</v>
      </c>
      <c r="G6" s="35" t="s">
        <v>1378</v>
      </c>
      <c r="H6" s="35" t="s">
        <v>2885</v>
      </c>
      <c r="I6" s="35" t="s">
        <v>2886</v>
      </c>
      <c r="J6" s="35" t="s">
        <v>19</v>
      </c>
      <c r="K6" s="35" t="s">
        <v>2885</v>
      </c>
      <c r="L6" s="88" t="s">
        <v>2827</v>
      </c>
      <c r="M6" s="35" t="s">
        <v>2821</v>
      </c>
      <c r="N6" s="35" t="s">
        <v>50</v>
      </c>
      <c r="O6" s="35"/>
      <c r="P6" s="35"/>
    </row>
    <row r="7" spans="1:16" ht="54" customHeight="1" x14ac:dyDescent="0.2">
      <c r="A7" s="35">
        <v>6</v>
      </c>
      <c r="B7" s="35" t="s">
        <v>52</v>
      </c>
      <c r="C7" s="35" t="s">
        <v>17</v>
      </c>
      <c r="D7" s="35" t="s">
        <v>18</v>
      </c>
      <c r="E7" s="35" t="s">
        <v>52</v>
      </c>
      <c r="F7" s="35">
        <v>1</v>
      </c>
      <c r="G7" s="35" t="s">
        <v>1385</v>
      </c>
      <c r="H7" s="35" t="s">
        <v>2887</v>
      </c>
      <c r="I7" s="35" t="s">
        <v>2880</v>
      </c>
      <c r="J7" s="35" t="s">
        <v>40</v>
      </c>
      <c r="K7" s="35"/>
      <c r="L7" s="88" t="s">
        <v>2819</v>
      </c>
      <c r="M7" s="35" t="s">
        <v>2820</v>
      </c>
      <c r="N7" s="35" t="s">
        <v>56</v>
      </c>
      <c r="O7" s="35"/>
      <c r="P7" s="35"/>
    </row>
    <row r="8" spans="1:16" ht="54" customHeight="1" x14ac:dyDescent="0.2">
      <c r="A8" s="35">
        <v>7</v>
      </c>
      <c r="B8" s="35" t="s">
        <v>58</v>
      </c>
      <c r="C8" s="35" t="s">
        <v>17</v>
      </c>
      <c r="D8" s="35" t="s">
        <v>18</v>
      </c>
      <c r="E8" s="35" t="s">
        <v>58</v>
      </c>
      <c r="F8" s="35">
        <v>1</v>
      </c>
      <c r="G8" s="35" t="s">
        <v>1378</v>
      </c>
      <c r="H8" s="35" t="s">
        <v>2888</v>
      </c>
      <c r="I8" s="35" t="s">
        <v>2880</v>
      </c>
      <c r="J8" s="35" t="s">
        <v>59</v>
      </c>
      <c r="K8" s="35"/>
      <c r="L8" s="88" t="s">
        <v>2819</v>
      </c>
      <c r="M8" s="35" t="s">
        <v>2821</v>
      </c>
      <c r="N8" s="35" t="s">
        <v>61</v>
      </c>
      <c r="O8" s="35"/>
      <c r="P8" s="35"/>
    </row>
    <row r="9" spans="1:16" ht="54" customHeight="1" x14ac:dyDescent="0.2">
      <c r="A9" s="35">
        <v>8</v>
      </c>
      <c r="B9" s="35" t="s">
        <v>63</v>
      </c>
      <c r="C9" s="35" t="s">
        <v>17</v>
      </c>
      <c r="D9" s="35" t="s">
        <v>18</v>
      </c>
      <c r="E9" s="35" t="s">
        <v>63</v>
      </c>
      <c r="F9" s="35">
        <v>1</v>
      </c>
      <c r="G9" s="35" t="s">
        <v>1378</v>
      </c>
      <c r="H9" s="35" t="s">
        <v>2889</v>
      </c>
      <c r="I9" s="35" t="s">
        <v>2886</v>
      </c>
      <c r="J9" s="35" t="s">
        <v>64</v>
      </c>
      <c r="K9" s="35" t="s">
        <v>2889</v>
      </c>
      <c r="L9" s="88" t="s">
        <v>2819</v>
      </c>
      <c r="M9" s="35" t="s">
        <v>2821</v>
      </c>
      <c r="N9" s="35" t="s">
        <v>65</v>
      </c>
      <c r="O9" s="35"/>
      <c r="P9" s="35"/>
    </row>
    <row r="10" spans="1:16" ht="54" customHeight="1" x14ac:dyDescent="0.2">
      <c r="A10" s="35">
        <v>9</v>
      </c>
      <c r="B10" s="35" t="s">
        <v>67</v>
      </c>
      <c r="C10" s="35" t="s">
        <v>17</v>
      </c>
      <c r="D10" s="35" t="s">
        <v>18</v>
      </c>
      <c r="E10" s="35" t="s">
        <v>67</v>
      </c>
      <c r="F10" s="35">
        <v>1</v>
      </c>
      <c r="G10" s="35" t="s">
        <v>1378</v>
      </c>
      <c r="H10" s="35" t="s">
        <v>19</v>
      </c>
      <c r="I10" s="35" t="s">
        <v>2880</v>
      </c>
      <c r="J10" s="35" t="s">
        <v>19</v>
      </c>
      <c r="K10" s="35"/>
      <c r="L10" s="88" t="s">
        <v>2827</v>
      </c>
      <c r="M10" s="35" t="s">
        <v>2821</v>
      </c>
      <c r="N10" s="35" t="s">
        <v>70</v>
      </c>
      <c r="O10" s="35"/>
      <c r="P10" s="35"/>
    </row>
    <row r="11" spans="1:16" ht="54" customHeight="1" x14ac:dyDescent="0.2">
      <c r="A11" s="35">
        <v>10</v>
      </c>
      <c r="B11" s="35" t="s">
        <v>72</v>
      </c>
      <c r="C11" s="35" t="s">
        <v>17</v>
      </c>
      <c r="D11" s="35" t="s">
        <v>18</v>
      </c>
      <c r="E11" s="35" t="s">
        <v>72</v>
      </c>
      <c r="F11" s="35">
        <v>1</v>
      </c>
      <c r="G11" s="35" t="s">
        <v>1385</v>
      </c>
      <c r="H11" s="35" t="s">
        <v>2890</v>
      </c>
      <c r="I11" s="35" t="s">
        <v>2880</v>
      </c>
      <c r="J11" s="35" t="s">
        <v>40</v>
      </c>
      <c r="K11" s="35"/>
      <c r="L11" s="88" t="s">
        <v>2819</v>
      </c>
      <c r="M11" s="35" t="s">
        <v>2820</v>
      </c>
      <c r="N11" s="35" t="s">
        <v>76</v>
      </c>
      <c r="O11" s="35"/>
      <c r="P11" s="35"/>
    </row>
    <row r="12" spans="1:16" ht="54" customHeight="1" x14ac:dyDescent="0.2">
      <c r="A12" s="35">
        <v>11</v>
      </c>
      <c r="B12" s="35" t="s">
        <v>78</v>
      </c>
      <c r="C12" s="35" t="s">
        <v>17</v>
      </c>
      <c r="D12" s="35" t="s">
        <v>18</v>
      </c>
      <c r="E12" s="35" t="s">
        <v>78</v>
      </c>
      <c r="F12" s="35">
        <v>1</v>
      </c>
      <c r="G12" s="35" t="s">
        <v>1378</v>
      </c>
      <c r="H12" s="35" t="s">
        <v>2891</v>
      </c>
      <c r="I12" s="35" t="s">
        <v>2886</v>
      </c>
      <c r="J12" s="35" t="s">
        <v>19</v>
      </c>
      <c r="K12" s="35" t="s">
        <v>2891</v>
      </c>
      <c r="L12" s="88" t="s">
        <v>2827</v>
      </c>
      <c r="M12" s="35" t="s">
        <v>2821</v>
      </c>
      <c r="N12" s="35" t="s">
        <v>82</v>
      </c>
      <c r="O12" s="35"/>
      <c r="P12" s="35"/>
    </row>
    <row r="13" spans="1:16" ht="54" customHeight="1" x14ac:dyDescent="0.2">
      <c r="A13" s="35">
        <v>12</v>
      </c>
      <c r="B13" s="35" t="s">
        <v>84</v>
      </c>
      <c r="C13" s="35" t="s">
        <v>17</v>
      </c>
      <c r="D13" s="35" t="s">
        <v>18</v>
      </c>
      <c r="E13" s="35" t="s">
        <v>84</v>
      </c>
      <c r="F13" s="35">
        <v>1</v>
      </c>
      <c r="G13" s="35" t="s">
        <v>1378</v>
      </c>
      <c r="H13" s="35" t="s">
        <v>19</v>
      </c>
      <c r="I13" s="35" t="s">
        <v>2880</v>
      </c>
      <c r="J13" s="35" t="s">
        <v>19</v>
      </c>
      <c r="K13" s="35"/>
      <c r="L13" s="88" t="s">
        <v>2819</v>
      </c>
      <c r="M13" s="35" t="s">
        <v>2821</v>
      </c>
      <c r="N13" s="35" t="s">
        <v>85</v>
      </c>
      <c r="O13" s="35"/>
      <c r="P13" s="35"/>
    </row>
    <row r="14" spans="1:16" ht="54" customHeight="1" x14ac:dyDescent="0.2">
      <c r="A14" s="35">
        <v>13</v>
      </c>
      <c r="B14" s="35" t="s">
        <v>87</v>
      </c>
      <c r="C14" s="35" t="s">
        <v>17</v>
      </c>
      <c r="D14" s="35" t="s">
        <v>18</v>
      </c>
      <c r="E14" s="35" t="s">
        <v>87</v>
      </c>
      <c r="F14" s="35">
        <v>1</v>
      </c>
      <c r="G14" s="35" t="s">
        <v>1378</v>
      </c>
      <c r="H14" s="35" t="s">
        <v>2883</v>
      </c>
      <c r="I14" s="35" t="s">
        <v>2882</v>
      </c>
      <c r="J14" s="35" t="s">
        <v>40</v>
      </c>
      <c r="K14" s="35" t="s">
        <v>2883</v>
      </c>
      <c r="L14" s="89" t="s">
        <v>2817</v>
      </c>
      <c r="M14" s="35" t="s">
        <v>2818</v>
      </c>
      <c r="N14" s="35" t="s">
        <v>90</v>
      </c>
      <c r="O14" s="35"/>
      <c r="P14" s="35"/>
    </row>
    <row r="15" spans="1:16" ht="54" customHeight="1" x14ac:dyDescent="0.2">
      <c r="A15" s="35">
        <v>14</v>
      </c>
      <c r="B15" s="35" t="s">
        <v>92</v>
      </c>
      <c r="C15" s="35" t="s">
        <v>17</v>
      </c>
      <c r="D15" s="35" t="s">
        <v>18</v>
      </c>
      <c r="E15" s="35" t="s">
        <v>92</v>
      </c>
      <c r="F15" s="35">
        <v>1</v>
      </c>
      <c r="G15" s="35" t="s">
        <v>1378</v>
      </c>
      <c r="H15" s="35" t="s">
        <v>2881</v>
      </c>
      <c r="I15" s="35" t="s">
        <v>2882</v>
      </c>
      <c r="J15" s="35" t="s">
        <v>19</v>
      </c>
      <c r="K15" s="35" t="s">
        <v>2881</v>
      </c>
      <c r="L15" s="88" t="s">
        <v>2827</v>
      </c>
      <c r="M15" s="35" t="s">
        <v>2821</v>
      </c>
      <c r="N15" s="35" t="s">
        <v>94</v>
      </c>
      <c r="O15" s="35"/>
      <c r="P15" s="35"/>
    </row>
    <row r="16" spans="1:16" ht="54" customHeight="1" x14ac:dyDescent="0.2">
      <c r="A16" s="35">
        <v>15</v>
      </c>
      <c r="B16" s="35" t="s">
        <v>96</v>
      </c>
      <c r="C16" s="35" t="s">
        <v>17</v>
      </c>
      <c r="D16" s="35" t="s">
        <v>18</v>
      </c>
      <c r="E16" s="35" t="s">
        <v>96</v>
      </c>
      <c r="F16" s="35">
        <v>1</v>
      </c>
      <c r="G16" s="35" t="s">
        <v>1378</v>
      </c>
      <c r="H16" s="35" t="s">
        <v>19</v>
      </c>
      <c r="I16" s="35" t="s">
        <v>2880</v>
      </c>
      <c r="J16" s="35" t="s">
        <v>19</v>
      </c>
      <c r="K16" s="35"/>
      <c r="L16" s="88" t="s">
        <v>2827</v>
      </c>
      <c r="M16" s="35" t="s">
        <v>2821</v>
      </c>
      <c r="N16" s="35" t="s">
        <v>97</v>
      </c>
      <c r="O16" s="35"/>
      <c r="P16" s="35"/>
    </row>
    <row r="17" spans="1:16" ht="54" customHeight="1" x14ac:dyDescent="0.2">
      <c r="A17" s="35">
        <v>16</v>
      </c>
      <c r="B17" s="35" t="s">
        <v>99</v>
      </c>
      <c r="C17" s="35" t="s">
        <v>17</v>
      </c>
      <c r="D17" s="35" t="s">
        <v>18</v>
      </c>
      <c r="E17" s="35" t="s">
        <v>99</v>
      </c>
      <c r="F17" s="35">
        <v>1</v>
      </c>
      <c r="G17" s="35" t="s">
        <v>1378</v>
      </c>
      <c r="H17" s="35" t="s">
        <v>19</v>
      </c>
      <c r="I17" s="35" t="s">
        <v>2880</v>
      </c>
      <c r="J17" s="35" t="s">
        <v>19</v>
      </c>
      <c r="K17" s="35"/>
      <c r="L17" s="88" t="s">
        <v>2819</v>
      </c>
      <c r="M17" s="35" t="s">
        <v>2821</v>
      </c>
      <c r="N17" s="35" t="s">
        <v>100</v>
      </c>
      <c r="O17" s="35"/>
      <c r="P17" s="35"/>
    </row>
    <row r="18" spans="1:16" ht="54" customHeight="1" x14ac:dyDescent="0.2">
      <c r="A18" s="35">
        <v>17</v>
      </c>
      <c r="B18" s="35" t="s">
        <v>103</v>
      </c>
      <c r="C18" s="35" t="s">
        <v>17</v>
      </c>
      <c r="D18" s="35" t="s">
        <v>18</v>
      </c>
      <c r="E18" s="35" t="s">
        <v>103</v>
      </c>
      <c r="F18" s="35">
        <v>1</v>
      </c>
      <c r="G18" s="35" t="s">
        <v>1397</v>
      </c>
      <c r="H18" s="35" t="s">
        <v>2892</v>
      </c>
      <c r="I18" s="35" t="s">
        <v>2882</v>
      </c>
      <c r="J18" s="35" t="s">
        <v>41</v>
      </c>
      <c r="K18" s="35" t="s">
        <v>2892</v>
      </c>
      <c r="L18" s="88" t="s">
        <v>2819</v>
      </c>
      <c r="M18" s="35" t="s">
        <v>2822</v>
      </c>
      <c r="N18" s="35" t="s">
        <v>104</v>
      </c>
      <c r="O18" s="35"/>
      <c r="P18" s="35"/>
    </row>
    <row r="19" spans="1:16" ht="54" customHeight="1" x14ac:dyDescent="0.2">
      <c r="A19" s="35">
        <v>18</v>
      </c>
      <c r="B19" s="35" t="s">
        <v>106</v>
      </c>
      <c r="C19" s="35" t="s">
        <v>17</v>
      </c>
      <c r="D19" s="35" t="s">
        <v>18</v>
      </c>
      <c r="E19" s="35" t="s">
        <v>106</v>
      </c>
      <c r="F19" s="35">
        <v>1</v>
      </c>
      <c r="G19" s="35" t="s">
        <v>1378</v>
      </c>
      <c r="H19" s="35" t="s">
        <v>2888</v>
      </c>
      <c r="I19" s="35" t="s">
        <v>2880</v>
      </c>
      <c r="J19" s="35" t="s">
        <v>59</v>
      </c>
      <c r="K19" s="35"/>
      <c r="L19" s="88" t="s">
        <v>2819</v>
      </c>
      <c r="M19" s="35" t="s">
        <v>2821</v>
      </c>
      <c r="N19" s="35" t="s">
        <v>107</v>
      </c>
      <c r="O19" s="35"/>
      <c r="P19" s="35"/>
    </row>
    <row r="20" spans="1:16" ht="54" customHeight="1" x14ac:dyDescent="0.2">
      <c r="A20" s="35">
        <v>19</v>
      </c>
      <c r="B20" s="35" t="s">
        <v>109</v>
      </c>
      <c r="C20" s="35" t="s">
        <v>17</v>
      </c>
      <c r="D20" s="35" t="s">
        <v>18</v>
      </c>
      <c r="E20" s="35" t="s">
        <v>109</v>
      </c>
      <c r="F20" s="35">
        <v>1</v>
      </c>
      <c r="G20" s="35" t="s">
        <v>1378</v>
      </c>
      <c r="H20" s="35" t="s">
        <v>2893</v>
      </c>
      <c r="I20" s="35" t="s">
        <v>2886</v>
      </c>
      <c r="J20" s="35" t="s">
        <v>19</v>
      </c>
      <c r="K20" s="35" t="s">
        <v>2893</v>
      </c>
      <c r="L20" s="88" t="s">
        <v>2827</v>
      </c>
      <c r="M20" s="35" t="s">
        <v>2821</v>
      </c>
      <c r="N20" s="35" t="s">
        <v>113</v>
      </c>
      <c r="O20" s="35"/>
      <c r="P20" s="35"/>
    </row>
    <row r="21" spans="1:16" ht="54" customHeight="1" x14ac:dyDescent="0.2">
      <c r="A21" s="35">
        <v>20</v>
      </c>
      <c r="B21" s="35" t="s">
        <v>115</v>
      </c>
      <c r="C21" s="35" t="s">
        <v>17</v>
      </c>
      <c r="D21" s="35" t="s">
        <v>18</v>
      </c>
      <c r="E21" s="35" t="s">
        <v>115</v>
      </c>
      <c r="F21" s="35">
        <v>1</v>
      </c>
      <c r="G21" s="35" t="s">
        <v>1385</v>
      </c>
      <c r="H21" s="35" t="s">
        <v>2890</v>
      </c>
      <c r="I21" s="35" t="s">
        <v>2880</v>
      </c>
      <c r="J21" s="35" t="s">
        <v>40</v>
      </c>
      <c r="K21" s="35"/>
      <c r="L21" s="88" t="s">
        <v>2819</v>
      </c>
      <c r="M21" s="35" t="s">
        <v>2820</v>
      </c>
      <c r="N21" s="35" t="s">
        <v>117</v>
      </c>
      <c r="O21" s="35"/>
      <c r="P21" s="35"/>
    </row>
    <row r="22" spans="1:16" ht="54" customHeight="1" x14ac:dyDescent="0.2">
      <c r="A22" s="35">
        <v>21</v>
      </c>
      <c r="B22" s="35" t="s">
        <v>119</v>
      </c>
      <c r="C22" s="35" t="s">
        <v>17</v>
      </c>
      <c r="D22" s="35" t="s">
        <v>18</v>
      </c>
      <c r="E22" s="35" t="s">
        <v>119</v>
      </c>
      <c r="F22" s="35">
        <v>1</v>
      </c>
      <c r="G22" s="35" t="s">
        <v>1378</v>
      </c>
      <c r="H22" s="35" t="s">
        <v>2894</v>
      </c>
      <c r="I22" s="35" t="s">
        <v>2886</v>
      </c>
      <c r="J22" s="35" t="s">
        <v>41</v>
      </c>
      <c r="K22" s="35" t="s">
        <v>2894</v>
      </c>
      <c r="L22" s="90" t="s">
        <v>2823</v>
      </c>
      <c r="M22" s="35" t="s">
        <v>2824</v>
      </c>
      <c r="N22" s="35" t="s">
        <v>120</v>
      </c>
      <c r="O22" s="35"/>
      <c r="P22" s="35"/>
    </row>
    <row r="23" spans="1:16" ht="54" customHeight="1" x14ac:dyDescent="0.2">
      <c r="A23" s="35">
        <v>22</v>
      </c>
      <c r="B23" s="35" t="s">
        <v>122</v>
      </c>
      <c r="C23" s="35" t="s">
        <v>17</v>
      </c>
      <c r="D23" s="35" t="s">
        <v>18</v>
      </c>
      <c r="E23" s="35" t="s">
        <v>122</v>
      </c>
      <c r="F23" s="35">
        <v>1</v>
      </c>
      <c r="G23" s="35" t="s">
        <v>1378</v>
      </c>
      <c r="H23" s="35" t="s">
        <v>2883</v>
      </c>
      <c r="I23" s="35" t="s">
        <v>2882</v>
      </c>
      <c r="J23" s="35" t="s">
        <v>40</v>
      </c>
      <c r="K23" s="35" t="s">
        <v>2883</v>
      </c>
      <c r="L23" s="89" t="s">
        <v>2817</v>
      </c>
      <c r="M23" s="35" t="s">
        <v>2818</v>
      </c>
      <c r="N23" s="35" t="s">
        <v>124</v>
      </c>
      <c r="O23" s="35"/>
      <c r="P23" s="35"/>
    </row>
    <row r="24" spans="1:16" ht="54" customHeight="1" x14ac:dyDescent="0.2">
      <c r="A24" s="35">
        <v>23</v>
      </c>
      <c r="B24" s="35" t="s">
        <v>126</v>
      </c>
      <c r="C24" s="35" t="s">
        <v>17</v>
      </c>
      <c r="D24" s="35" t="s">
        <v>18</v>
      </c>
      <c r="E24" s="35" t="s">
        <v>126</v>
      </c>
      <c r="F24" s="35">
        <v>1</v>
      </c>
      <c r="G24" s="35" t="s">
        <v>1385</v>
      </c>
      <c r="H24" s="35" t="s">
        <v>2895</v>
      </c>
      <c r="I24" s="35" t="s">
        <v>2886</v>
      </c>
      <c r="J24" s="35" t="s">
        <v>40</v>
      </c>
      <c r="K24" s="35" t="s">
        <v>2895</v>
      </c>
      <c r="L24" s="88" t="s">
        <v>2835</v>
      </c>
      <c r="M24" s="35" t="s">
        <v>2820</v>
      </c>
      <c r="N24" s="35" t="s">
        <v>129</v>
      </c>
      <c r="O24" s="35"/>
      <c r="P24" s="35"/>
    </row>
    <row r="25" spans="1:16" ht="54" customHeight="1" x14ac:dyDescent="0.2">
      <c r="A25" s="35">
        <v>24</v>
      </c>
      <c r="B25" s="35" t="s">
        <v>131</v>
      </c>
      <c r="C25" s="35" t="s">
        <v>17</v>
      </c>
      <c r="D25" s="35" t="s">
        <v>18</v>
      </c>
      <c r="E25" s="35" t="s">
        <v>131</v>
      </c>
      <c r="F25" s="35">
        <v>1</v>
      </c>
      <c r="G25" s="35" t="s">
        <v>1378</v>
      </c>
      <c r="H25" s="35" t="s">
        <v>2896</v>
      </c>
      <c r="I25" s="35" t="s">
        <v>2886</v>
      </c>
      <c r="J25" s="35" t="s">
        <v>41</v>
      </c>
      <c r="K25" s="35" t="s">
        <v>2896</v>
      </c>
      <c r="L25" s="90" t="s">
        <v>2823</v>
      </c>
      <c r="M25" s="35" t="s">
        <v>2824</v>
      </c>
      <c r="N25" s="35" t="s">
        <v>133</v>
      </c>
      <c r="O25" s="35"/>
      <c r="P25" s="35"/>
    </row>
    <row r="26" spans="1:16" ht="54" customHeight="1" x14ac:dyDescent="0.2">
      <c r="A26" s="35">
        <v>25</v>
      </c>
      <c r="B26" s="35" t="s">
        <v>135</v>
      </c>
      <c r="C26" s="35" t="s">
        <v>17</v>
      </c>
      <c r="D26" s="35" t="s">
        <v>18</v>
      </c>
      <c r="E26" s="35" t="s">
        <v>135</v>
      </c>
      <c r="F26" s="35">
        <v>1</v>
      </c>
      <c r="G26" s="35" t="s">
        <v>1378</v>
      </c>
      <c r="H26" s="35" t="s">
        <v>2897</v>
      </c>
      <c r="I26" s="35" t="s">
        <v>2886</v>
      </c>
      <c r="J26" s="35" t="s">
        <v>19</v>
      </c>
      <c r="K26" s="35" t="s">
        <v>2897</v>
      </c>
      <c r="L26" s="88" t="s">
        <v>2827</v>
      </c>
      <c r="M26" s="35" t="s">
        <v>2821</v>
      </c>
      <c r="N26" s="35" t="s">
        <v>136</v>
      </c>
      <c r="O26" s="35"/>
      <c r="P26" s="35"/>
    </row>
    <row r="27" spans="1:16" ht="54" customHeight="1" x14ac:dyDescent="0.2">
      <c r="A27" s="35">
        <v>26</v>
      </c>
      <c r="B27" s="35" t="s">
        <v>138</v>
      </c>
      <c r="C27" s="35" t="s">
        <v>17</v>
      </c>
      <c r="D27" s="35" t="s">
        <v>18</v>
      </c>
      <c r="E27" s="35" t="s">
        <v>138</v>
      </c>
      <c r="F27" s="35">
        <v>1</v>
      </c>
      <c r="G27" s="35" t="s">
        <v>1378</v>
      </c>
      <c r="H27" s="35" t="s">
        <v>2898</v>
      </c>
      <c r="I27" s="35" t="s">
        <v>2886</v>
      </c>
      <c r="J27" s="35" t="s">
        <v>41</v>
      </c>
      <c r="K27" s="35" t="s">
        <v>2898</v>
      </c>
      <c r="L27" s="88" t="s">
        <v>2827</v>
      </c>
      <c r="M27" s="35" t="s">
        <v>2821</v>
      </c>
      <c r="N27" s="35" t="s">
        <v>139</v>
      </c>
      <c r="O27" s="35"/>
      <c r="P27" s="35"/>
    </row>
    <row r="28" spans="1:16" ht="54" customHeight="1" x14ac:dyDescent="0.2">
      <c r="A28" s="35">
        <v>27</v>
      </c>
      <c r="B28" s="35" t="s">
        <v>141</v>
      </c>
      <c r="C28" s="35" t="s">
        <v>17</v>
      </c>
      <c r="D28" s="35" t="s">
        <v>18</v>
      </c>
      <c r="E28" s="35" t="s">
        <v>141</v>
      </c>
      <c r="F28" s="35">
        <v>1</v>
      </c>
      <c r="G28" s="35" t="s">
        <v>1385</v>
      </c>
      <c r="H28" s="35" t="s">
        <v>2899</v>
      </c>
      <c r="I28" s="35" t="s">
        <v>2886</v>
      </c>
      <c r="J28" s="35" t="s">
        <v>40</v>
      </c>
      <c r="K28" s="35" t="s">
        <v>2899</v>
      </c>
      <c r="L28" s="88" t="s">
        <v>2835</v>
      </c>
      <c r="M28" s="35" t="s">
        <v>2820</v>
      </c>
      <c r="N28" s="35" t="s">
        <v>142</v>
      </c>
      <c r="O28" s="35"/>
      <c r="P28" s="35"/>
    </row>
    <row r="29" spans="1:16" ht="54" customHeight="1" x14ac:dyDescent="0.2">
      <c r="A29" s="35">
        <v>28</v>
      </c>
      <c r="B29" s="35" t="s">
        <v>144</v>
      </c>
      <c r="C29" s="35" t="s">
        <v>17</v>
      </c>
      <c r="D29" s="35" t="s">
        <v>18</v>
      </c>
      <c r="E29" s="35" t="s">
        <v>144</v>
      </c>
      <c r="F29" s="35">
        <v>1</v>
      </c>
      <c r="G29" s="35" t="s">
        <v>1378</v>
      </c>
      <c r="H29" s="35" t="s">
        <v>2891</v>
      </c>
      <c r="I29" s="35" t="s">
        <v>2886</v>
      </c>
      <c r="J29" s="35" t="s">
        <v>19</v>
      </c>
      <c r="K29" s="35" t="s">
        <v>2891</v>
      </c>
      <c r="L29" s="88" t="s">
        <v>2827</v>
      </c>
      <c r="M29" s="35" t="s">
        <v>2821</v>
      </c>
      <c r="N29" s="35" t="s">
        <v>145</v>
      </c>
      <c r="O29" s="35"/>
      <c r="P29" s="35"/>
    </row>
    <row r="30" spans="1:16" ht="54" customHeight="1" x14ac:dyDescent="0.2">
      <c r="A30" s="35">
        <v>29</v>
      </c>
      <c r="B30" s="35" t="s">
        <v>147</v>
      </c>
      <c r="C30" s="35" t="s">
        <v>17</v>
      </c>
      <c r="D30" s="35" t="s">
        <v>18</v>
      </c>
      <c r="E30" s="35" t="s">
        <v>147</v>
      </c>
      <c r="F30" s="35">
        <v>1</v>
      </c>
      <c r="G30" s="35" t="s">
        <v>1378</v>
      </c>
      <c r="H30" s="35" t="s">
        <v>2900</v>
      </c>
      <c r="I30" s="35" t="s">
        <v>2886</v>
      </c>
      <c r="J30" s="35" t="s">
        <v>19</v>
      </c>
      <c r="K30" s="35" t="s">
        <v>2900</v>
      </c>
      <c r="L30" s="88" t="s">
        <v>2827</v>
      </c>
      <c r="M30" s="35" t="s">
        <v>2821</v>
      </c>
      <c r="N30" s="35" t="s">
        <v>148</v>
      </c>
      <c r="O30" s="35"/>
      <c r="P30" s="35"/>
    </row>
    <row r="31" spans="1:16" ht="54" customHeight="1" x14ac:dyDescent="0.2">
      <c r="A31" s="35">
        <v>30</v>
      </c>
      <c r="B31" s="35" t="s">
        <v>150</v>
      </c>
      <c r="C31" s="35" t="s">
        <v>17</v>
      </c>
      <c r="D31" s="35" t="s">
        <v>18</v>
      </c>
      <c r="E31" s="35" t="s">
        <v>150</v>
      </c>
      <c r="F31" s="35">
        <v>1</v>
      </c>
      <c r="G31" s="35" t="s">
        <v>1385</v>
      </c>
      <c r="H31" s="35" t="s">
        <v>2890</v>
      </c>
      <c r="I31" s="35" t="s">
        <v>2880</v>
      </c>
      <c r="J31" s="35" t="s">
        <v>40</v>
      </c>
      <c r="K31" s="35"/>
      <c r="L31" s="88" t="s">
        <v>2819</v>
      </c>
      <c r="M31" s="35" t="s">
        <v>2820</v>
      </c>
      <c r="N31" s="35" t="s">
        <v>151</v>
      </c>
      <c r="O31" s="35"/>
      <c r="P31" s="35"/>
    </row>
    <row r="32" spans="1:16" ht="54" customHeight="1" x14ac:dyDescent="0.2">
      <c r="A32" s="35">
        <v>31</v>
      </c>
      <c r="B32" s="35" t="s">
        <v>153</v>
      </c>
      <c r="C32" s="35" t="s">
        <v>17</v>
      </c>
      <c r="D32" s="35" t="s">
        <v>18</v>
      </c>
      <c r="E32" s="35" t="s">
        <v>153</v>
      </c>
      <c r="F32" s="35">
        <v>1</v>
      </c>
      <c r="G32" s="35" t="s">
        <v>1378</v>
      </c>
      <c r="H32" s="35" t="s">
        <v>2901</v>
      </c>
      <c r="I32" s="35" t="s">
        <v>2886</v>
      </c>
      <c r="J32" s="35" t="s">
        <v>19</v>
      </c>
      <c r="K32" s="35" t="s">
        <v>2901</v>
      </c>
      <c r="L32" s="88" t="s">
        <v>2827</v>
      </c>
      <c r="M32" s="35" t="s">
        <v>2821</v>
      </c>
      <c r="N32" s="35" t="s">
        <v>157</v>
      </c>
      <c r="O32" s="35"/>
      <c r="P32" s="35"/>
    </row>
    <row r="33" spans="1:16" ht="54" customHeight="1" x14ac:dyDescent="0.2">
      <c r="A33" s="35">
        <v>32</v>
      </c>
      <c r="B33" s="35" t="s">
        <v>159</v>
      </c>
      <c r="C33" s="35" t="s">
        <v>17</v>
      </c>
      <c r="D33" s="35" t="s">
        <v>18</v>
      </c>
      <c r="E33" s="35" t="s">
        <v>159</v>
      </c>
      <c r="F33" s="35">
        <v>1</v>
      </c>
      <c r="G33" s="35" t="s">
        <v>1378</v>
      </c>
      <c r="H33" s="35" t="s">
        <v>2902</v>
      </c>
      <c r="I33" s="35" t="s">
        <v>2886</v>
      </c>
      <c r="J33" s="35" t="s">
        <v>19</v>
      </c>
      <c r="K33" s="35" t="s">
        <v>2902</v>
      </c>
      <c r="L33" s="88" t="s">
        <v>2827</v>
      </c>
      <c r="M33" s="35" t="s">
        <v>2821</v>
      </c>
      <c r="N33" s="35" t="s">
        <v>160</v>
      </c>
      <c r="O33" s="35"/>
      <c r="P33" s="35"/>
    </row>
    <row r="34" spans="1:16" ht="54" customHeight="1" x14ac:dyDescent="0.2">
      <c r="A34" s="35">
        <v>33</v>
      </c>
      <c r="B34" s="35" t="s">
        <v>162</v>
      </c>
      <c r="C34" s="35" t="s">
        <v>17</v>
      </c>
      <c r="D34" s="35" t="s">
        <v>163</v>
      </c>
      <c r="E34" s="35" t="s">
        <v>162</v>
      </c>
      <c r="F34" s="35">
        <v>1</v>
      </c>
      <c r="G34" s="35" t="s">
        <v>1385</v>
      </c>
      <c r="H34" s="35" t="s">
        <v>2890</v>
      </c>
      <c r="I34" s="35" t="s">
        <v>2880</v>
      </c>
      <c r="J34" s="35" t="s">
        <v>40</v>
      </c>
      <c r="K34" s="35"/>
      <c r="L34" s="88" t="s">
        <v>2819</v>
      </c>
      <c r="M34" s="35" t="s">
        <v>2820</v>
      </c>
      <c r="N34" s="35" t="s">
        <v>165</v>
      </c>
      <c r="O34" s="35"/>
      <c r="P34" s="35"/>
    </row>
    <row r="35" spans="1:16" ht="54" customHeight="1" x14ac:dyDescent="0.2">
      <c r="A35" s="35">
        <v>34</v>
      </c>
      <c r="B35" s="35" t="s">
        <v>167</v>
      </c>
      <c r="C35" s="35" t="s">
        <v>17</v>
      </c>
      <c r="D35" s="35" t="s">
        <v>163</v>
      </c>
      <c r="E35" s="35" t="s">
        <v>167</v>
      </c>
      <c r="F35" s="35">
        <v>1</v>
      </c>
      <c r="G35" s="35" t="s">
        <v>1378</v>
      </c>
      <c r="H35" s="35" t="s">
        <v>2897</v>
      </c>
      <c r="I35" s="35" t="s">
        <v>2886</v>
      </c>
      <c r="J35" s="35" t="s">
        <v>19</v>
      </c>
      <c r="K35" s="35" t="s">
        <v>2897</v>
      </c>
      <c r="L35" s="88" t="s">
        <v>2827</v>
      </c>
      <c r="M35" s="35" t="s">
        <v>2821</v>
      </c>
      <c r="N35" s="35" t="s">
        <v>168</v>
      </c>
      <c r="O35" s="35"/>
      <c r="P35" s="35"/>
    </row>
    <row r="36" spans="1:16" ht="54" customHeight="1" x14ac:dyDescent="0.2">
      <c r="A36" s="35">
        <v>35</v>
      </c>
      <c r="B36" s="35" t="s">
        <v>170</v>
      </c>
      <c r="C36" s="35" t="s">
        <v>17</v>
      </c>
      <c r="D36" s="35" t="s">
        <v>163</v>
      </c>
      <c r="E36" s="35" t="s">
        <v>170</v>
      </c>
      <c r="F36" s="35">
        <v>1</v>
      </c>
      <c r="G36" s="35" t="s">
        <v>1414</v>
      </c>
      <c r="H36" s="35" t="s">
        <v>2888</v>
      </c>
      <c r="I36" s="35" t="s">
        <v>2880</v>
      </c>
      <c r="J36" s="35" t="s">
        <v>59</v>
      </c>
      <c r="K36" s="35"/>
      <c r="L36" s="88" t="s">
        <v>2819</v>
      </c>
      <c r="M36" s="35" t="s">
        <v>2825</v>
      </c>
      <c r="N36" s="35" t="s">
        <v>171</v>
      </c>
      <c r="O36" s="35"/>
      <c r="P36" s="35"/>
    </row>
    <row r="37" spans="1:16" ht="54" customHeight="1" x14ac:dyDescent="0.2">
      <c r="A37" s="35">
        <v>36</v>
      </c>
      <c r="B37" s="35" t="s">
        <v>173</v>
      </c>
      <c r="C37" s="35" t="s">
        <v>17</v>
      </c>
      <c r="D37" s="35" t="s">
        <v>163</v>
      </c>
      <c r="E37" s="35" t="s">
        <v>173</v>
      </c>
      <c r="F37" s="35">
        <v>1</v>
      </c>
      <c r="G37" s="35" t="s">
        <v>1378</v>
      </c>
      <c r="H37" s="35" t="s">
        <v>2891</v>
      </c>
      <c r="I37" s="35" t="s">
        <v>2886</v>
      </c>
      <c r="J37" s="35" t="s">
        <v>41</v>
      </c>
      <c r="K37" s="35" t="s">
        <v>2891</v>
      </c>
      <c r="L37" s="90" t="s">
        <v>2823</v>
      </c>
      <c r="M37" s="35" t="s">
        <v>2824</v>
      </c>
      <c r="N37" s="35" t="s">
        <v>175</v>
      </c>
      <c r="O37" s="35"/>
      <c r="P37" s="35"/>
    </row>
    <row r="38" spans="1:16" ht="54" customHeight="1" x14ac:dyDescent="0.2">
      <c r="A38" s="35">
        <v>37</v>
      </c>
      <c r="B38" s="35" t="s">
        <v>177</v>
      </c>
      <c r="C38" s="35" t="s">
        <v>17</v>
      </c>
      <c r="D38" s="35" t="s">
        <v>163</v>
      </c>
      <c r="E38" s="35" t="s">
        <v>177</v>
      </c>
      <c r="F38" s="35">
        <v>1</v>
      </c>
      <c r="G38" s="35" t="s">
        <v>1385</v>
      </c>
      <c r="H38" s="35" t="s">
        <v>2890</v>
      </c>
      <c r="I38" s="35" t="s">
        <v>2880</v>
      </c>
      <c r="J38" s="35" t="s">
        <v>40</v>
      </c>
      <c r="K38" s="35"/>
      <c r="L38" s="88" t="s">
        <v>2819</v>
      </c>
      <c r="M38" s="35" t="s">
        <v>2820</v>
      </c>
      <c r="N38" s="35" t="s">
        <v>179</v>
      </c>
      <c r="O38" s="35"/>
      <c r="P38" s="35"/>
    </row>
    <row r="39" spans="1:16" ht="54" customHeight="1" x14ac:dyDescent="0.2">
      <c r="A39" s="35">
        <v>38</v>
      </c>
      <c r="B39" s="35" t="s">
        <v>181</v>
      </c>
      <c r="C39" s="35" t="s">
        <v>17</v>
      </c>
      <c r="D39" s="35" t="s">
        <v>163</v>
      </c>
      <c r="E39" s="35" t="s">
        <v>181</v>
      </c>
      <c r="F39" s="35">
        <v>1</v>
      </c>
      <c r="G39" s="35" t="s">
        <v>1378</v>
      </c>
      <c r="H39" s="35" t="s">
        <v>2896</v>
      </c>
      <c r="I39" s="35" t="s">
        <v>2886</v>
      </c>
      <c r="J39" s="35" t="s">
        <v>19</v>
      </c>
      <c r="K39" s="35" t="s">
        <v>2896</v>
      </c>
      <c r="L39" s="88" t="s">
        <v>2827</v>
      </c>
      <c r="M39" s="35" t="s">
        <v>2821</v>
      </c>
      <c r="N39" s="35" t="s">
        <v>182</v>
      </c>
      <c r="O39" s="35"/>
      <c r="P39" s="35"/>
    </row>
    <row r="40" spans="1:16" ht="54" customHeight="1" x14ac:dyDescent="0.2">
      <c r="A40" s="35">
        <v>39</v>
      </c>
      <c r="B40" s="35" t="s">
        <v>184</v>
      </c>
      <c r="C40" s="35" t="s">
        <v>17</v>
      </c>
      <c r="D40" s="35" t="s">
        <v>163</v>
      </c>
      <c r="E40" s="35" t="s">
        <v>184</v>
      </c>
      <c r="F40" s="35">
        <v>1</v>
      </c>
      <c r="G40" s="35" t="s">
        <v>1378</v>
      </c>
      <c r="H40" s="35" t="s">
        <v>2881</v>
      </c>
      <c r="I40" s="35" t="s">
        <v>2882</v>
      </c>
      <c r="J40" s="35" t="s">
        <v>19</v>
      </c>
      <c r="K40" s="35" t="s">
        <v>2881</v>
      </c>
      <c r="L40" s="88" t="s">
        <v>2827</v>
      </c>
      <c r="M40" s="35" t="s">
        <v>2821</v>
      </c>
      <c r="N40" s="35" t="s">
        <v>185</v>
      </c>
      <c r="O40" s="35"/>
      <c r="P40" s="35"/>
    </row>
    <row r="41" spans="1:16" ht="54" customHeight="1" x14ac:dyDescent="0.2">
      <c r="A41" s="35">
        <v>40</v>
      </c>
      <c r="B41" s="35" t="s">
        <v>187</v>
      </c>
      <c r="C41" s="35" t="s">
        <v>17</v>
      </c>
      <c r="D41" s="35" t="s">
        <v>163</v>
      </c>
      <c r="E41" s="35" t="s">
        <v>187</v>
      </c>
      <c r="F41" s="35">
        <v>1</v>
      </c>
      <c r="G41" s="35" t="s">
        <v>1378</v>
      </c>
      <c r="H41" s="35" t="s">
        <v>2883</v>
      </c>
      <c r="I41" s="35" t="s">
        <v>2882</v>
      </c>
      <c r="J41" s="35" t="s">
        <v>59</v>
      </c>
      <c r="K41" s="35" t="s">
        <v>2883</v>
      </c>
      <c r="L41" s="89" t="s">
        <v>2817</v>
      </c>
      <c r="M41" s="35" t="s">
        <v>2826</v>
      </c>
      <c r="N41" s="35" t="s">
        <v>188</v>
      </c>
      <c r="O41" s="35"/>
      <c r="P41" s="35"/>
    </row>
    <row r="42" spans="1:16" ht="54" customHeight="1" x14ac:dyDescent="0.2">
      <c r="A42" s="35">
        <v>41</v>
      </c>
      <c r="B42" s="35" t="s">
        <v>190</v>
      </c>
      <c r="C42" s="35" t="s">
        <v>17</v>
      </c>
      <c r="D42" s="35" t="s">
        <v>163</v>
      </c>
      <c r="E42" s="35" t="s">
        <v>190</v>
      </c>
      <c r="F42" s="35">
        <v>1</v>
      </c>
      <c r="G42" s="35" t="s">
        <v>1378</v>
      </c>
      <c r="H42" s="35" t="s">
        <v>2903</v>
      </c>
      <c r="I42" s="35" t="s">
        <v>2886</v>
      </c>
      <c r="J42" s="35" t="s">
        <v>19</v>
      </c>
      <c r="K42" s="35" t="s">
        <v>2903</v>
      </c>
      <c r="L42" s="88" t="s">
        <v>2827</v>
      </c>
      <c r="M42" s="35" t="s">
        <v>2821</v>
      </c>
      <c r="N42" s="35" t="s">
        <v>191</v>
      </c>
      <c r="O42" s="35"/>
      <c r="P42" s="35"/>
    </row>
    <row r="43" spans="1:16" ht="54" customHeight="1" x14ac:dyDescent="0.2">
      <c r="A43" s="35">
        <v>42</v>
      </c>
      <c r="B43" s="35" t="s">
        <v>193</v>
      </c>
      <c r="C43" s="35" t="s">
        <v>17</v>
      </c>
      <c r="D43" s="35" t="s">
        <v>163</v>
      </c>
      <c r="E43" s="35" t="s">
        <v>193</v>
      </c>
      <c r="F43" s="35">
        <v>1</v>
      </c>
      <c r="G43" s="35" t="s">
        <v>1378</v>
      </c>
      <c r="H43" s="35" t="s">
        <v>2904</v>
      </c>
      <c r="I43" s="35" t="s">
        <v>2886</v>
      </c>
      <c r="J43" s="35" t="s">
        <v>40</v>
      </c>
      <c r="K43" s="35" t="s">
        <v>2904</v>
      </c>
      <c r="L43" s="88" t="s">
        <v>2827</v>
      </c>
      <c r="M43" s="35" t="s">
        <v>2818</v>
      </c>
      <c r="N43" s="35" t="s">
        <v>194</v>
      </c>
      <c r="O43" s="35"/>
      <c r="P43" s="35"/>
    </row>
    <row r="44" spans="1:16" ht="54" customHeight="1" x14ac:dyDescent="0.2">
      <c r="A44" s="35">
        <v>43</v>
      </c>
      <c r="B44" s="35" t="s">
        <v>196</v>
      </c>
      <c r="C44" s="35" t="s">
        <v>17</v>
      </c>
      <c r="D44" s="35" t="s">
        <v>163</v>
      </c>
      <c r="E44" s="35" t="s">
        <v>196</v>
      </c>
      <c r="F44" s="35">
        <v>1</v>
      </c>
      <c r="G44" s="35" t="s">
        <v>1378</v>
      </c>
      <c r="H44" s="35" t="s">
        <v>2894</v>
      </c>
      <c r="I44" s="35" t="s">
        <v>2886</v>
      </c>
      <c r="J44" s="35" t="s">
        <v>41</v>
      </c>
      <c r="K44" s="35" t="s">
        <v>2894</v>
      </c>
      <c r="L44" s="90" t="s">
        <v>2823</v>
      </c>
      <c r="M44" s="35" t="s">
        <v>2824</v>
      </c>
      <c r="N44" s="35" t="s">
        <v>197</v>
      </c>
      <c r="O44" s="35"/>
      <c r="P44" s="35"/>
    </row>
    <row r="45" spans="1:16" ht="54" customHeight="1" x14ac:dyDescent="0.2">
      <c r="A45" s="35">
        <v>44</v>
      </c>
      <c r="B45" s="35" t="s">
        <v>199</v>
      </c>
      <c r="C45" s="35" t="s">
        <v>17</v>
      </c>
      <c r="D45" s="35" t="s">
        <v>163</v>
      </c>
      <c r="E45" s="35" t="s">
        <v>199</v>
      </c>
      <c r="F45" s="35">
        <v>1</v>
      </c>
      <c r="G45" s="35" t="s">
        <v>1378</v>
      </c>
      <c r="H45" s="35" t="s">
        <v>2905</v>
      </c>
      <c r="I45" s="35" t="s">
        <v>2886</v>
      </c>
      <c r="J45" s="35" t="s">
        <v>19</v>
      </c>
      <c r="K45" s="35" t="s">
        <v>2905</v>
      </c>
      <c r="L45" s="88" t="s">
        <v>2827</v>
      </c>
      <c r="M45" s="35" t="s">
        <v>2821</v>
      </c>
      <c r="N45" s="35" t="s">
        <v>200</v>
      </c>
      <c r="O45" s="35"/>
      <c r="P45" s="35"/>
    </row>
    <row r="46" spans="1:16" ht="54" customHeight="1" x14ac:dyDescent="0.2">
      <c r="A46" s="35">
        <v>45</v>
      </c>
      <c r="B46" s="35" t="s">
        <v>202</v>
      </c>
      <c r="C46" s="35" t="s">
        <v>17</v>
      </c>
      <c r="D46" s="35" t="s">
        <v>163</v>
      </c>
      <c r="E46" s="35" t="s">
        <v>202</v>
      </c>
      <c r="F46" s="35">
        <v>1</v>
      </c>
      <c r="G46" s="35" t="s">
        <v>1378</v>
      </c>
      <c r="H46" s="35" t="s">
        <v>2906</v>
      </c>
      <c r="I46" s="35" t="s">
        <v>2886</v>
      </c>
      <c r="J46" s="35" t="s">
        <v>41</v>
      </c>
      <c r="K46" s="35" t="s">
        <v>2906</v>
      </c>
      <c r="L46" s="90" t="s">
        <v>2823</v>
      </c>
      <c r="M46" s="35" t="s">
        <v>2824</v>
      </c>
      <c r="N46" s="35" t="s">
        <v>203</v>
      </c>
      <c r="O46" s="35"/>
      <c r="P46" s="35"/>
    </row>
    <row r="47" spans="1:16" ht="54" customHeight="1" x14ac:dyDescent="0.2">
      <c r="A47" s="35">
        <v>46</v>
      </c>
      <c r="B47" s="35" t="s">
        <v>205</v>
      </c>
      <c r="C47" s="35" t="s">
        <v>17</v>
      </c>
      <c r="D47" s="35" t="s">
        <v>163</v>
      </c>
      <c r="E47" s="35" t="s">
        <v>205</v>
      </c>
      <c r="F47" s="35">
        <v>1</v>
      </c>
      <c r="G47" s="35" t="s">
        <v>1397</v>
      </c>
      <c r="H47" s="35" t="s">
        <v>2907</v>
      </c>
      <c r="I47" s="35" t="s">
        <v>2886</v>
      </c>
      <c r="J47" s="35" t="s">
        <v>41</v>
      </c>
      <c r="K47" s="35" t="s">
        <v>2907</v>
      </c>
      <c r="L47" s="88" t="s">
        <v>2819</v>
      </c>
      <c r="M47" s="35" t="s">
        <v>2828</v>
      </c>
      <c r="N47" s="35" t="s">
        <v>206</v>
      </c>
      <c r="O47" s="35"/>
      <c r="P47" s="35"/>
    </row>
    <row r="48" spans="1:16" ht="54" customHeight="1" x14ac:dyDescent="0.2">
      <c r="A48" s="35">
        <v>47</v>
      </c>
      <c r="B48" s="35" t="s">
        <v>208</v>
      </c>
      <c r="C48" s="35" t="s">
        <v>17</v>
      </c>
      <c r="D48" s="35" t="s">
        <v>163</v>
      </c>
      <c r="E48" s="35" t="s">
        <v>208</v>
      </c>
      <c r="F48" s="35">
        <v>1</v>
      </c>
      <c r="G48" s="35" t="s">
        <v>1378</v>
      </c>
      <c r="H48" s="35" t="s">
        <v>2883</v>
      </c>
      <c r="I48" s="35" t="s">
        <v>2882</v>
      </c>
      <c r="J48" s="35" t="s">
        <v>19</v>
      </c>
      <c r="K48" s="35" t="s">
        <v>2883</v>
      </c>
      <c r="L48" s="88" t="s">
        <v>2827</v>
      </c>
      <c r="M48" s="35" t="s">
        <v>2821</v>
      </c>
      <c r="N48" s="35" t="s">
        <v>209</v>
      </c>
      <c r="O48" s="35"/>
      <c r="P48" s="35"/>
    </row>
    <row r="49" spans="1:16" ht="54" customHeight="1" x14ac:dyDescent="0.2">
      <c r="A49" s="35">
        <v>48</v>
      </c>
      <c r="B49" s="35" t="s">
        <v>211</v>
      </c>
      <c r="C49" s="35" t="s">
        <v>17</v>
      </c>
      <c r="D49" s="35" t="s">
        <v>163</v>
      </c>
      <c r="E49" s="35" t="s">
        <v>2908</v>
      </c>
      <c r="F49" s="35">
        <v>1</v>
      </c>
      <c r="G49" s="35" t="s">
        <v>1378</v>
      </c>
      <c r="H49" s="35" t="s">
        <v>2094</v>
      </c>
      <c r="I49" s="35" t="s">
        <v>2886</v>
      </c>
      <c r="J49" s="35" t="s">
        <v>212</v>
      </c>
      <c r="K49" s="35" t="s">
        <v>2094</v>
      </c>
      <c r="L49" s="88" t="s">
        <v>2827</v>
      </c>
      <c r="M49" s="35" t="s">
        <v>2821</v>
      </c>
      <c r="N49" s="35" t="s">
        <v>215</v>
      </c>
      <c r="O49" s="35"/>
      <c r="P49" s="35"/>
    </row>
    <row r="50" spans="1:16" ht="54" customHeight="1" x14ac:dyDescent="0.2">
      <c r="A50" s="35">
        <v>49</v>
      </c>
      <c r="B50" s="35" t="s">
        <v>217</v>
      </c>
      <c r="C50" s="35" t="s">
        <v>17</v>
      </c>
      <c r="D50" s="35" t="s">
        <v>218</v>
      </c>
      <c r="E50" s="35" t="s">
        <v>217</v>
      </c>
      <c r="F50" s="35">
        <v>1</v>
      </c>
      <c r="G50" s="35" t="s">
        <v>1378</v>
      </c>
      <c r="H50" s="35" t="s">
        <v>2896</v>
      </c>
      <c r="I50" s="35" t="s">
        <v>2886</v>
      </c>
      <c r="J50" s="35" t="s">
        <v>19</v>
      </c>
      <c r="K50" s="35" t="s">
        <v>2896</v>
      </c>
      <c r="L50" s="88" t="s">
        <v>2827</v>
      </c>
      <c r="M50" s="35" t="s">
        <v>2821</v>
      </c>
      <c r="N50" s="35" t="s">
        <v>219</v>
      </c>
      <c r="O50" s="35"/>
      <c r="P50" s="35"/>
    </row>
    <row r="51" spans="1:16" ht="54" customHeight="1" x14ac:dyDescent="0.2">
      <c r="A51" s="35">
        <v>50</v>
      </c>
      <c r="B51" s="35" t="s">
        <v>221</v>
      </c>
      <c r="C51" s="35" t="s">
        <v>17</v>
      </c>
      <c r="D51" s="35" t="s">
        <v>218</v>
      </c>
      <c r="E51" s="35" t="s">
        <v>221</v>
      </c>
      <c r="F51" s="35">
        <v>1</v>
      </c>
      <c r="G51" s="35" t="s">
        <v>1378</v>
      </c>
      <c r="H51" s="35" t="s">
        <v>2894</v>
      </c>
      <c r="I51" s="35" t="s">
        <v>2886</v>
      </c>
      <c r="J51" s="35" t="s">
        <v>19</v>
      </c>
      <c r="K51" s="35" t="s">
        <v>2894</v>
      </c>
      <c r="L51" s="88" t="s">
        <v>2827</v>
      </c>
      <c r="M51" s="35" t="s">
        <v>2821</v>
      </c>
      <c r="N51" s="35" t="s">
        <v>222</v>
      </c>
      <c r="O51" s="35"/>
      <c r="P51" s="35"/>
    </row>
    <row r="52" spans="1:16" ht="54" customHeight="1" x14ac:dyDescent="0.2">
      <c r="A52" s="35">
        <v>51</v>
      </c>
      <c r="B52" s="35" t="s">
        <v>224</v>
      </c>
      <c r="C52" s="35" t="s">
        <v>17</v>
      </c>
      <c r="D52" s="35" t="s">
        <v>218</v>
      </c>
      <c r="E52" s="35" t="s">
        <v>224</v>
      </c>
      <c r="F52" s="35">
        <v>1</v>
      </c>
      <c r="G52" s="35" t="s">
        <v>1378</v>
      </c>
      <c r="H52" s="35" t="s">
        <v>2909</v>
      </c>
      <c r="I52" s="35" t="s">
        <v>2886</v>
      </c>
      <c r="J52" s="35" t="s">
        <v>19</v>
      </c>
      <c r="K52" s="35" t="s">
        <v>2909</v>
      </c>
      <c r="L52" s="88" t="s">
        <v>2827</v>
      </c>
      <c r="M52" s="35" t="s">
        <v>2821</v>
      </c>
      <c r="N52" s="35" t="s">
        <v>225</v>
      </c>
      <c r="O52" s="35"/>
      <c r="P52" s="35"/>
    </row>
    <row r="53" spans="1:16" ht="54" customHeight="1" x14ac:dyDescent="0.2">
      <c r="A53" s="35">
        <v>52</v>
      </c>
      <c r="B53" s="35" t="s">
        <v>227</v>
      </c>
      <c r="C53" s="35" t="s">
        <v>17</v>
      </c>
      <c r="D53" s="35" t="s">
        <v>218</v>
      </c>
      <c r="E53" s="35" t="s">
        <v>227</v>
      </c>
      <c r="F53" s="35">
        <v>1</v>
      </c>
      <c r="G53" s="35" t="s">
        <v>1378</v>
      </c>
      <c r="H53" s="35" t="s">
        <v>2910</v>
      </c>
      <c r="I53" s="35" t="s">
        <v>2886</v>
      </c>
      <c r="J53" s="35" t="s">
        <v>19</v>
      </c>
      <c r="K53" s="35" t="s">
        <v>2910</v>
      </c>
      <c r="L53" s="88" t="s">
        <v>2827</v>
      </c>
      <c r="M53" s="35" t="s">
        <v>2821</v>
      </c>
      <c r="N53" s="35" t="s">
        <v>228</v>
      </c>
      <c r="O53" s="35"/>
      <c r="P53" s="35"/>
    </row>
    <row r="54" spans="1:16" ht="54" customHeight="1" x14ac:dyDescent="0.2">
      <c r="A54" s="35">
        <v>53</v>
      </c>
      <c r="B54" s="35" t="s">
        <v>230</v>
      </c>
      <c r="C54" s="35" t="s">
        <v>17</v>
      </c>
      <c r="D54" s="35" t="s">
        <v>218</v>
      </c>
      <c r="E54" s="35" t="s">
        <v>230</v>
      </c>
      <c r="F54" s="35">
        <v>1</v>
      </c>
      <c r="G54" s="35" t="s">
        <v>1430</v>
      </c>
      <c r="H54" s="35" t="s">
        <v>2911</v>
      </c>
      <c r="I54" s="35" t="s">
        <v>2882</v>
      </c>
      <c r="J54" s="35" t="s">
        <v>40</v>
      </c>
      <c r="K54" s="35" t="s">
        <v>2911</v>
      </c>
      <c r="L54" s="88" t="s">
        <v>2835</v>
      </c>
      <c r="M54" s="35" t="s">
        <v>2912</v>
      </c>
      <c r="N54" s="35" t="s">
        <v>232</v>
      </c>
      <c r="O54" s="35"/>
      <c r="P54" s="35"/>
    </row>
    <row r="55" spans="1:16" ht="54" customHeight="1" x14ac:dyDescent="0.2">
      <c r="A55" s="35">
        <v>54</v>
      </c>
      <c r="B55" s="35" t="s">
        <v>234</v>
      </c>
      <c r="C55" s="35" t="s">
        <v>17</v>
      </c>
      <c r="D55" s="35" t="s">
        <v>218</v>
      </c>
      <c r="E55" s="35" t="s">
        <v>234</v>
      </c>
      <c r="F55" s="35">
        <v>1</v>
      </c>
      <c r="G55" s="35" t="s">
        <v>1378</v>
      </c>
      <c r="H55" s="35" t="s">
        <v>2888</v>
      </c>
      <c r="I55" s="35" t="s">
        <v>2880</v>
      </c>
      <c r="J55" s="35" t="s">
        <v>59</v>
      </c>
      <c r="K55" s="35"/>
      <c r="L55" s="88" t="s">
        <v>2819</v>
      </c>
      <c r="M55" s="35" t="s">
        <v>2821</v>
      </c>
      <c r="N55" s="35" t="s">
        <v>235</v>
      </c>
      <c r="O55" s="35"/>
      <c r="P55" s="35"/>
    </row>
    <row r="56" spans="1:16" ht="54" customHeight="1" x14ac:dyDescent="0.2">
      <c r="A56" s="35">
        <v>55</v>
      </c>
      <c r="B56" s="35" t="s">
        <v>237</v>
      </c>
      <c r="C56" s="35" t="s">
        <v>17</v>
      </c>
      <c r="D56" s="35" t="s">
        <v>218</v>
      </c>
      <c r="E56" s="35" t="s">
        <v>237</v>
      </c>
      <c r="F56" s="35">
        <v>1</v>
      </c>
      <c r="G56" s="35" t="s">
        <v>1432</v>
      </c>
      <c r="H56" s="35" t="s">
        <v>2913</v>
      </c>
      <c r="I56" s="35" t="s">
        <v>2886</v>
      </c>
      <c r="J56" s="35" t="s">
        <v>64</v>
      </c>
      <c r="K56" s="35" t="s">
        <v>2913</v>
      </c>
      <c r="L56" s="88" t="s">
        <v>2819</v>
      </c>
      <c r="M56" s="35" t="s">
        <v>2829</v>
      </c>
      <c r="N56" s="35" t="s">
        <v>238</v>
      </c>
      <c r="O56" s="35"/>
      <c r="P56" s="35"/>
    </row>
    <row r="57" spans="1:16" ht="54" customHeight="1" x14ac:dyDescent="0.2">
      <c r="A57" s="35">
        <v>56</v>
      </c>
      <c r="B57" s="35" t="s">
        <v>240</v>
      </c>
      <c r="C57" s="35" t="s">
        <v>17</v>
      </c>
      <c r="D57" s="35" t="s">
        <v>218</v>
      </c>
      <c r="E57" s="35" t="s">
        <v>2914</v>
      </c>
      <c r="F57" s="35">
        <v>1</v>
      </c>
      <c r="G57" s="35" t="s">
        <v>1434</v>
      </c>
      <c r="H57" s="35" t="s">
        <v>2883</v>
      </c>
      <c r="I57" s="35" t="s">
        <v>2882</v>
      </c>
      <c r="J57" s="35" t="s">
        <v>212</v>
      </c>
      <c r="K57" s="35" t="s">
        <v>2883</v>
      </c>
      <c r="L57" s="88" t="s">
        <v>2819</v>
      </c>
      <c r="M57" s="35" t="s">
        <v>2830</v>
      </c>
      <c r="N57" s="35" t="s">
        <v>241</v>
      </c>
      <c r="O57" s="35"/>
      <c r="P57" s="35"/>
    </row>
    <row r="58" spans="1:16" ht="54" customHeight="1" x14ac:dyDescent="0.2">
      <c r="A58" s="35">
        <v>57</v>
      </c>
      <c r="B58" s="35" t="s">
        <v>243</v>
      </c>
      <c r="C58" s="35" t="s">
        <v>17</v>
      </c>
      <c r="D58" s="35" t="s">
        <v>244</v>
      </c>
      <c r="E58" s="35" t="s">
        <v>243</v>
      </c>
      <c r="F58" s="35">
        <v>0</v>
      </c>
      <c r="G58" s="35"/>
      <c r="H58" s="35" t="s">
        <v>2915</v>
      </c>
      <c r="I58" s="35" t="s">
        <v>2886</v>
      </c>
      <c r="J58" s="35" t="s">
        <v>245</v>
      </c>
      <c r="K58" s="35" t="s">
        <v>2915</v>
      </c>
      <c r="L58" s="90" t="s">
        <v>2823</v>
      </c>
      <c r="M58" s="35" t="s">
        <v>2831</v>
      </c>
      <c r="N58" s="35" t="s">
        <v>246</v>
      </c>
      <c r="O58" s="35"/>
      <c r="P58" s="35"/>
    </row>
    <row r="59" spans="1:16" ht="54" customHeight="1" x14ac:dyDescent="0.2">
      <c r="A59" s="35">
        <v>58</v>
      </c>
      <c r="B59" s="35" t="s">
        <v>248</v>
      </c>
      <c r="C59" s="35" t="s">
        <v>17</v>
      </c>
      <c r="D59" s="35" t="s">
        <v>244</v>
      </c>
      <c r="E59" s="35" t="s">
        <v>248</v>
      </c>
      <c r="F59" s="35">
        <v>0</v>
      </c>
      <c r="G59" s="35"/>
      <c r="H59" s="35" t="s">
        <v>2916</v>
      </c>
      <c r="I59" s="35" t="s">
        <v>2886</v>
      </c>
      <c r="J59" s="35" t="s">
        <v>59</v>
      </c>
      <c r="K59" s="35" t="s">
        <v>2916</v>
      </c>
      <c r="L59" s="88" t="s">
        <v>2827</v>
      </c>
      <c r="M59" s="35" t="s">
        <v>2839</v>
      </c>
      <c r="N59" s="35" t="s">
        <v>249</v>
      </c>
      <c r="O59" s="35"/>
      <c r="P59" s="35"/>
    </row>
    <row r="60" spans="1:16" ht="54" customHeight="1" x14ac:dyDescent="0.2">
      <c r="A60" s="35">
        <v>59</v>
      </c>
      <c r="B60" s="35" t="s">
        <v>251</v>
      </c>
      <c r="C60" s="35" t="s">
        <v>17</v>
      </c>
      <c r="D60" s="35" t="s">
        <v>244</v>
      </c>
      <c r="E60" s="35" t="s">
        <v>251</v>
      </c>
      <c r="F60" s="35">
        <v>0</v>
      </c>
      <c r="G60" s="35"/>
      <c r="H60" s="35" t="s">
        <v>2917</v>
      </c>
      <c r="I60" s="35" t="s">
        <v>2886</v>
      </c>
      <c r="J60" s="35" t="s">
        <v>41</v>
      </c>
      <c r="K60" s="35" t="s">
        <v>2917</v>
      </c>
      <c r="L60" s="89" t="s">
        <v>2817</v>
      </c>
      <c r="M60" s="35" t="s">
        <v>2839</v>
      </c>
      <c r="N60" s="35" t="s">
        <v>252</v>
      </c>
      <c r="O60" s="35"/>
      <c r="P60" s="35"/>
    </row>
    <row r="61" spans="1:16" ht="54" customHeight="1" x14ac:dyDescent="0.2">
      <c r="A61" s="35">
        <v>60</v>
      </c>
      <c r="B61" s="35" t="s">
        <v>254</v>
      </c>
      <c r="C61" s="35" t="s">
        <v>17</v>
      </c>
      <c r="D61" s="35" t="s">
        <v>244</v>
      </c>
      <c r="E61" s="35" t="s">
        <v>254</v>
      </c>
      <c r="F61" s="35">
        <v>0</v>
      </c>
      <c r="G61" s="35"/>
      <c r="H61" s="35" t="s">
        <v>2918</v>
      </c>
      <c r="I61" s="35" t="s">
        <v>2886</v>
      </c>
      <c r="J61" s="35" t="s">
        <v>245</v>
      </c>
      <c r="K61" s="35" t="s">
        <v>2918</v>
      </c>
      <c r="L61" s="90" t="s">
        <v>2823</v>
      </c>
      <c r="M61" s="35" t="s">
        <v>2831</v>
      </c>
      <c r="N61" s="35" t="s">
        <v>255</v>
      </c>
      <c r="O61" s="35"/>
      <c r="P61" s="35"/>
    </row>
    <row r="62" spans="1:16" ht="54" customHeight="1" x14ac:dyDescent="0.2">
      <c r="A62" s="35">
        <v>61</v>
      </c>
      <c r="B62" s="35" t="s">
        <v>257</v>
      </c>
      <c r="C62" s="35" t="s">
        <v>17</v>
      </c>
      <c r="D62" s="35" t="s">
        <v>258</v>
      </c>
      <c r="E62" s="35" t="s">
        <v>257</v>
      </c>
      <c r="F62" s="35">
        <v>0</v>
      </c>
      <c r="G62" s="35"/>
      <c r="H62" s="35" t="s">
        <v>2919</v>
      </c>
      <c r="I62" s="35" t="s">
        <v>2886</v>
      </c>
      <c r="J62" s="35" t="s">
        <v>212</v>
      </c>
      <c r="K62" s="35" t="s">
        <v>2919</v>
      </c>
      <c r="L62" s="88" t="s">
        <v>2827</v>
      </c>
      <c r="M62" s="35" t="s">
        <v>2839</v>
      </c>
      <c r="N62" s="35" t="s">
        <v>259</v>
      </c>
      <c r="O62" s="35"/>
      <c r="P62" s="35"/>
    </row>
    <row r="63" spans="1:16" ht="54" customHeight="1" x14ac:dyDescent="0.2">
      <c r="A63" s="35">
        <v>62</v>
      </c>
      <c r="B63" s="35" t="s">
        <v>261</v>
      </c>
      <c r="C63" s="35" t="s">
        <v>17</v>
      </c>
      <c r="D63" s="35" t="s">
        <v>258</v>
      </c>
      <c r="E63" s="35" t="s">
        <v>261</v>
      </c>
      <c r="F63" s="35">
        <v>0</v>
      </c>
      <c r="G63" s="35"/>
      <c r="H63" s="35" t="s">
        <v>2920</v>
      </c>
      <c r="I63" s="35" t="s">
        <v>2886</v>
      </c>
      <c r="J63" s="35" t="s">
        <v>212</v>
      </c>
      <c r="K63" s="35" t="s">
        <v>2920</v>
      </c>
      <c r="L63" s="88" t="s">
        <v>2827</v>
      </c>
      <c r="M63" s="35" t="s">
        <v>2839</v>
      </c>
      <c r="N63" s="35" t="s">
        <v>262</v>
      </c>
      <c r="O63" s="35"/>
      <c r="P63" s="35"/>
    </row>
    <row r="64" spans="1:16" ht="54" customHeight="1" x14ac:dyDescent="0.2">
      <c r="A64" s="35">
        <v>63</v>
      </c>
      <c r="B64" s="35" t="s">
        <v>264</v>
      </c>
      <c r="C64" s="35" t="s">
        <v>17</v>
      </c>
      <c r="D64" s="35" t="s">
        <v>258</v>
      </c>
      <c r="E64" s="35" t="s">
        <v>264</v>
      </c>
      <c r="F64" s="35">
        <v>0</v>
      </c>
      <c r="G64" s="35"/>
      <c r="H64" s="35" t="s">
        <v>2921</v>
      </c>
      <c r="I64" s="35" t="s">
        <v>2886</v>
      </c>
      <c r="J64" s="35" t="s">
        <v>212</v>
      </c>
      <c r="K64" s="35" t="s">
        <v>2921</v>
      </c>
      <c r="L64" s="88" t="s">
        <v>2827</v>
      </c>
      <c r="M64" s="35" t="s">
        <v>2839</v>
      </c>
      <c r="N64" s="35" t="s">
        <v>265</v>
      </c>
      <c r="O64" s="35"/>
      <c r="P64" s="35"/>
    </row>
    <row r="65" spans="1:16" ht="54" customHeight="1" x14ac:dyDescent="0.2">
      <c r="A65" s="35">
        <v>64</v>
      </c>
      <c r="B65" s="35" t="s">
        <v>267</v>
      </c>
      <c r="C65" s="35" t="s">
        <v>268</v>
      </c>
      <c r="D65" s="35" t="s">
        <v>18</v>
      </c>
      <c r="E65" s="35" t="s">
        <v>267</v>
      </c>
      <c r="F65" s="35">
        <v>1</v>
      </c>
      <c r="G65" s="35" t="s">
        <v>1437</v>
      </c>
      <c r="H65" s="35" t="s">
        <v>2922</v>
      </c>
      <c r="I65" s="35" t="s">
        <v>2880</v>
      </c>
      <c r="J65" s="35" t="s">
        <v>79</v>
      </c>
      <c r="K65" s="35"/>
      <c r="L65" s="88" t="s">
        <v>2835</v>
      </c>
      <c r="M65" s="35" t="s">
        <v>2832</v>
      </c>
      <c r="N65" s="35" t="s">
        <v>273</v>
      </c>
      <c r="O65" s="35"/>
      <c r="P65" s="35"/>
    </row>
    <row r="66" spans="1:16" ht="54" customHeight="1" x14ac:dyDescent="0.2">
      <c r="A66" s="35">
        <v>65</v>
      </c>
      <c r="B66" s="35" t="s">
        <v>275</v>
      </c>
      <c r="C66" s="35" t="s">
        <v>268</v>
      </c>
      <c r="D66" s="35" t="s">
        <v>18</v>
      </c>
      <c r="E66" s="35" t="s">
        <v>275</v>
      </c>
      <c r="F66" s="35">
        <v>1</v>
      </c>
      <c r="G66" s="35" t="s">
        <v>1378</v>
      </c>
      <c r="H66" s="35" t="s">
        <v>2923</v>
      </c>
      <c r="I66" s="35" t="s">
        <v>2880</v>
      </c>
      <c r="J66" s="35" t="s">
        <v>79</v>
      </c>
      <c r="K66" s="35"/>
      <c r="L66" s="88" t="s">
        <v>2827</v>
      </c>
      <c r="M66" s="35" t="s">
        <v>2821</v>
      </c>
      <c r="N66" s="35" t="s">
        <v>279</v>
      </c>
      <c r="O66" s="35"/>
      <c r="P66" s="35"/>
    </row>
    <row r="67" spans="1:16" ht="54" customHeight="1" x14ac:dyDescent="0.2">
      <c r="A67" s="35">
        <v>66</v>
      </c>
      <c r="B67" s="35" t="s">
        <v>281</v>
      </c>
      <c r="C67" s="35" t="s">
        <v>268</v>
      </c>
      <c r="D67" s="35" t="s">
        <v>18</v>
      </c>
      <c r="E67" s="35" t="s">
        <v>281</v>
      </c>
      <c r="F67" s="35">
        <v>1</v>
      </c>
      <c r="G67" s="35" t="s">
        <v>1378</v>
      </c>
      <c r="H67" s="35" t="s">
        <v>2923</v>
      </c>
      <c r="I67" s="35" t="s">
        <v>2880</v>
      </c>
      <c r="J67" s="35" t="s">
        <v>79</v>
      </c>
      <c r="K67" s="35"/>
      <c r="L67" s="88" t="s">
        <v>2827</v>
      </c>
      <c r="M67" s="35" t="s">
        <v>2821</v>
      </c>
      <c r="N67" s="35" t="s">
        <v>284</v>
      </c>
      <c r="O67" s="35"/>
      <c r="P67" s="35"/>
    </row>
    <row r="68" spans="1:16" ht="54" customHeight="1" x14ac:dyDescent="0.2">
      <c r="A68" s="35">
        <v>67</v>
      </c>
      <c r="B68" s="35" t="s">
        <v>285</v>
      </c>
      <c r="C68" s="35" t="s">
        <v>268</v>
      </c>
      <c r="D68" s="35" t="s">
        <v>18</v>
      </c>
      <c r="E68" s="35" t="s">
        <v>285</v>
      </c>
      <c r="F68" s="35">
        <v>1</v>
      </c>
      <c r="G68" s="35" t="s">
        <v>1437</v>
      </c>
      <c r="H68" s="35" t="s">
        <v>2922</v>
      </c>
      <c r="I68" s="35" t="s">
        <v>2880</v>
      </c>
      <c r="J68" s="35" t="s">
        <v>79</v>
      </c>
      <c r="K68" s="35"/>
      <c r="L68" s="88" t="s">
        <v>2835</v>
      </c>
      <c r="M68" s="35" t="s">
        <v>2832</v>
      </c>
      <c r="N68" s="35" t="s">
        <v>288</v>
      </c>
      <c r="O68" s="35"/>
      <c r="P68" s="35"/>
    </row>
    <row r="69" spans="1:16" ht="54" customHeight="1" x14ac:dyDescent="0.2">
      <c r="A69" s="35">
        <v>68</v>
      </c>
      <c r="B69" s="35" t="s">
        <v>289</v>
      </c>
      <c r="C69" s="35" t="s">
        <v>268</v>
      </c>
      <c r="D69" s="35" t="s">
        <v>18</v>
      </c>
      <c r="E69" s="35" t="s">
        <v>289</v>
      </c>
      <c r="F69" s="35">
        <v>1</v>
      </c>
      <c r="G69" s="35" t="s">
        <v>1378</v>
      </c>
      <c r="H69" s="35" t="s">
        <v>2922</v>
      </c>
      <c r="I69" s="35" t="s">
        <v>2880</v>
      </c>
      <c r="J69" s="35" t="s">
        <v>79</v>
      </c>
      <c r="K69" s="35"/>
      <c r="L69" s="88" t="s">
        <v>2827</v>
      </c>
      <c r="M69" s="35" t="s">
        <v>2821</v>
      </c>
      <c r="N69" s="35" t="s">
        <v>291</v>
      </c>
      <c r="O69" s="35"/>
      <c r="P69" s="35"/>
    </row>
    <row r="70" spans="1:16" ht="54" customHeight="1" x14ac:dyDescent="0.2">
      <c r="A70" s="35">
        <v>69</v>
      </c>
      <c r="B70" s="35" t="s">
        <v>292</v>
      </c>
      <c r="C70" s="35" t="s">
        <v>268</v>
      </c>
      <c r="D70" s="35" t="s">
        <v>18</v>
      </c>
      <c r="E70" s="35" t="s">
        <v>292</v>
      </c>
      <c r="F70" s="35">
        <v>1</v>
      </c>
      <c r="G70" s="35" t="s">
        <v>1378</v>
      </c>
      <c r="H70" s="35" t="s">
        <v>2922</v>
      </c>
      <c r="I70" s="35" t="s">
        <v>2880</v>
      </c>
      <c r="J70" s="35" t="s">
        <v>79</v>
      </c>
      <c r="K70" s="35"/>
      <c r="L70" s="88" t="s">
        <v>2827</v>
      </c>
      <c r="M70" s="35" t="s">
        <v>2821</v>
      </c>
      <c r="N70" s="35" t="s">
        <v>294</v>
      </c>
      <c r="O70" s="35"/>
      <c r="P70" s="35"/>
    </row>
    <row r="71" spans="1:16" ht="54" customHeight="1" x14ac:dyDescent="0.2">
      <c r="A71" s="35">
        <v>70</v>
      </c>
      <c r="B71" s="35" t="s">
        <v>295</v>
      </c>
      <c r="C71" s="35" t="s">
        <v>268</v>
      </c>
      <c r="D71" s="35" t="s">
        <v>18</v>
      </c>
      <c r="E71" s="35" t="s">
        <v>295</v>
      </c>
      <c r="F71" s="35">
        <v>1</v>
      </c>
      <c r="G71" s="35" t="s">
        <v>1437</v>
      </c>
      <c r="H71" s="35" t="s">
        <v>2922</v>
      </c>
      <c r="I71" s="35" t="s">
        <v>2880</v>
      </c>
      <c r="J71" s="35" t="s">
        <v>79</v>
      </c>
      <c r="K71" s="35"/>
      <c r="L71" s="88" t="s">
        <v>2835</v>
      </c>
      <c r="M71" s="35" t="s">
        <v>2832</v>
      </c>
      <c r="N71" s="35" t="s">
        <v>297</v>
      </c>
      <c r="O71" s="35"/>
      <c r="P71" s="35"/>
    </row>
    <row r="72" spans="1:16" ht="54" customHeight="1" x14ac:dyDescent="0.2">
      <c r="A72" s="35">
        <v>71</v>
      </c>
      <c r="B72" s="35" t="s">
        <v>298</v>
      </c>
      <c r="C72" s="35" t="s">
        <v>268</v>
      </c>
      <c r="D72" s="35" t="s">
        <v>18</v>
      </c>
      <c r="E72" s="35" t="s">
        <v>298</v>
      </c>
      <c r="F72" s="35">
        <v>1</v>
      </c>
      <c r="G72" s="35" t="s">
        <v>1442</v>
      </c>
      <c r="H72" s="35" t="s">
        <v>299</v>
      </c>
      <c r="I72" s="35" t="s">
        <v>2880</v>
      </c>
      <c r="J72" s="35" t="s">
        <v>299</v>
      </c>
      <c r="K72" s="35"/>
      <c r="L72" s="88" t="s">
        <v>2835</v>
      </c>
      <c r="M72" s="35" t="s">
        <v>2924</v>
      </c>
      <c r="N72" s="35" t="s">
        <v>301</v>
      </c>
      <c r="O72" s="35"/>
      <c r="P72" s="35"/>
    </row>
    <row r="73" spans="1:16" ht="54" customHeight="1" x14ac:dyDescent="0.2">
      <c r="A73" s="35">
        <v>72</v>
      </c>
      <c r="B73" s="35" t="s">
        <v>302</v>
      </c>
      <c r="C73" s="35" t="s">
        <v>268</v>
      </c>
      <c r="D73" s="35" t="s">
        <v>18</v>
      </c>
      <c r="E73" s="35" t="s">
        <v>302</v>
      </c>
      <c r="F73" s="35">
        <v>1</v>
      </c>
      <c r="G73" s="35" t="s">
        <v>1437</v>
      </c>
      <c r="H73" s="35" t="s">
        <v>2922</v>
      </c>
      <c r="I73" s="35" t="s">
        <v>2880</v>
      </c>
      <c r="J73" s="35" t="s">
        <v>79</v>
      </c>
      <c r="K73" s="35"/>
      <c r="L73" s="88" t="s">
        <v>2835</v>
      </c>
      <c r="M73" s="35" t="s">
        <v>2832</v>
      </c>
      <c r="N73" s="35" t="s">
        <v>304</v>
      </c>
      <c r="O73" s="35"/>
      <c r="P73" s="35"/>
    </row>
    <row r="74" spans="1:16" ht="54" customHeight="1" x14ac:dyDescent="0.2">
      <c r="A74" s="35">
        <v>73</v>
      </c>
      <c r="B74" s="35" t="s">
        <v>305</v>
      </c>
      <c r="C74" s="35" t="s">
        <v>268</v>
      </c>
      <c r="D74" s="35" t="s">
        <v>18</v>
      </c>
      <c r="E74" s="35" t="s">
        <v>305</v>
      </c>
      <c r="F74" s="35">
        <v>1</v>
      </c>
      <c r="G74" s="35" t="s">
        <v>1378</v>
      </c>
      <c r="H74" s="35" t="s">
        <v>2923</v>
      </c>
      <c r="I74" s="35" t="s">
        <v>2880</v>
      </c>
      <c r="J74" s="35" t="s">
        <v>79</v>
      </c>
      <c r="K74" s="35"/>
      <c r="L74" s="88" t="s">
        <v>2827</v>
      </c>
      <c r="M74" s="35" t="s">
        <v>2821</v>
      </c>
      <c r="N74" s="35" t="s">
        <v>307</v>
      </c>
      <c r="O74" s="35"/>
      <c r="P74" s="35"/>
    </row>
    <row r="75" spans="1:16" ht="54" customHeight="1" x14ac:dyDescent="0.2">
      <c r="A75" s="35">
        <v>74</v>
      </c>
      <c r="B75" s="35" t="s">
        <v>308</v>
      </c>
      <c r="C75" s="35" t="s">
        <v>268</v>
      </c>
      <c r="D75" s="35" t="s">
        <v>18</v>
      </c>
      <c r="E75" s="35" t="s">
        <v>308</v>
      </c>
      <c r="F75" s="35">
        <v>1</v>
      </c>
      <c r="G75" s="35" t="s">
        <v>1378</v>
      </c>
      <c r="H75" s="35" t="s">
        <v>2923</v>
      </c>
      <c r="I75" s="35" t="s">
        <v>2880</v>
      </c>
      <c r="J75" s="35" t="s">
        <v>79</v>
      </c>
      <c r="K75" s="35"/>
      <c r="L75" s="88" t="s">
        <v>2827</v>
      </c>
      <c r="M75" s="35" t="s">
        <v>2821</v>
      </c>
      <c r="N75" s="35" t="s">
        <v>310</v>
      </c>
      <c r="O75" s="35"/>
      <c r="P75" s="35"/>
    </row>
    <row r="76" spans="1:16" ht="54" customHeight="1" x14ac:dyDescent="0.2">
      <c r="A76" s="35">
        <v>75</v>
      </c>
      <c r="B76" s="35" t="s">
        <v>311</v>
      </c>
      <c r="C76" s="35" t="s">
        <v>268</v>
      </c>
      <c r="D76" s="35" t="s">
        <v>18</v>
      </c>
      <c r="E76" s="35" t="s">
        <v>311</v>
      </c>
      <c r="F76" s="35">
        <v>1</v>
      </c>
      <c r="G76" s="35" t="s">
        <v>1446</v>
      </c>
      <c r="H76" s="35" t="s">
        <v>2922</v>
      </c>
      <c r="I76" s="35" t="s">
        <v>2880</v>
      </c>
      <c r="J76" s="35" t="s">
        <v>79</v>
      </c>
      <c r="K76" s="35"/>
      <c r="L76" s="88" t="s">
        <v>2827</v>
      </c>
      <c r="M76" s="35" t="s">
        <v>2925</v>
      </c>
      <c r="N76" s="35" t="s">
        <v>313</v>
      </c>
      <c r="O76" s="35"/>
      <c r="P76" s="35"/>
    </row>
    <row r="77" spans="1:16" ht="54" customHeight="1" x14ac:dyDescent="0.2">
      <c r="A77" s="35">
        <v>76</v>
      </c>
      <c r="B77" s="35" t="s">
        <v>314</v>
      </c>
      <c r="C77" s="35" t="s">
        <v>268</v>
      </c>
      <c r="D77" s="35" t="s">
        <v>18</v>
      </c>
      <c r="E77" s="35" t="s">
        <v>314</v>
      </c>
      <c r="F77" s="35">
        <v>1</v>
      </c>
      <c r="G77" s="35" t="s">
        <v>1437</v>
      </c>
      <c r="H77" s="35" t="s">
        <v>2926</v>
      </c>
      <c r="I77" s="35" t="s">
        <v>2880</v>
      </c>
      <c r="J77" s="35" t="s">
        <v>64</v>
      </c>
      <c r="K77" s="35"/>
      <c r="L77" s="88" t="s">
        <v>2819</v>
      </c>
      <c r="M77" s="35" t="s">
        <v>2832</v>
      </c>
      <c r="N77" s="35" t="s">
        <v>316</v>
      </c>
      <c r="O77" s="35"/>
      <c r="P77" s="35"/>
    </row>
    <row r="78" spans="1:16" ht="54" customHeight="1" x14ac:dyDescent="0.2">
      <c r="A78" s="35">
        <v>77</v>
      </c>
      <c r="B78" s="35" t="s">
        <v>317</v>
      </c>
      <c r="C78" s="35" t="s">
        <v>268</v>
      </c>
      <c r="D78" s="35" t="s">
        <v>18</v>
      </c>
      <c r="E78" s="35" t="s">
        <v>317</v>
      </c>
      <c r="F78" s="35">
        <v>1</v>
      </c>
      <c r="G78" s="35" t="s">
        <v>1378</v>
      </c>
      <c r="H78" s="35" t="s">
        <v>2923</v>
      </c>
      <c r="I78" s="35" t="s">
        <v>2880</v>
      </c>
      <c r="J78" s="35" t="s">
        <v>19</v>
      </c>
      <c r="K78" s="35"/>
      <c r="L78" s="88" t="s">
        <v>2827</v>
      </c>
      <c r="M78" s="35" t="s">
        <v>2821</v>
      </c>
      <c r="N78" s="35" t="s">
        <v>319</v>
      </c>
      <c r="O78" s="35"/>
      <c r="P78" s="35"/>
    </row>
    <row r="79" spans="1:16" ht="54" customHeight="1" x14ac:dyDescent="0.2">
      <c r="A79" s="35">
        <v>78</v>
      </c>
      <c r="B79" s="35" t="s">
        <v>320</v>
      </c>
      <c r="C79" s="35" t="s">
        <v>268</v>
      </c>
      <c r="D79" s="35" t="s">
        <v>18</v>
      </c>
      <c r="E79" s="35" t="s">
        <v>320</v>
      </c>
      <c r="F79" s="35">
        <v>1</v>
      </c>
      <c r="G79" s="35" t="s">
        <v>1442</v>
      </c>
      <c r="H79" s="35" t="s">
        <v>299</v>
      </c>
      <c r="I79" s="35" t="s">
        <v>2880</v>
      </c>
      <c r="J79" s="35" t="s">
        <v>299</v>
      </c>
      <c r="K79" s="35"/>
      <c r="L79" s="88" t="s">
        <v>2835</v>
      </c>
      <c r="M79" s="35" t="s">
        <v>2924</v>
      </c>
      <c r="N79" s="35" t="s">
        <v>322</v>
      </c>
      <c r="O79" s="35"/>
      <c r="P79" s="35"/>
    </row>
    <row r="80" spans="1:16" ht="54" customHeight="1" x14ac:dyDescent="0.2">
      <c r="A80" s="35">
        <v>79</v>
      </c>
      <c r="B80" s="35" t="s">
        <v>323</v>
      </c>
      <c r="C80" s="35" t="s">
        <v>268</v>
      </c>
      <c r="D80" s="35" t="s">
        <v>18</v>
      </c>
      <c r="E80" s="35" t="s">
        <v>323</v>
      </c>
      <c r="F80" s="35">
        <v>1</v>
      </c>
      <c r="G80" s="35" t="s">
        <v>1437</v>
      </c>
      <c r="H80" s="35" t="s">
        <v>2922</v>
      </c>
      <c r="I80" s="35" t="s">
        <v>2880</v>
      </c>
      <c r="J80" s="35" t="s">
        <v>79</v>
      </c>
      <c r="K80" s="35"/>
      <c r="L80" s="88" t="s">
        <v>2835</v>
      </c>
      <c r="M80" s="35" t="s">
        <v>2832</v>
      </c>
      <c r="N80" s="35" t="s">
        <v>325</v>
      </c>
      <c r="O80" s="35"/>
      <c r="P80" s="35"/>
    </row>
    <row r="81" spans="1:16" ht="54" customHeight="1" x14ac:dyDescent="0.2">
      <c r="A81" s="35">
        <v>80</v>
      </c>
      <c r="B81" s="35" t="s">
        <v>326</v>
      </c>
      <c r="C81" s="35" t="s">
        <v>268</v>
      </c>
      <c r="D81" s="35" t="s">
        <v>18</v>
      </c>
      <c r="E81" s="35" t="s">
        <v>326</v>
      </c>
      <c r="F81" s="35">
        <v>1</v>
      </c>
      <c r="G81" s="35" t="s">
        <v>1378</v>
      </c>
      <c r="H81" s="35" t="s">
        <v>2923</v>
      </c>
      <c r="I81" s="35" t="s">
        <v>2880</v>
      </c>
      <c r="J81" s="35" t="s">
        <v>79</v>
      </c>
      <c r="K81" s="35"/>
      <c r="L81" s="88" t="s">
        <v>2827</v>
      </c>
      <c r="M81" s="35" t="s">
        <v>2821</v>
      </c>
      <c r="N81" s="35" t="s">
        <v>328</v>
      </c>
      <c r="O81" s="35"/>
      <c r="P81" s="35"/>
    </row>
    <row r="82" spans="1:16" ht="54" customHeight="1" x14ac:dyDescent="0.2">
      <c r="A82" s="35">
        <v>81</v>
      </c>
      <c r="B82" s="35" t="s">
        <v>329</v>
      </c>
      <c r="C82" s="35" t="s">
        <v>268</v>
      </c>
      <c r="D82" s="35" t="s">
        <v>18</v>
      </c>
      <c r="E82" s="35" t="s">
        <v>329</v>
      </c>
      <c r="F82" s="35">
        <v>1</v>
      </c>
      <c r="G82" s="35" t="s">
        <v>1378</v>
      </c>
      <c r="H82" s="35" t="s">
        <v>2927</v>
      </c>
      <c r="I82" s="35" t="s">
        <v>2882</v>
      </c>
      <c r="J82" s="35" t="s">
        <v>19</v>
      </c>
      <c r="K82" s="35" t="s">
        <v>2927</v>
      </c>
      <c r="L82" s="88" t="s">
        <v>2827</v>
      </c>
      <c r="M82" s="35" t="s">
        <v>2821</v>
      </c>
      <c r="N82" s="35" t="s">
        <v>332</v>
      </c>
      <c r="O82" s="35"/>
      <c r="P82" s="35"/>
    </row>
    <row r="83" spans="1:16" ht="54" customHeight="1" x14ac:dyDescent="0.2">
      <c r="A83" s="35">
        <v>82</v>
      </c>
      <c r="B83" s="35" t="s">
        <v>334</v>
      </c>
      <c r="C83" s="35" t="s">
        <v>268</v>
      </c>
      <c r="D83" s="35" t="s">
        <v>18</v>
      </c>
      <c r="E83" s="35" t="s">
        <v>334</v>
      </c>
      <c r="F83" s="35">
        <v>1</v>
      </c>
      <c r="G83" s="35" t="s">
        <v>1378</v>
      </c>
      <c r="H83" s="35" t="s">
        <v>2922</v>
      </c>
      <c r="I83" s="35" t="s">
        <v>2880</v>
      </c>
      <c r="J83" s="35" t="s">
        <v>40</v>
      </c>
      <c r="K83" s="35"/>
      <c r="L83" s="89" t="s">
        <v>2817</v>
      </c>
      <c r="M83" s="35" t="s">
        <v>2833</v>
      </c>
      <c r="N83" s="35" t="s">
        <v>336</v>
      </c>
      <c r="O83" s="35"/>
      <c r="P83" s="35"/>
    </row>
    <row r="84" spans="1:16" ht="54" customHeight="1" x14ac:dyDescent="0.2">
      <c r="A84" s="35">
        <v>83</v>
      </c>
      <c r="B84" s="35" t="s">
        <v>337</v>
      </c>
      <c r="C84" s="35" t="s">
        <v>268</v>
      </c>
      <c r="D84" s="35" t="s">
        <v>18</v>
      </c>
      <c r="E84" s="35" t="s">
        <v>337</v>
      </c>
      <c r="F84" s="35">
        <v>1</v>
      </c>
      <c r="G84" s="35" t="s">
        <v>1437</v>
      </c>
      <c r="H84" s="35" t="s">
        <v>2922</v>
      </c>
      <c r="I84" s="35" t="s">
        <v>2880</v>
      </c>
      <c r="J84" s="35" t="s">
        <v>79</v>
      </c>
      <c r="K84" s="35"/>
      <c r="L84" s="88" t="s">
        <v>2835</v>
      </c>
      <c r="M84" s="35" t="s">
        <v>2832</v>
      </c>
      <c r="N84" s="35" t="s">
        <v>339</v>
      </c>
      <c r="O84" s="35"/>
      <c r="P84" s="35"/>
    </row>
    <row r="85" spans="1:16" ht="54" customHeight="1" x14ac:dyDescent="0.2">
      <c r="A85" s="35">
        <v>84</v>
      </c>
      <c r="B85" s="35" t="s">
        <v>340</v>
      </c>
      <c r="C85" s="35" t="s">
        <v>268</v>
      </c>
      <c r="D85" s="35" t="s">
        <v>18</v>
      </c>
      <c r="E85" s="35" t="s">
        <v>340</v>
      </c>
      <c r="F85" s="35">
        <v>0</v>
      </c>
      <c r="G85" s="35"/>
      <c r="H85" s="35" t="s">
        <v>299</v>
      </c>
      <c r="I85" s="35" t="s">
        <v>2880</v>
      </c>
      <c r="J85" s="35" t="s">
        <v>299</v>
      </c>
      <c r="K85" s="35"/>
      <c r="L85" s="88" t="s">
        <v>2827</v>
      </c>
      <c r="M85" s="35" t="s">
        <v>2839</v>
      </c>
      <c r="N85" s="35" t="s">
        <v>342</v>
      </c>
      <c r="O85" s="35"/>
      <c r="P85" s="35"/>
    </row>
    <row r="86" spans="1:16" ht="54" customHeight="1" x14ac:dyDescent="0.2">
      <c r="A86" s="35">
        <v>85</v>
      </c>
      <c r="B86" s="35" t="s">
        <v>343</v>
      </c>
      <c r="C86" s="35" t="s">
        <v>268</v>
      </c>
      <c r="D86" s="35" t="s">
        <v>18</v>
      </c>
      <c r="E86" s="35" t="s">
        <v>343</v>
      </c>
      <c r="F86" s="35">
        <v>1</v>
      </c>
      <c r="G86" s="35" t="s">
        <v>1437</v>
      </c>
      <c r="H86" s="35" t="s">
        <v>2922</v>
      </c>
      <c r="I86" s="35" t="s">
        <v>2880</v>
      </c>
      <c r="J86" s="35" t="s">
        <v>79</v>
      </c>
      <c r="K86" s="35"/>
      <c r="L86" s="88" t="s">
        <v>2835</v>
      </c>
      <c r="M86" s="35" t="s">
        <v>2832</v>
      </c>
      <c r="N86" s="35" t="s">
        <v>345</v>
      </c>
      <c r="O86" s="35"/>
      <c r="P86" s="35"/>
    </row>
    <row r="87" spans="1:16" ht="54" customHeight="1" x14ac:dyDescent="0.2">
      <c r="A87" s="35">
        <v>86</v>
      </c>
      <c r="B87" s="35" t="s">
        <v>346</v>
      </c>
      <c r="C87" s="35" t="s">
        <v>268</v>
      </c>
      <c r="D87" s="35" t="s">
        <v>18</v>
      </c>
      <c r="E87" s="35" t="s">
        <v>346</v>
      </c>
      <c r="F87" s="35">
        <v>1</v>
      </c>
      <c r="G87" s="35" t="s">
        <v>1378</v>
      </c>
      <c r="H87" s="35" t="s">
        <v>2923</v>
      </c>
      <c r="I87" s="35" t="s">
        <v>2880</v>
      </c>
      <c r="J87" s="35" t="s">
        <v>79</v>
      </c>
      <c r="K87" s="35"/>
      <c r="L87" s="88" t="s">
        <v>2827</v>
      </c>
      <c r="M87" s="35" t="s">
        <v>2821</v>
      </c>
      <c r="N87" s="35" t="s">
        <v>348</v>
      </c>
      <c r="O87" s="35"/>
      <c r="P87" s="35"/>
    </row>
    <row r="88" spans="1:16" ht="54" customHeight="1" x14ac:dyDescent="0.2">
      <c r="A88" s="35">
        <v>87</v>
      </c>
      <c r="B88" s="35" t="s">
        <v>349</v>
      </c>
      <c r="C88" s="35" t="s">
        <v>268</v>
      </c>
      <c r="D88" s="35" t="s">
        <v>18</v>
      </c>
      <c r="E88" s="35" t="s">
        <v>349</v>
      </c>
      <c r="F88" s="35">
        <v>1</v>
      </c>
      <c r="G88" s="35" t="s">
        <v>1378</v>
      </c>
      <c r="H88" s="35" t="s">
        <v>2923</v>
      </c>
      <c r="I88" s="35" t="s">
        <v>2880</v>
      </c>
      <c r="J88" s="35" t="s">
        <v>79</v>
      </c>
      <c r="K88" s="35"/>
      <c r="L88" s="88" t="s">
        <v>2827</v>
      </c>
      <c r="M88" s="35" t="s">
        <v>2821</v>
      </c>
      <c r="N88" s="35" t="s">
        <v>351</v>
      </c>
      <c r="O88" s="35"/>
      <c r="P88" s="35"/>
    </row>
    <row r="89" spans="1:16" ht="54" customHeight="1" x14ac:dyDescent="0.2">
      <c r="A89" s="35">
        <v>88</v>
      </c>
      <c r="B89" s="35" t="s">
        <v>352</v>
      </c>
      <c r="C89" s="35" t="s">
        <v>268</v>
      </c>
      <c r="D89" s="35" t="s">
        <v>18</v>
      </c>
      <c r="E89" s="35" t="s">
        <v>352</v>
      </c>
      <c r="F89" s="35">
        <v>1</v>
      </c>
      <c r="G89" s="35" t="s">
        <v>1378</v>
      </c>
      <c r="H89" s="35" t="s">
        <v>2923</v>
      </c>
      <c r="I89" s="35" t="s">
        <v>2880</v>
      </c>
      <c r="J89" s="35" t="s">
        <v>79</v>
      </c>
      <c r="K89" s="35"/>
      <c r="L89" s="88" t="s">
        <v>2827</v>
      </c>
      <c r="M89" s="35" t="s">
        <v>2821</v>
      </c>
      <c r="N89" s="35" t="s">
        <v>354</v>
      </c>
      <c r="O89" s="35"/>
      <c r="P89" s="35"/>
    </row>
    <row r="90" spans="1:16" ht="54" customHeight="1" x14ac:dyDescent="0.2">
      <c r="A90" s="35">
        <v>89</v>
      </c>
      <c r="B90" s="35" t="s">
        <v>355</v>
      </c>
      <c r="C90" s="35" t="s">
        <v>268</v>
      </c>
      <c r="D90" s="35" t="s">
        <v>18</v>
      </c>
      <c r="E90" s="35" t="s">
        <v>355</v>
      </c>
      <c r="F90" s="35">
        <v>1</v>
      </c>
      <c r="G90" s="35" t="s">
        <v>1460</v>
      </c>
      <c r="H90" s="35" t="s">
        <v>2922</v>
      </c>
      <c r="I90" s="35" t="s">
        <v>2880</v>
      </c>
      <c r="J90" s="35" t="s">
        <v>356</v>
      </c>
      <c r="K90" s="35"/>
      <c r="L90" s="88" t="s">
        <v>2819</v>
      </c>
      <c r="M90" s="35" t="s">
        <v>2834</v>
      </c>
      <c r="N90" s="35" t="s">
        <v>358</v>
      </c>
      <c r="O90" s="35"/>
      <c r="P90" s="35"/>
    </row>
    <row r="91" spans="1:16" ht="54" customHeight="1" x14ac:dyDescent="0.2">
      <c r="A91" s="35">
        <v>90</v>
      </c>
      <c r="B91" s="35" t="s">
        <v>359</v>
      </c>
      <c r="C91" s="35" t="s">
        <v>268</v>
      </c>
      <c r="D91" s="35" t="s">
        <v>18</v>
      </c>
      <c r="E91" s="35" t="s">
        <v>359</v>
      </c>
      <c r="F91" s="35">
        <v>1</v>
      </c>
      <c r="G91" s="35" t="s">
        <v>1437</v>
      </c>
      <c r="H91" s="35" t="s">
        <v>2922</v>
      </c>
      <c r="I91" s="35" t="s">
        <v>2880</v>
      </c>
      <c r="J91" s="35" t="s">
        <v>79</v>
      </c>
      <c r="K91" s="35"/>
      <c r="L91" s="88" t="s">
        <v>2835</v>
      </c>
      <c r="M91" s="35" t="s">
        <v>2832</v>
      </c>
      <c r="N91" s="35" t="s">
        <v>361</v>
      </c>
      <c r="O91" s="35"/>
      <c r="P91" s="35"/>
    </row>
    <row r="92" spans="1:16" ht="54" customHeight="1" x14ac:dyDescent="0.2">
      <c r="A92" s="35">
        <v>91</v>
      </c>
      <c r="B92" s="35" t="s">
        <v>362</v>
      </c>
      <c r="C92" s="35" t="s">
        <v>268</v>
      </c>
      <c r="D92" s="35" t="s">
        <v>18</v>
      </c>
      <c r="E92" s="35" t="s">
        <v>362</v>
      </c>
      <c r="F92" s="35">
        <v>1</v>
      </c>
      <c r="G92" s="35" t="s">
        <v>1378</v>
      </c>
      <c r="H92" s="35" t="s">
        <v>2922</v>
      </c>
      <c r="I92" s="35" t="s">
        <v>2880</v>
      </c>
      <c r="J92" s="35" t="s">
        <v>79</v>
      </c>
      <c r="K92" s="35"/>
      <c r="L92" s="88" t="s">
        <v>2827</v>
      </c>
      <c r="M92" s="35" t="s">
        <v>2821</v>
      </c>
      <c r="N92" s="35" t="s">
        <v>364</v>
      </c>
      <c r="O92" s="35"/>
      <c r="P92" s="35"/>
    </row>
    <row r="93" spans="1:16" ht="54" customHeight="1" x14ac:dyDescent="0.2">
      <c r="A93" s="35">
        <v>92</v>
      </c>
      <c r="B93" s="35" t="s">
        <v>365</v>
      </c>
      <c r="C93" s="35" t="s">
        <v>268</v>
      </c>
      <c r="D93" s="35" t="s">
        <v>18</v>
      </c>
      <c r="E93" s="35" t="s">
        <v>365</v>
      </c>
      <c r="F93" s="35">
        <v>1</v>
      </c>
      <c r="G93" s="35" t="s">
        <v>1437</v>
      </c>
      <c r="H93" s="35" t="s">
        <v>2922</v>
      </c>
      <c r="I93" s="35" t="s">
        <v>2880</v>
      </c>
      <c r="J93" s="35" t="s">
        <v>79</v>
      </c>
      <c r="K93" s="35"/>
      <c r="L93" s="88" t="s">
        <v>2835</v>
      </c>
      <c r="M93" s="35" t="s">
        <v>2832</v>
      </c>
      <c r="N93" s="35" t="s">
        <v>367</v>
      </c>
      <c r="O93" s="35"/>
      <c r="P93" s="35"/>
    </row>
    <row r="94" spans="1:16" ht="54" customHeight="1" x14ac:dyDescent="0.2">
      <c r="A94" s="35">
        <v>93</v>
      </c>
      <c r="B94" s="35" t="s">
        <v>368</v>
      </c>
      <c r="C94" s="35" t="s">
        <v>268</v>
      </c>
      <c r="D94" s="35" t="s">
        <v>18</v>
      </c>
      <c r="E94" s="35" t="s">
        <v>368</v>
      </c>
      <c r="F94" s="35">
        <v>1</v>
      </c>
      <c r="G94" s="35" t="s">
        <v>1437</v>
      </c>
      <c r="H94" s="35" t="s">
        <v>2922</v>
      </c>
      <c r="I94" s="35" t="s">
        <v>2880</v>
      </c>
      <c r="J94" s="35" t="s">
        <v>79</v>
      </c>
      <c r="K94" s="35"/>
      <c r="L94" s="88" t="s">
        <v>2835</v>
      </c>
      <c r="M94" s="35" t="s">
        <v>2832</v>
      </c>
      <c r="N94" s="35" t="s">
        <v>370</v>
      </c>
      <c r="O94" s="35"/>
      <c r="P94" s="35"/>
    </row>
    <row r="95" spans="1:16" ht="54" customHeight="1" x14ac:dyDescent="0.2">
      <c r="A95" s="35">
        <v>94</v>
      </c>
      <c r="B95" s="35" t="s">
        <v>371</v>
      </c>
      <c r="C95" s="35" t="s">
        <v>268</v>
      </c>
      <c r="D95" s="35" t="s">
        <v>18</v>
      </c>
      <c r="E95" s="35" t="s">
        <v>371</v>
      </c>
      <c r="F95" s="35">
        <v>1</v>
      </c>
      <c r="G95" s="35" t="s">
        <v>1378</v>
      </c>
      <c r="H95" s="35" t="s">
        <v>2923</v>
      </c>
      <c r="I95" s="35" t="s">
        <v>2880</v>
      </c>
      <c r="J95" s="35" t="s">
        <v>19</v>
      </c>
      <c r="K95" s="35"/>
      <c r="L95" s="88" t="s">
        <v>2827</v>
      </c>
      <c r="M95" s="35" t="s">
        <v>2821</v>
      </c>
      <c r="N95" s="35" t="s">
        <v>373</v>
      </c>
      <c r="O95" s="35"/>
      <c r="P95" s="35"/>
    </row>
    <row r="96" spans="1:16" ht="54" customHeight="1" x14ac:dyDescent="0.2">
      <c r="A96" s="35">
        <v>95</v>
      </c>
      <c r="B96" s="35" t="s">
        <v>374</v>
      </c>
      <c r="C96" s="35" t="s">
        <v>268</v>
      </c>
      <c r="D96" s="35" t="s">
        <v>18</v>
      </c>
      <c r="E96" s="35" t="s">
        <v>374</v>
      </c>
      <c r="F96" s="35">
        <v>1</v>
      </c>
      <c r="G96" s="35" t="s">
        <v>1378</v>
      </c>
      <c r="H96" s="35" t="s">
        <v>2922</v>
      </c>
      <c r="I96" s="35" t="s">
        <v>2880</v>
      </c>
      <c r="J96" s="35" t="s">
        <v>79</v>
      </c>
      <c r="K96" s="35"/>
      <c r="L96" s="88" t="s">
        <v>2827</v>
      </c>
      <c r="M96" s="35" t="s">
        <v>2821</v>
      </c>
      <c r="N96" s="35" t="s">
        <v>376</v>
      </c>
      <c r="O96" s="35"/>
      <c r="P96" s="35"/>
    </row>
    <row r="97" spans="1:16" ht="54" customHeight="1" x14ac:dyDescent="0.2">
      <c r="A97" s="35">
        <v>96</v>
      </c>
      <c r="B97" s="35" t="s">
        <v>377</v>
      </c>
      <c r="C97" s="35" t="s">
        <v>268</v>
      </c>
      <c r="D97" s="35" t="s">
        <v>163</v>
      </c>
      <c r="E97" s="35" t="s">
        <v>377</v>
      </c>
      <c r="F97" s="35">
        <v>1</v>
      </c>
      <c r="G97" s="35" t="s">
        <v>1437</v>
      </c>
      <c r="H97" s="35" t="s">
        <v>2922</v>
      </c>
      <c r="I97" s="35" t="s">
        <v>2880</v>
      </c>
      <c r="J97" s="35" t="s">
        <v>79</v>
      </c>
      <c r="K97" s="35"/>
      <c r="L97" s="88" t="s">
        <v>2835</v>
      </c>
      <c r="M97" s="35" t="s">
        <v>2832</v>
      </c>
      <c r="N97" s="35" t="s">
        <v>381</v>
      </c>
      <c r="O97" s="35"/>
      <c r="P97" s="35"/>
    </row>
    <row r="98" spans="1:16" ht="54" customHeight="1" x14ac:dyDescent="0.2">
      <c r="A98" s="35">
        <v>97</v>
      </c>
      <c r="B98" s="35" t="s">
        <v>383</v>
      </c>
      <c r="C98" s="35" t="s">
        <v>268</v>
      </c>
      <c r="D98" s="35" t="s">
        <v>163</v>
      </c>
      <c r="E98" s="35" t="s">
        <v>383</v>
      </c>
      <c r="F98" s="35">
        <v>1</v>
      </c>
      <c r="G98" s="35" t="s">
        <v>1378</v>
      </c>
      <c r="H98" s="35" t="s">
        <v>2923</v>
      </c>
      <c r="I98" s="35" t="s">
        <v>2880</v>
      </c>
      <c r="J98" s="35" t="s">
        <v>79</v>
      </c>
      <c r="K98" s="35"/>
      <c r="L98" s="88" t="s">
        <v>2827</v>
      </c>
      <c r="M98" s="35" t="s">
        <v>2821</v>
      </c>
      <c r="N98" s="35" t="s">
        <v>386</v>
      </c>
      <c r="O98" s="35"/>
      <c r="P98" s="35"/>
    </row>
    <row r="99" spans="1:16" ht="54" customHeight="1" x14ac:dyDescent="0.2">
      <c r="A99" s="35">
        <v>98</v>
      </c>
      <c r="B99" s="35" t="s">
        <v>387</v>
      </c>
      <c r="C99" s="35" t="s">
        <v>268</v>
      </c>
      <c r="D99" s="35" t="s">
        <v>163</v>
      </c>
      <c r="E99" s="35" t="s">
        <v>387</v>
      </c>
      <c r="F99" s="35">
        <v>1</v>
      </c>
      <c r="G99" s="35" t="s">
        <v>1378</v>
      </c>
      <c r="H99" s="35" t="s">
        <v>2922</v>
      </c>
      <c r="I99" s="35" t="s">
        <v>2880</v>
      </c>
      <c r="J99" s="35" t="s">
        <v>79</v>
      </c>
      <c r="K99" s="35"/>
      <c r="L99" s="88" t="s">
        <v>2827</v>
      </c>
      <c r="M99" s="35" t="s">
        <v>2821</v>
      </c>
      <c r="N99" s="35" t="s">
        <v>390</v>
      </c>
      <c r="O99" s="35"/>
      <c r="P99" s="35"/>
    </row>
    <row r="100" spans="1:16" ht="54" customHeight="1" x14ac:dyDescent="0.2">
      <c r="A100" s="35">
        <v>99</v>
      </c>
      <c r="B100" s="35" t="s">
        <v>391</v>
      </c>
      <c r="C100" s="35" t="s">
        <v>268</v>
      </c>
      <c r="D100" s="35" t="s">
        <v>163</v>
      </c>
      <c r="E100" s="35" t="s">
        <v>391</v>
      </c>
      <c r="F100" s="35">
        <v>1</v>
      </c>
      <c r="G100" s="35" t="s">
        <v>1442</v>
      </c>
      <c r="H100" s="35" t="s">
        <v>2923</v>
      </c>
      <c r="I100" s="35" t="s">
        <v>2880</v>
      </c>
      <c r="J100" s="35" t="s">
        <v>299</v>
      </c>
      <c r="K100" s="35"/>
      <c r="L100" s="88" t="s">
        <v>2835</v>
      </c>
      <c r="M100" s="35" t="s">
        <v>2836</v>
      </c>
      <c r="N100" s="35" t="s">
        <v>395</v>
      </c>
      <c r="O100" s="35"/>
      <c r="P100" s="35"/>
    </row>
    <row r="101" spans="1:16" ht="54" customHeight="1" x14ac:dyDescent="0.2">
      <c r="A101" s="35">
        <v>100</v>
      </c>
      <c r="B101" s="35" t="s">
        <v>397</v>
      </c>
      <c r="C101" s="35" t="s">
        <v>268</v>
      </c>
      <c r="D101" s="35" t="s">
        <v>163</v>
      </c>
      <c r="E101" s="35" t="s">
        <v>397</v>
      </c>
      <c r="F101" s="35">
        <v>1</v>
      </c>
      <c r="G101" s="35" t="s">
        <v>1378</v>
      </c>
      <c r="H101" s="35" t="s">
        <v>2923</v>
      </c>
      <c r="I101" s="35" t="s">
        <v>2880</v>
      </c>
      <c r="J101" s="35" t="s">
        <v>79</v>
      </c>
      <c r="K101" s="35"/>
      <c r="L101" s="88" t="s">
        <v>2827</v>
      </c>
      <c r="M101" s="35" t="s">
        <v>2821</v>
      </c>
      <c r="N101" s="35" t="s">
        <v>400</v>
      </c>
      <c r="O101" s="35"/>
      <c r="P101" s="35"/>
    </row>
    <row r="102" spans="1:16" ht="54" customHeight="1" x14ac:dyDescent="0.2">
      <c r="A102" s="35">
        <v>101</v>
      </c>
      <c r="B102" s="35" t="s">
        <v>402</v>
      </c>
      <c r="C102" s="35" t="s">
        <v>268</v>
      </c>
      <c r="D102" s="35" t="s">
        <v>163</v>
      </c>
      <c r="E102" s="35" t="s">
        <v>402</v>
      </c>
      <c r="F102" s="35">
        <v>1</v>
      </c>
      <c r="G102" s="35" t="s">
        <v>1442</v>
      </c>
      <c r="H102" s="35" t="s">
        <v>2923</v>
      </c>
      <c r="I102" s="35" t="s">
        <v>2880</v>
      </c>
      <c r="J102" s="35" t="s">
        <v>299</v>
      </c>
      <c r="K102" s="35"/>
      <c r="L102" s="88" t="s">
        <v>2835</v>
      </c>
      <c r="M102" s="35" t="s">
        <v>2836</v>
      </c>
      <c r="N102" s="35" t="s">
        <v>404</v>
      </c>
      <c r="O102" s="35"/>
      <c r="P102" s="35"/>
    </row>
    <row r="103" spans="1:16" ht="54" customHeight="1" x14ac:dyDescent="0.2">
      <c r="A103" s="35">
        <v>102</v>
      </c>
      <c r="B103" s="35" t="s">
        <v>405</v>
      </c>
      <c r="C103" s="35" t="s">
        <v>268</v>
      </c>
      <c r="D103" s="35" t="s">
        <v>163</v>
      </c>
      <c r="E103" s="35" t="s">
        <v>405</v>
      </c>
      <c r="F103" s="35">
        <v>1</v>
      </c>
      <c r="G103" s="35" t="s">
        <v>1378</v>
      </c>
      <c r="H103" s="35" t="s">
        <v>2923</v>
      </c>
      <c r="I103" s="35" t="s">
        <v>2880</v>
      </c>
      <c r="J103" s="35" t="s">
        <v>79</v>
      </c>
      <c r="K103" s="35"/>
      <c r="L103" s="88" t="s">
        <v>2827</v>
      </c>
      <c r="M103" s="35" t="s">
        <v>2821</v>
      </c>
      <c r="N103" s="35" t="s">
        <v>407</v>
      </c>
      <c r="O103" s="35"/>
      <c r="P103" s="35"/>
    </row>
    <row r="104" spans="1:16" ht="54" customHeight="1" x14ac:dyDescent="0.2">
      <c r="A104" s="35">
        <v>103</v>
      </c>
      <c r="B104" s="35" t="s">
        <v>408</v>
      </c>
      <c r="C104" s="35" t="s">
        <v>268</v>
      </c>
      <c r="D104" s="35" t="s">
        <v>163</v>
      </c>
      <c r="E104" s="35" t="s">
        <v>408</v>
      </c>
      <c r="F104" s="35">
        <v>1</v>
      </c>
      <c r="G104" s="35" t="s">
        <v>1437</v>
      </c>
      <c r="H104" s="35" t="s">
        <v>2881</v>
      </c>
      <c r="I104" s="35" t="s">
        <v>2882</v>
      </c>
      <c r="J104" s="35" t="s">
        <v>79</v>
      </c>
      <c r="K104" s="35" t="s">
        <v>2881</v>
      </c>
      <c r="L104" s="88" t="s">
        <v>2835</v>
      </c>
      <c r="M104" s="35" t="s">
        <v>2832</v>
      </c>
      <c r="N104" s="35" t="s">
        <v>410</v>
      </c>
      <c r="O104" s="35"/>
      <c r="P104" s="35"/>
    </row>
    <row r="105" spans="1:16" ht="54" customHeight="1" x14ac:dyDescent="0.2">
      <c r="A105" s="35">
        <v>104</v>
      </c>
      <c r="B105" s="35" t="s">
        <v>411</v>
      </c>
      <c r="C105" s="35" t="s">
        <v>268</v>
      </c>
      <c r="D105" s="35" t="s">
        <v>163</v>
      </c>
      <c r="E105" s="35" t="s">
        <v>411</v>
      </c>
      <c r="F105" s="35">
        <v>0</v>
      </c>
      <c r="G105" s="35"/>
      <c r="H105" s="35" t="s">
        <v>2923</v>
      </c>
      <c r="I105" s="35" t="s">
        <v>2880</v>
      </c>
      <c r="J105" s="35" t="s">
        <v>412</v>
      </c>
      <c r="K105" s="35"/>
      <c r="L105" s="88" t="s">
        <v>2819</v>
      </c>
      <c r="M105" s="35" t="s">
        <v>2837</v>
      </c>
      <c r="N105" s="35" t="s">
        <v>414</v>
      </c>
      <c r="O105" s="35"/>
      <c r="P105" s="35"/>
    </row>
    <row r="106" spans="1:16" ht="54" customHeight="1" x14ac:dyDescent="0.2">
      <c r="A106" s="35">
        <v>105</v>
      </c>
      <c r="B106" s="35" t="s">
        <v>415</v>
      </c>
      <c r="C106" s="35" t="s">
        <v>268</v>
      </c>
      <c r="D106" s="35" t="s">
        <v>163</v>
      </c>
      <c r="E106" s="35" t="s">
        <v>415</v>
      </c>
      <c r="F106" s="35">
        <v>0</v>
      </c>
      <c r="G106" s="35"/>
      <c r="H106" s="35" t="s">
        <v>2923</v>
      </c>
      <c r="I106" s="35" t="s">
        <v>2880</v>
      </c>
      <c r="J106" s="35" t="s">
        <v>79</v>
      </c>
      <c r="K106" s="35"/>
      <c r="L106" s="88" t="s">
        <v>2827</v>
      </c>
      <c r="M106" s="35" t="s">
        <v>2839</v>
      </c>
      <c r="N106" s="35" t="s">
        <v>417</v>
      </c>
      <c r="O106" s="35"/>
      <c r="P106" s="35"/>
    </row>
    <row r="107" spans="1:16" ht="54" customHeight="1" x14ac:dyDescent="0.2">
      <c r="A107" s="35">
        <v>106</v>
      </c>
      <c r="B107" s="35" t="s">
        <v>418</v>
      </c>
      <c r="C107" s="35" t="s">
        <v>268</v>
      </c>
      <c r="D107" s="35" t="s">
        <v>163</v>
      </c>
      <c r="E107" s="35" t="s">
        <v>418</v>
      </c>
      <c r="F107" s="35">
        <v>0</v>
      </c>
      <c r="G107" s="35"/>
      <c r="H107" s="35" t="s">
        <v>2927</v>
      </c>
      <c r="I107" s="35" t="s">
        <v>2882</v>
      </c>
      <c r="J107" s="35" t="s">
        <v>41</v>
      </c>
      <c r="K107" s="35" t="s">
        <v>2927</v>
      </c>
      <c r="L107" s="88" t="s">
        <v>2827</v>
      </c>
      <c r="M107" s="35" t="s">
        <v>2839</v>
      </c>
      <c r="N107" s="35" t="s">
        <v>421</v>
      </c>
      <c r="O107" s="35"/>
      <c r="P107" s="35"/>
    </row>
    <row r="108" spans="1:16" ht="54" customHeight="1" x14ac:dyDescent="0.2">
      <c r="A108" s="35">
        <v>107</v>
      </c>
      <c r="B108" s="35" t="s">
        <v>423</v>
      </c>
      <c r="C108" s="35" t="s">
        <v>268</v>
      </c>
      <c r="D108" s="35" t="s">
        <v>163</v>
      </c>
      <c r="E108" s="35" t="s">
        <v>423</v>
      </c>
      <c r="F108" s="35">
        <v>0</v>
      </c>
      <c r="G108" s="35"/>
      <c r="H108" s="35" t="s">
        <v>2923</v>
      </c>
      <c r="I108" s="35" t="s">
        <v>2880</v>
      </c>
      <c r="J108" s="35" t="s">
        <v>79</v>
      </c>
      <c r="K108" s="35"/>
      <c r="L108" s="88" t="s">
        <v>2827</v>
      </c>
      <c r="M108" s="35" t="s">
        <v>2839</v>
      </c>
      <c r="N108" s="35" t="s">
        <v>425</v>
      </c>
      <c r="O108" s="35"/>
      <c r="P108" s="35"/>
    </row>
    <row r="109" spans="1:16" ht="54" customHeight="1" x14ac:dyDescent="0.2">
      <c r="A109" s="35">
        <v>108</v>
      </c>
      <c r="B109" s="35" t="s">
        <v>426</v>
      </c>
      <c r="C109" s="35" t="s">
        <v>268</v>
      </c>
      <c r="D109" s="35" t="s">
        <v>163</v>
      </c>
      <c r="E109" s="35" t="s">
        <v>426</v>
      </c>
      <c r="F109" s="35">
        <v>0</v>
      </c>
      <c r="G109" s="35"/>
      <c r="H109" s="35" t="s">
        <v>2923</v>
      </c>
      <c r="I109" s="35" t="s">
        <v>2880</v>
      </c>
      <c r="J109" s="35" t="s">
        <v>412</v>
      </c>
      <c r="K109" s="35"/>
      <c r="L109" s="88" t="s">
        <v>2819</v>
      </c>
      <c r="M109" s="35" t="s">
        <v>2837</v>
      </c>
      <c r="N109" s="35" t="s">
        <v>428</v>
      </c>
      <c r="O109" s="35"/>
      <c r="P109" s="35"/>
    </row>
    <row r="110" spans="1:16" ht="54" customHeight="1" x14ac:dyDescent="0.2">
      <c r="A110" s="35">
        <v>109</v>
      </c>
      <c r="B110" s="35" t="s">
        <v>429</v>
      </c>
      <c r="C110" s="35" t="s">
        <v>268</v>
      </c>
      <c r="D110" s="35" t="s">
        <v>163</v>
      </c>
      <c r="E110" s="35" t="s">
        <v>429</v>
      </c>
      <c r="F110" s="35">
        <v>0</v>
      </c>
      <c r="G110" s="35"/>
      <c r="H110" s="35" t="s">
        <v>2923</v>
      </c>
      <c r="I110" s="35" t="s">
        <v>2880</v>
      </c>
      <c r="J110" s="35" t="s">
        <v>79</v>
      </c>
      <c r="K110" s="35"/>
      <c r="L110" s="88" t="s">
        <v>2827</v>
      </c>
      <c r="M110" s="35" t="s">
        <v>2839</v>
      </c>
      <c r="N110" s="35" t="s">
        <v>431</v>
      </c>
      <c r="O110" s="35"/>
      <c r="P110" s="35"/>
    </row>
    <row r="111" spans="1:16" ht="54" customHeight="1" x14ac:dyDescent="0.2">
      <c r="A111" s="35">
        <v>110</v>
      </c>
      <c r="B111" s="35" t="s">
        <v>432</v>
      </c>
      <c r="C111" s="35" t="s">
        <v>268</v>
      </c>
      <c r="D111" s="35" t="s">
        <v>163</v>
      </c>
      <c r="E111" s="35" t="s">
        <v>432</v>
      </c>
      <c r="F111" s="35">
        <v>0</v>
      </c>
      <c r="G111" s="35"/>
      <c r="H111" s="35" t="s">
        <v>2923</v>
      </c>
      <c r="I111" s="35" t="s">
        <v>2880</v>
      </c>
      <c r="J111" s="35" t="s">
        <v>79</v>
      </c>
      <c r="K111" s="35"/>
      <c r="L111" s="88" t="s">
        <v>2827</v>
      </c>
      <c r="M111" s="35" t="s">
        <v>2839</v>
      </c>
      <c r="N111" s="35" t="s">
        <v>434</v>
      </c>
      <c r="O111" s="35"/>
      <c r="P111" s="35"/>
    </row>
    <row r="112" spans="1:16" ht="54" customHeight="1" x14ac:dyDescent="0.2">
      <c r="A112" s="35">
        <v>111</v>
      </c>
      <c r="B112" s="35" t="s">
        <v>435</v>
      </c>
      <c r="C112" s="35" t="s">
        <v>268</v>
      </c>
      <c r="D112" s="35" t="s">
        <v>163</v>
      </c>
      <c r="E112" s="35" t="s">
        <v>435</v>
      </c>
      <c r="F112" s="35">
        <v>0</v>
      </c>
      <c r="G112" s="35"/>
      <c r="H112" s="35" t="s">
        <v>2922</v>
      </c>
      <c r="I112" s="35" t="s">
        <v>2880</v>
      </c>
      <c r="J112" s="35" t="s">
        <v>79</v>
      </c>
      <c r="K112" s="35"/>
      <c r="L112" s="88" t="s">
        <v>2827</v>
      </c>
      <c r="M112" s="35" t="s">
        <v>2839</v>
      </c>
      <c r="N112" s="35" t="s">
        <v>437</v>
      </c>
      <c r="O112" s="35"/>
      <c r="P112" s="35"/>
    </row>
    <row r="113" spans="1:16" ht="54" customHeight="1" x14ac:dyDescent="0.2">
      <c r="A113" s="35">
        <v>112</v>
      </c>
      <c r="B113" s="35" t="s">
        <v>438</v>
      </c>
      <c r="C113" s="35" t="s">
        <v>268</v>
      </c>
      <c r="D113" s="35" t="s">
        <v>218</v>
      </c>
      <c r="E113" s="35" t="s">
        <v>438</v>
      </c>
      <c r="F113" s="35">
        <v>0</v>
      </c>
      <c r="G113" s="35"/>
      <c r="H113" s="35" t="s">
        <v>2881</v>
      </c>
      <c r="I113" s="35" t="s">
        <v>2882</v>
      </c>
      <c r="J113" s="35" t="s">
        <v>64</v>
      </c>
      <c r="K113" s="35" t="s">
        <v>2881</v>
      </c>
      <c r="L113" s="88" t="s">
        <v>2827</v>
      </c>
      <c r="M113" s="35" t="s">
        <v>2839</v>
      </c>
      <c r="N113" s="35" t="s">
        <v>442</v>
      </c>
      <c r="O113" s="35"/>
      <c r="P113" s="35"/>
    </row>
    <row r="114" spans="1:16" ht="54" customHeight="1" x14ac:dyDescent="0.2">
      <c r="A114" s="35">
        <v>113</v>
      </c>
      <c r="B114" s="35" t="s">
        <v>444</v>
      </c>
      <c r="C114" s="35" t="s">
        <v>268</v>
      </c>
      <c r="D114" s="35" t="s">
        <v>218</v>
      </c>
      <c r="E114" s="35" t="s">
        <v>444</v>
      </c>
      <c r="F114" s="35">
        <v>0</v>
      </c>
      <c r="G114" s="35"/>
      <c r="H114" s="35" t="s">
        <v>2922</v>
      </c>
      <c r="I114" s="35" t="s">
        <v>2880</v>
      </c>
      <c r="J114" s="35" t="s">
        <v>245</v>
      </c>
      <c r="K114" s="35"/>
      <c r="L114" s="90" t="s">
        <v>2823</v>
      </c>
      <c r="M114" s="35" t="s">
        <v>2838</v>
      </c>
      <c r="N114" s="35" t="s">
        <v>448</v>
      </c>
      <c r="O114" s="35"/>
      <c r="P114" s="35"/>
    </row>
    <row r="115" spans="1:16" ht="54" customHeight="1" x14ac:dyDescent="0.2">
      <c r="A115" s="35">
        <v>114</v>
      </c>
      <c r="B115" s="35" t="s">
        <v>450</v>
      </c>
      <c r="C115" s="35" t="s">
        <v>268</v>
      </c>
      <c r="D115" s="35" t="s">
        <v>218</v>
      </c>
      <c r="E115" s="35" t="s">
        <v>450</v>
      </c>
      <c r="F115" s="35">
        <v>0</v>
      </c>
      <c r="G115" s="35"/>
      <c r="H115" s="35" t="s">
        <v>2923</v>
      </c>
      <c r="I115" s="35" t="s">
        <v>2880</v>
      </c>
      <c r="J115" s="35" t="s">
        <v>79</v>
      </c>
      <c r="K115" s="35"/>
      <c r="L115" s="88" t="s">
        <v>2827</v>
      </c>
      <c r="M115" s="35" t="s">
        <v>2839</v>
      </c>
      <c r="N115" s="35" t="s">
        <v>454</v>
      </c>
      <c r="O115" s="35"/>
      <c r="P115" s="35"/>
    </row>
    <row r="116" spans="1:16" ht="54" customHeight="1" x14ac:dyDescent="0.2">
      <c r="A116" s="35">
        <v>115</v>
      </c>
      <c r="B116" s="35" t="s">
        <v>456</v>
      </c>
      <c r="C116" s="35" t="s">
        <v>268</v>
      </c>
      <c r="D116" s="35" t="s">
        <v>218</v>
      </c>
      <c r="E116" s="35" t="s">
        <v>456</v>
      </c>
      <c r="F116" s="35">
        <v>0</v>
      </c>
      <c r="G116" s="35"/>
      <c r="H116" s="35" t="s">
        <v>356</v>
      </c>
      <c r="I116" s="35" t="s">
        <v>2880</v>
      </c>
      <c r="J116" s="35" t="s">
        <v>356</v>
      </c>
      <c r="K116" s="35"/>
      <c r="L116" s="88" t="s">
        <v>2819</v>
      </c>
      <c r="M116" s="35" t="s">
        <v>2839</v>
      </c>
      <c r="N116" s="35" t="s">
        <v>459</v>
      </c>
      <c r="O116" s="35"/>
      <c r="P116" s="35"/>
    </row>
    <row r="117" spans="1:16" ht="54" customHeight="1" x14ac:dyDescent="0.2">
      <c r="A117" s="35">
        <v>116</v>
      </c>
      <c r="B117" s="35" t="s">
        <v>460</v>
      </c>
      <c r="C117" s="35" t="s">
        <v>268</v>
      </c>
      <c r="D117" s="35" t="s">
        <v>218</v>
      </c>
      <c r="E117" s="35" t="s">
        <v>460</v>
      </c>
      <c r="F117" s="35">
        <v>0</v>
      </c>
      <c r="G117" s="35"/>
      <c r="H117" s="35" t="s">
        <v>2881</v>
      </c>
      <c r="I117" s="35" t="s">
        <v>2882</v>
      </c>
      <c r="J117" s="35" t="s">
        <v>64</v>
      </c>
      <c r="K117" s="35" t="s">
        <v>2881</v>
      </c>
      <c r="L117" s="88" t="s">
        <v>2827</v>
      </c>
      <c r="M117" s="35" t="s">
        <v>2839</v>
      </c>
      <c r="N117" s="35" t="s">
        <v>462</v>
      </c>
      <c r="O117" s="35"/>
      <c r="P117" s="35"/>
    </row>
    <row r="118" spans="1:16" ht="54" customHeight="1" x14ac:dyDescent="0.2">
      <c r="A118" s="35">
        <v>117</v>
      </c>
      <c r="B118" s="35" t="s">
        <v>463</v>
      </c>
      <c r="C118" s="35" t="s">
        <v>268</v>
      </c>
      <c r="D118" s="35" t="s">
        <v>218</v>
      </c>
      <c r="E118" s="35" t="s">
        <v>463</v>
      </c>
      <c r="F118" s="35">
        <v>0</v>
      </c>
      <c r="G118" s="35"/>
      <c r="H118" s="35" t="s">
        <v>2923</v>
      </c>
      <c r="I118" s="35" t="s">
        <v>2880</v>
      </c>
      <c r="J118" s="35" t="s">
        <v>412</v>
      </c>
      <c r="K118" s="35"/>
      <c r="L118" s="88" t="s">
        <v>2819</v>
      </c>
      <c r="M118" s="35" t="s">
        <v>2837</v>
      </c>
      <c r="N118" s="35" t="s">
        <v>465</v>
      </c>
      <c r="O118" s="35"/>
      <c r="P118" s="35"/>
    </row>
    <row r="119" spans="1:16" ht="54" customHeight="1" x14ac:dyDescent="0.2">
      <c r="A119" s="35">
        <v>118</v>
      </c>
      <c r="B119" s="35" t="s">
        <v>466</v>
      </c>
      <c r="C119" s="35" t="s">
        <v>268</v>
      </c>
      <c r="D119" s="35" t="s">
        <v>218</v>
      </c>
      <c r="E119" s="35" t="s">
        <v>466</v>
      </c>
      <c r="F119" s="35">
        <v>0</v>
      </c>
      <c r="G119" s="35"/>
      <c r="H119" s="35" t="s">
        <v>2923</v>
      </c>
      <c r="I119" s="35" t="s">
        <v>2880</v>
      </c>
      <c r="J119" s="35" t="s">
        <v>79</v>
      </c>
      <c r="K119" s="35"/>
      <c r="L119" s="88" t="s">
        <v>2827</v>
      </c>
      <c r="M119" s="35" t="s">
        <v>2839</v>
      </c>
      <c r="N119" s="35" t="s">
        <v>468</v>
      </c>
      <c r="O119" s="35"/>
      <c r="P119" s="35"/>
    </row>
    <row r="120" spans="1:16" ht="54" customHeight="1" x14ac:dyDescent="0.2">
      <c r="A120" s="35">
        <v>119</v>
      </c>
      <c r="B120" s="35" t="s">
        <v>469</v>
      </c>
      <c r="C120" s="35" t="s">
        <v>268</v>
      </c>
      <c r="D120" s="35" t="s">
        <v>218</v>
      </c>
      <c r="E120" s="35" t="s">
        <v>469</v>
      </c>
      <c r="F120" s="35">
        <v>0</v>
      </c>
      <c r="G120" s="35"/>
      <c r="H120" s="35" t="s">
        <v>2923</v>
      </c>
      <c r="I120" s="35" t="s">
        <v>2880</v>
      </c>
      <c r="J120" s="35" t="s">
        <v>412</v>
      </c>
      <c r="K120" s="35"/>
      <c r="L120" s="88" t="s">
        <v>2819</v>
      </c>
      <c r="M120" s="35" t="s">
        <v>2837</v>
      </c>
      <c r="N120" s="35" t="s">
        <v>471</v>
      </c>
      <c r="O120" s="35"/>
      <c r="P120" s="35"/>
    </row>
    <row r="121" spans="1:16" ht="54" customHeight="1" x14ac:dyDescent="0.2">
      <c r="A121" s="35">
        <v>120</v>
      </c>
      <c r="B121" s="35" t="s">
        <v>472</v>
      </c>
      <c r="C121" s="35" t="s">
        <v>268</v>
      </c>
      <c r="D121" s="35" t="s">
        <v>244</v>
      </c>
      <c r="E121" s="35" t="s">
        <v>472</v>
      </c>
      <c r="F121" s="35">
        <v>0</v>
      </c>
      <c r="G121" s="35"/>
      <c r="H121" s="35" t="s">
        <v>2922</v>
      </c>
      <c r="I121" s="35" t="s">
        <v>2880</v>
      </c>
      <c r="J121" s="35" t="s">
        <v>79</v>
      </c>
      <c r="K121" s="35"/>
      <c r="L121" s="88" t="s">
        <v>2827</v>
      </c>
      <c r="M121" s="35" t="s">
        <v>2839</v>
      </c>
      <c r="N121" s="35" t="s">
        <v>476</v>
      </c>
      <c r="O121" s="35"/>
      <c r="P121" s="35"/>
    </row>
    <row r="122" spans="1:16" ht="54" customHeight="1" x14ac:dyDescent="0.2">
      <c r="A122" s="35">
        <v>121</v>
      </c>
      <c r="B122" s="35" t="s">
        <v>478</v>
      </c>
      <c r="C122" s="35" t="s">
        <v>268</v>
      </c>
      <c r="D122" s="35" t="s">
        <v>244</v>
      </c>
      <c r="E122" s="35" t="s">
        <v>478</v>
      </c>
      <c r="F122" s="35">
        <v>0</v>
      </c>
      <c r="G122" s="35"/>
      <c r="H122" s="35" t="s">
        <v>2928</v>
      </c>
      <c r="I122" s="35" t="s">
        <v>2882</v>
      </c>
      <c r="J122" s="35" t="s">
        <v>41</v>
      </c>
      <c r="K122" s="35" t="s">
        <v>2928</v>
      </c>
      <c r="L122" s="88" t="s">
        <v>2827</v>
      </c>
      <c r="M122" s="35" t="s">
        <v>2839</v>
      </c>
      <c r="N122" s="35" t="s">
        <v>482</v>
      </c>
      <c r="O122" s="35"/>
      <c r="P122" s="35"/>
    </row>
    <row r="123" spans="1:16" ht="54" customHeight="1" x14ac:dyDescent="0.2">
      <c r="A123" s="35">
        <v>122</v>
      </c>
      <c r="B123" s="35" t="s">
        <v>484</v>
      </c>
      <c r="C123" s="35" t="s">
        <v>268</v>
      </c>
      <c r="D123" s="35" t="s">
        <v>244</v>
      </c>
      <c r="E123" s="35" t="s">
        <v>484</v>
      </c>
      <c r="F123" s="35">
        <v>0</v>
      </c>
      <c r="G123" s="35"/>
      <c r="H123" s="35" t="s">
        <v>2929</v>
      </c>
      <c r="I123" s="35" t="s">
        <v>2886</v>
      </c>
      <c r="J123" s="35" t="s">
        <v>41</v>
      </c>
      <c r="K123" s="35" t="s">
        <v>2929</v>
      </c>
      <c r="L123" s="88" t="s">
        <v>2827</v>
      </c>
      <c r="M123" s="35" t="s">
        <v>2839</v>
      </c>
      <c r="N123" s="35" t="s">
        <v>488</v>
      </c>
      <c r="O123" s="35"/>
      <c r="P123" s="35"/>
    </row>
    <row r="124" spans="1:16" ht="54" customHeight="1" x14ac:dyDescent="0.2">
      <c r="A124" s="35">
        <v>123</v>
      </c>
      <c r="B124" s="35" t="s">
        <v>490</v>
      </c>
      <c r="C124" s="35" t="s">
        <v>268</v>
      </c>
      <c r="D124" s="35" t="s">
        <v>244</v>
      </c>
      <c r="E124" s="35" t="s">
        <v>490</v>
      </c>
      <c r="F124" s="35">
        <v>0</v>
      </c>
      <c r="G124" s="35"/>
      <c r="H124" s="35" t="s">
        <v>2922</v>
      </c>
      <c r="I124" s="35" t="s">
        <v>2880</v>
      </c>
      <c r="J124" s="35" t="s">
        <v>79</v>
      </c>
      <c r="K124" s="35"/>
      <c r="L124" s="88" t="s">
        <v>2827</v>
      </c>
      <c r="M124" s="35" t="s">
        <v>2839</v>
      </c>
      <c r="N124" s="35" t="s">
        <v>493</v>
      </c>
      <c r="O124" s="35"/>
      <c r="P124" s="35"/>
    </row>
    <row r="125" spans="1:16" ht="54" customHeight="1" x14ac:dyDescent="0.2">
      <c r="A125" s="35">
        <v>124</v>
      </c>
      <c r="B125" s="35" t="s">
        <v>494</v>
      </c>
      <c r="C125" s="35" t="s">
        <v>268</v>
      </c>
      <c r="D125" s="35" t="s">
        <v>258</v>
      </c>
      <c r="E125" s="35" t="s">
        <v>494</v>
      </c>
      <c r="F125" s="35">
        <v>0</v>
      </c>
      <c r="G125" s="35"/>
      <c r="H125" s="35" t="s">
        <v>2923</v>
      </c>
      <c r="I125" s="35" t="s">
        <v>2880</v>
      </c>
      <c r="J125" s="35" t="s">
        <v>79</v>
      </c>
      <c r="K125" s="35"/>
      <c r="L125" s="88" t="s">
        <v>2827</v>
      </c>
      <c r="M125" s="35" t="s">
        <v>2839</v>
      </c>
      <c r="N125" s="35" t="s">
        <v>498</v>
      </c>
      <c r="O125" s="35"/>
      <c r="P125" s="35"/>
    </row>
    <row r="126" spans="1:16" ht="54" customHeight="1" x14ac:dyDescent="0.2">
      <c r="A126" s="35">
        <v>125</v>
      </c>
      <c r="B126" s="35" t="s">
        <v>500</v>
      </c>
      <c r="C126" s="35" t="s">
        <v>268</v>
      </c>
      <c r="D126" s="35" t="s">
        <v>258</v>
      </c>
      <c r="E126" s="35" t="s">
        <v>500</v>
      </c>
      <c r="F126" s="35">
        <v>0</v>
      </c>
      <c r="G126" s="35"/>
      <c r="H126" s="35" t="s">
        <v>2922</v>
      </c>
      <c r="I126" s="35" t="s">
        <v>2880</v>
      </c>
      <c r="J126" s="35" t="s">
        <v>79</v>
      </c>
      <c r="K126" s="35"/>
      <c r="L126" s="88" t="s">
        <v>2827</v>
      </c>
      <c r="M126" s="35" t="s">
        <v>2839</v>
      </c>
      <c r="N126" s="35" t="s">
        <v>504</v>
      </c>
      <c r="O126" s="35"/>
      <c r="P126" s="35"/>
    </row>
    <row r="127" spans="1:16" ht="54" customHeight="1" x14ac:dyDescent="0.2">
      <c r="A127" s="35">
        <v>126</v>
      </c>
      <c r="B127" s="35" t="s">
        <v>506</v>
      </c>
      <c r="C127" s="35" t="s">
        <v>507</v>
      </c>
      <c r="D127" s="35" t="s">
        <v>18</v>
      </c>
      <c r="E127" s="35" t="s">
        <v>506</v>
      </c>
      <c r="F127" s="35">
        <v>1</v>
      </c>
      <c r="G127" s="35" t="s">
        <v>1378</v>
      </c>
      <c r="H127" s="35" t="s">
        <v>2930</v>
      </c>
      <c r="I127" s="35" t="s">
        <v>2882</v>
      </c>
      <c r="J127" s="35" t="s">
        <v>19</v>
      </c>
      <c r="K127" s="35" t="s">
        <v>2930</v>
      </c>
      <c r="L127" s="88" t="s">
        <v>2827</v>
      </c>
      <c r="M127" s="35" t="s">
        <v>2821</v>
      </c>
      <c r="N127" s="35" t="s">
        <v>510</v>
      </c>
      <c r="O127" s="35"/>
      <c r="P127" s="35"/>
    </row>
    <row r="128" spans="1:16" ht="54" customHeight="1" x14ac:dyDescent="0.2">
      <c r="A128" s="35">
        <v>127</v>
      </c>
      <c r="B128" s="35" t="s">
        <v>512</v>
      </c>
      <c r="C128" s="35" t="s">
        <v>507</v>
      </c>
      <c r="D128" s="35" t="s">
        <v>18</v>
      </c>
      <c r="E128" s="35" t="s">
        <v>512</v>
      </c>
      <c r="F128" s="35">
        <v>1</v>
      </c>
      <c r="G128" s="35" t="s">
        <v>1473</v>
      </c>
      <c r="H128" s="35" t="s">
        <v>2931</v>
      </c>
      <c r="I128" s="35" t="s">
        <v>2880</v>
      </c>
      <c r="J128" s="35" t="s">
        <v>513</v>
      </c>
      <c r="K128" s="35"/>
      <c r="L128" s="88" t="s">
        <v>2835</v>
      </c>
      <c r="M128" s="35" t="s">
        <v>2932</v>
      </c>
      <c r="N128" s="35" t="s">
        <v>515</v>
      </c>
      <c r="O128" s="35"/>
      <c r="P128" s="35"/>
    </row>
    <row r="129" spans="1:16" ht="54" customHeight="1" x14ac:dyDescent="0.2">
      <c r="A129" s="35">
        <v>128</v>
      </c>
      <c r="B129" s="35" t="s">
        <v>516</v>
      </c>
      <c r="C129" s="35" t="s">
        <v>507</v>
      </c>
      <c r="D129" s="35" t="s">
        <v>18</v>
      </c>
      <c r="E129" s="35" t="s">
        <v>516</v>
      </c>
      <c r="F129" s="35">
        <v>1</v>
      </c>
      <c r="G129" s="35" t="s">
        <v>1378</v>
      </c>
      <c r="H129" s="35" t="s">
        <v>2933</v>
      </c>
      <c r="I129" s="35" t="s">
        <v>2886</v>
      </c>
      <c r="J129" s="35" t="s">
        <v>19</v>
      </c>
      <c r="K129" s="35" t="s">
        <v>2933</v>
      </c>
      <c r="L129" s="88" t="s">
        <v>2827</v>
      </c>
      <c r="M129" s="35" t="s">
        <v>2821</v>
      </c>
      <c r="N129" s="35" t="s">
        <v>519</v>
      </c>
      <c r="O129" s="35"/>
      <c r="P129" s="35"/>
    </row>
    <row r="130" spans="1:16" ht="54" customHeight="1" x14ac:dyDescent="0.2">
      <c r="A130" s="35">
        <v>129</v>
      </c>
      <c r="B130" s="35" t="s">
        <v>521</v>
      </c>
      <c r="C130" s="35" t="s">
        <v>507</v>
      </c>
      <c r="D130" s="35" t="s">
        <v>18</v>
      </c>
      <c r="E130" s="35" t="s">
        <v>521</v>
      </c>
      <c r="F130" s="35">
        <v>1</v>
      </c>
      <c r="G130" s="35" t="s">
        <v>1475</v>
      </c>
      <c r="H130" s="35" t="s">
        <v>558</v>
      </c>
      <c r="I130" s="35" t="s">
        <v>2880</v>
      </c>
      <c r="J130" s="35" t="s">
        <v>356</v>
      </c>
      <c r="K130" s="35"/>
      <c r="L130" s="88" t="s">
        <v>2819</v>
      </c>
      <c r="M130" s="35" t="s">
        <v>2840</v>
      </c>
      <c r="N130" s="35" t="s">
        <v>524</v>
      </c>
      <c r="O130" s="35"/>
      <c r="P130" s="35"/>
    </row>
    <row r="131" spans="1:16" ht="54" customHeight="1" x14ac:dyDescent="0.2">
      <c r="A131" s="35">
        <v>130</v>
      </c>
      <c r="B131" s="35" t="s">
        <v>526</v>
      </c>
      <c r="C131" s="35" t="s">
        <v>507</v>
      </c>
      <c r="D131" s="35" t="s">
        <v>18</v>
      </c>
      <c r="E131" s="35" t="s">
        <v>526</v>
      </c>
      <c r="F131" s="35">
        <v>1</v>
      </c>
      <c r="G131" s="35" t="s">
        <v>1378</v>
      </c>
      <c r="H131" s="35" t="s">
        <v>2926</v>
      </c>
      <c r="I131" s="35" t="s">
        <v>2880</v>
      </c>
      <c r="J131" s="35" t="s">
        <v>64</v>
      </c>
      <c r="K131" s="35"/>
      <c r="L131" s="88" t="s">
        <v>2819</v>
      </c>
      <c r="M131" s="35" t="s">
        <v>2821</v>
      </c>
      <c r="N131" s="35" t="s">
        <v>529</v>
      </c>
      <c r="O131" s="35"/>
      <c r="P131" s="35"/>
    </row>
    <row r="132" spans="1:16" ht="54" customHeight="1" x14ac:dyDescent="0.2">
      <c r="A132" s="35">
        <v>131</v>
      </c>
      <c r="B132" s="35" t="s">
        <v>531</v>
      </c>
      <c r="C132" s="35" t="s">
        <v>507</v>
      </c>
      <c r="D132" s="35" t="s">
        <v>18</v>
      </c>
      <c r="E132" s="35" t="s">
        <v>531</v>
      </c>
      <c r="F132" s="35">
        <v>1</v>
      </c>
      <c r="G132" s="35" t="s">
        <v>1477</v>
      </c>
      <c r="H132" s="35" t="s">
        <v>2926</v>
      </c>
      <c r="I132" s="35" t="s">
        <v>2880</v>
      </c>
      <c r="J132" s="35" t="s">
        <v>64</v>
      </c>
      <c r="K132" s="35"/>
      <c r="L132" s="88" t="s">
        <v>2819</v>
      </c>
      <c r="M132" s="35" t="s">
        <v>2841</v>
      </c>
      <c r="N132" s="35" t="s">
        <v>533</v>
      </c>
      <c r="O132" s="35"/>
      <c r="P132" s="35"/>
    </row>
    <row r="133" spans="1:16" ht="54" customHeight="1" x14ac:dyDescent="0.2">
      <c r="A133" s="35">
        <v>132</v>
      </c>
      <c r="B133" s="35" t="s">
        <v>534</v>
      </c>
      <c r="C133" s="35" t="s">
        <v>507</v>
      </c>
      <c r="D133" s="35" t="s">
        <v>18</v>
      </c>
      <c r="E133" s="35" t="s">
        <v>534</v>
      </c>
      <c r="F133" s="35">
        <v>1</v>
      </c>
      <c r="G133" s="35" t="s">
        <v>1414</v>
      </c>
      <c r="H133" s="35" t="s">
        <v>2926</v>
      </c>
      <c r="I133" s="35" t="s">
        <v>2880</v>
      </c>
      <c r="J133" s="35" t="s">
        <v>64</v>
      </c>
      <c r="K133" s="35"/>
      <c r="L133" s="88" t="s">
        <v>2819</v>
      </c>
      <c r="M133" s="35" t="s">
        <v>2825</v>
      </c>
      <c r="N133" s="35" t="s">
        <v>536</v>
      </c>
      <c r="O133" s="35"/>
      <c r="P133" s="35"/>
    </row>
    <row r="134" spans="1:16" ht="54" customHeight="1" x14ac:dyDescent="0.2">
      <c r="A134" s="35">
        <v>133</v>
      </c>
      <c r="B134" s="35" t="s">
        <v>537</v>
      </c>
      <c r="C134" s="35" t="s">
        <v>507</v>
      </c>
      <c r="D134" s="35" t="s">
        <v>18</v>
      </c>
      <c r="E134" s="35" t="s">
        <v>537</v>
      </c>
      <c r="F134" s="35">
        <v>1</v>
      </c>
      <c r="G134" s="35" t="s">
        <v>1414</v>
      </c>
      <c r="H134" s="35" t="s">
        <v>2926</v>
      </c>
      <c r="I134" s="35" t="s">
        <v>2880</v>
      </c>
      <c r="J134" s="35" t="s">
        <v>64</v>
      </c>
      <c r="K134" s="35"/>
      <c r="L134" s="88" t="s">
        <v>2819</v>
      </c>
      <c r="M134" s="35" t="s">
        <v>2825</v>
      </c>
      <c r="N134" s="35" t="s">
        <v>539</v>
      </c>
      <c r="O134" s="35"/>
      <c r="P134" s="35"/>
    </row>
    <row r="135" spans="1:16" ht="54" customHeight="1" x14ac:dyDescent="0.2">
      <c r="A135" s="35">
        <v>134</v>
      </c>
      <c r="B135" s="35" t="s">
        <v>540</v>
      </c>
      <c r="C135" s="35" t="s">
        <v>507</v>
      </c>
      <c r="D135" s="35" t="s">
        <v>18</v>
      </c>
      <c r="E135" s="35" t="s">
        <v>540</v>
      </c>
      <c r="F135" s="35">
        <v>1</v>
      </c>
      <c r="G135" s="35" t="s">
        <v>1481</v>
      </c>
      <c r="H135" s="35" t="s">
        <v>2926</v>
      </c>
      <c r="I135" s="35" t="s">
        <v>2880</v>
      </c>
      <c r="J135" s="35" t="s">
        <v>64</v>
      </c>
      <c r="K135" s="35"/>
      <c r="L135" s="88" t="s">
        <v>2819</v>
      </c>
      <c r="M135" s="35" t="s">
        <v>2842</v>
      </c>
      <c r="N135" s="35" t="s">
        <v>542</v>
      </c>
      <c r="O135" s="35"/>
      <c r="P135" s="35"/>
    </row>
    <row r="136" spans="1:16" ht="54" customHeight="1" x14ac:dyDescent="0.2">
      <c r="A136" s="35">
        <v>135</v>
      </c>
      <c r="B136" s="35" t="s">
        <v>544</v>
      </c>
      <c r="C136" s="35" t="s">
        <v>507</v>
      </c>
      <c r="D136" s="35" t="s">
        <v>18</v>
      </c>
      <c r="E136" s="35" t="s">
        <v>544</v>
      </c>
      <c r="F136" s="35">
        <v>1</v>
      </c>
      <c r="G136" s="35" t="s">
        <v>1483</v>
      </c>
      <c r="H136" s="35" t="s">
        <v>2926</v>
      </c>
      <c r="I136" s="35" t="s">
        <v>2880</v>
      </c>
      <c r="J136" s="35" t="s">
        <v>64</v>
      </c>
      <c r="K136" s="35"/>
      <c r="L136" s="88" t="s">
        <v>2819</v>
      </c>
      <c r="M136" s="35" t="s">
        <v>2843</v>
      </c>
      <c r="N136" s="35" t="s">
        <v>546</v>
      </c>
      <c r="O136" s="35"/>
      <c r="P136" s="35"/>
    </row>
    <row r="137" spans="1:16" ht="54" customHeight="1" x14ac:dyDescent="0.2">
      <c r="A137" s="35">
        <v>136</v>
      </c>
      <c r="B137" s="35" t="s">
        <v>547</v>
      </c>
      <c r="C137" s="35" t="s">
        <v>507</v>
      </c>
      <c r="D137" s="35" t="s">
        <v>18</v>
      </c>
      <c r="E137" s="35" t="s">
        <v>547</v>
      </c>
      <c r="F137" s="35">
        <v>0</v>
      </c>
      <c r="G137" s="35"/>
      <c r="H137" s="35" t="s">
        <v>2926</v>
      </c>
      <c r="I137" s="35" t="s">
        <v>2880</v>
      </c>
      <c r="J137" s="35" t="s">
        <v>64</v>
      </c>
      <c r="K137" s="35"/>
      <c r="L137" s="88" t="s">
        <v>2819</v>
      </c>
      <c r="M137" s="35" t="s">
        <v>2839</v>
      </c>
      <c r="N137" s="35" t="s">
        <v>549</v>
      </c>
      <c r="O137" s="35"/>
      <c r="P137" s="35"/>
    </row>
    <row r="138" spans="1:16" ht="54" customHeight="1" x14ac:dyDescent="0.2">
      <c r="A138" s="35">
        <v>137</v>
      </c>
      <c r="B138" s="35" t="s">
        <v>550</v>
      </c>
      <c r="C138" s="35" t="s">
        <v>507</v>
      </c>
      <c r="D138" s="35" t="s">
        <v>18</v>
      </c>
      <c r="E138" s="35" t="s">
        <v>550</v>
      </c>
      <c r="F138" s="35">
        <v>1</v>
      </c>
      <c r="G138" s="35" t="s">
        <v>1378</v>
      </c>
      <c r="H138" s="35" t="s">
        <v>2926</v>
      </c>
      <c r="I138" s="35" t="s">
        <v>2880</v>
      </c>
      <c r="J138" s="35" t="s">
        <v>64</v>
      </c>
      <c r="K138" s="35"/>
      <c r="L138" s="88" t="s">
        <v>2819</v>
      </c>
      <c r="M138" s="35" t="s">
        <v>2821</v>
      </c>
      <c r="N138" s="35" t="s">
        <v>552</v>
      </c>
      <c r="O138" s="35"/>
      <c r="P138" s="35"/>
    </row>
    <row r="139" spans="1:16" ht="54" customHeight="1" x14ac:dyDescent="0.2">
      <c r="A139" s="35">
        <v>138</v>
      </c>
      <c r="B139" s="35" t="s">
        <v>553</v>
      </c>
      <c r="C139" s="35" t="s">
        <v>507</v>
      </c>
      <c r="D139" s="35" t="s">
        <v>18</v>
      </c>
      <c r="E139" s="35" t="s">
        <v>553</v>
      </c>
      <c r="F139" s="35">
        <v>1</v>
      </c>
      <c r="G139" s="35" t="s">
        <v>1483</v>
      </c>
      <c r="H139" s="35" t="s">
        <v>558</v>
      </c>
      <c r="I139" s="35" t="s">
        <v>2880</v>
      </c>
      <c r="J139" s="35" t="s">
        <v>554</v>
      </c>
      <c r="K139" s="35"/>
      <c r="L139" s="88" t="s">
        <v>2819</v>
      </c>
      <c r="M139" s="35" t="s">
        <v>2844</v>
      </c>
      <c r="N139" s="35" t="s">
        <v>556</v>
      </c>
      <c r="O139" s="35"/>
      <c r="P139" s="35"/>
    </row>
    <row r="140" spans="1:16" ht="54" customHeight="1" x14ac:dyDescent="0.2">
      <c r="A140" s="35">
        <v>139</v>
      </c>
      <c r="B140" s="35" t="s">
        <v>557</v>
      </c>
      <c r="C140" s="35" t="s">
        <v>507</v>
      </c>
      <c r="D140" s="35" t="s">
        <v>18</v>
      </c>
      <c r="E140" s="35" t="s">
        <v>557</v>
      </c>
      <c r="F140" s="35">
        <v>1</v>
      </c>
      <c r="G140" s="35" t="s">
        <v>1483</v>
      </c>
      <c r="H140" s="35" t="s">
        <v>558</v>
      </c>
      <c r="I140" s="35" t="s">
        <v>2880</v>
      </c>
      <c r="J140" s="35" t="s">
        <v>558</v>
      </c>
      <c r="K140" s="35"/>
      <c r="L140" s="88" t="s">
        <v>2835</v>
      </c>
      <c r="M140" s="35" t="s">
        <v>2843</v>
      </c>
      <c r="N140" s="35" t="s">
        <v>560</v>
      </c>
      <c r="O140" s="35"/>
      <c r="P140" s="35"/>
    </row>
    <row r="141" spans="1:16" ht="54" customHeight="1" x14ac:dyDescent="0.2">
      <c r="A141" s="35">
        <v>140</v>
      </c>
      <c r="B141" s="35" t="s">
        <v>561</v>
      </c>
      <c r="C141" s="35" t="s">
        <v>507</v>
      </c>
      <c r="D141" s="35" t="s">
        <v>18</v>
      </c>
      <c r="E141" s="35" t="s">
        <v>561</v>
      </c>
      <c r="F141" s="35">
        <v>1</v>
      </c>
      <c r="G141" s="35" t="s">
        <v>1483</v>
      </c>
      <c r="H141" s="35" t="s">
        <v>558</v>
      </c>
      <c r="I141" s="35" t="s">
        <v>2880</v>
      </c>
      <c r="J141" s="35" t="s">
        <v>558</v>
      </c>
      <c r="K141" s="35"/>
      <c r="L141" s="88" t="s">
        <v>2835</v>
      </c>
      <c r="M141" s="35" t="s">
        <v>2843</v>
      </c>
      <c r="N141" s="35" t="s">
        <v>563</v>
      </c>
      <c r="O141" s="35"/>
      <c r="P141" s="35"/>
    </row>
    <row r="142" spans="1:16" ht="54" customHeight="1" x14ac:dyDescent="0.2">
      <c r="A142" s="35">
        <v>141</v>
      </c>
      <c r="B142" s="35" t="s">
        <v>564</v>
      </c>
      <c r="C142" s="35" t="s">
        <v>507</v>
      </c>
      <c r="D142" s="35" t="s">
        <v>18</v>
      </c>
      <c r="E142" s="35" t="s">
        <v>564</v>
      </c>
      <c r="F142" s="35">
        <v>1</v>
      </c>
      <c r="G142" s="35" t="s">
        <v>1483</v>
      </c>
      <c r="H142" s="35" t="s">
        <v>558</v>
      </c>
      <c r="I142" s="35" t="s">
        <v>2880</v>
      </c>
      <c r="J142" s="35" t="s">
        <v>558</v>
      </c>
      <c r="K142" s="35"/>
      <c r="L142" s="88" t="s">
        <v>2835</v>
      </c>
      <c r="M142" s="35" t="s">
        <v>2843</v>
      </c>
      <c r="N142" s="35" t="s">
        <v>566</v>
      </c>
      <c r="O142" s="35"/>
      <c r="P142" s="35"/>
    </row>
    <row r="143" spans="1:16" ht="54" customHeight="1" x14ac:dyDescent="0.2">
      <c r="A143" s="35">
        <v>142</v>
      </c>
      <c r="B143" s="35" t="s">
        <v>567</v>
      </c>
      <c r="C143" s="35" t="s">
        <v>507</v>
      </c>
      <c r="D143" s="35" t="s">
        <v>18</v>
      </c>
      <c r="E143" s="35" t="s">
        <v>567</v>
      </c>
      <c r="F143" s="35">
        <v>1</v>
      </c>
      <c r="G143" s="35" t="s">
        <v>1483</v>
      </c>
      <c r="H143" s="35" t="s">
        <v>558</v>
      </c>
      <c r="I143" s="35" t="s">
        <v>2880</v>
      </c>
      <c r="J143" s="35" t="s">
        <v>558</v>
      </c>
      <c r="K143" s="35"/>
      <c r="L143" s="88" t="s">
        <v>2835</v>
      </c>
      <c r="M143" s="35" t="s">
        <v>2843</v>
      </c>
      <c r="N143" s="35" t="s">
        <v>570</v>
      </c>
      <c r="O143" s="35"/>
      <c r="P143" s="35"/>
    </row>
    <row r="144" spans="1:16" ht="54" customHeight="1" x14ac:dyDescent="0.2">
      <c r="A144" s="35">
        <v>143</v>
      </c>
      <c r="B144" s="35" t="s">
        <v>572</v>
      </c>
      <c r="C144" s="35" t="s">
        <v>507</v>
      </c>
      <c r="D144" s="35" t="s">
        <v>18</v>
      </c>
      <c r="E144" s="35" t="s">
        <v>572</v>
      </c>
      <c r="F144" s="35">
        <v>1</v>
      </c>
      <c r="G144" s="35" t="s">
        <v>1378</v>
      </c>
      <c r="H144" s="35" t="s">
        <v>2930</v>
      </c>
      <c r="I144" s="35" t="s">
        <v>2882</v>
      </c>
      <c r="J144" s="35" t="s">
        <v>19</v>
      </c>
      <c r="K144" s="35" t="s">
        <v>2930</v>
      </c>
      <c r="L144" s="88" t="s">
        <v>2827</v>
      </c>
      <c r="M144" s="35" t="s">
        <v>2821</v>
      </c>
      <c r="N144" s="35" t="s">
        <v>574</v>
      </c>
      <c r="O144" s="35"/>
      <c r="P144" s="35"/>
    </row>
    <row r="145" spans="1:16" ht="54" customHeight="1" x14ac:dyDescent="0.2">
      <c r="A145" s="35">
        <v>144</v>
      </c>
      <c r="B145" s="35" t="s">
        <v>575</v>
      </c>
      <c r="C145" s="35" t="s">
        <v>507</v>
      </c>
      <c r="D145" s="35" t="s">
        <v>18</v>
      </c>
      <c r="E145" s="35" t="s">
        <v>575</v>
      </c>
      <c r="F145" s="35">
        <v>1</v>
      </c>
      <c r="G145" s="35" t="s">
        <v>1442</v>
      </c>
      <c r="H145" s="35" t="s">
        <v>299</v>
      </c>
      <c r="I145" s="35" t="s">
        <v>2880</v>
      </c>
      <c r="J145" s="35" t="s">
        <v>299</v>
      </c>
      <c r="K145" s="35"/>
      <c r="L145" s="88" t="s">
        <v>2835</v>
      </c>
      <c r="M145" s="35" t="s">
        <v>2924</v>
      </c>
      <c r="N145" s="35" t="s">
        <v>577</v>
      </c>
      <c r="O145" s="35"/>
      <c r="P145" s="35"/>
    </row>
    <row r="146" spans="1:16" ht="54" customHeight="1" x14ac:dyDescent="0.2">
      <c r="A146" s="35">
        <v>145</v>
      </c>
      <c r="B146" s="35" t="s">
        <v>578</v>
      </c>
      <c r="C146" s="35" t="s">
        <v>507</v>
      </c>
      <c r="D146" s="35" t="s">
        <v>18</v>
      </c>
      <c r="E146" s="35" t="s">
        <v>578</v>
      </c>
      <c r="F146" s="35">
        <v>1</v>
      </c>
      <c r="G146" s="35" t="s">
        <v>1442</v>
      </c>
      <c r="H146" s="35" t="s">
        <v>2883</v>
      </c>
      <c r="I146" s="35" t="s">
        <v>2882</v>
      </c>
      <c r="J146" s="35" t="s">
        <v>299</v>
      </c>
      <c r="K146" s="35" t="s">
        <v>2883</v>
      </c>
      <c r="L146" s="88" t="s">
        <v>2835</v>
      </c>
      <c r="M146" s="35" t="s">
        <v>2924</v>
      </c>
      <c r="N146" s="35" t="s">
        <v>581</v>
      </c>
      <c r="O146" s="35"/>
      <c r="P146" s="35"/>
    </row>
    <row r="147" spans="1:16" ht="54" customHeight="1" x14ac:dyDescent="0.2">
      <c r="A147" s="35">
        <v>146</v>
      </c>
      <c r="B147" s="35" t="s">
        <v>583</v>
      </c>
      <c r="C147" s="35" t="s">
        <v>507</v>
      </c>
      <c r="D147" s="35" t="s">
        <v>18</v>
      </c>
      <c r="E147" s="35" t="s">
        <v>583</v>
      </c>
      <c r="F147" s="35">
        <v>1</v>
      </c>
      <c r="G147" s="35" t="s">
        <v>1442</v>
      </c>
      <c r="H147" s="35" t="s">
        <v>299</v>
      </c>
      <c r="I147" s="35" t="s">
        <v>2880</v>
      </c>
      <c r="J147" s="35" t="s">
        <v>299</v>
      </c>
      <c r="K147" s="35"/>
      <c r="L147" s="88" t="s">
        <v>2835</v>
      </c>
      <c r="M147" s="35" t="s">
        <v>2924</v>
      </c>
      <c r="N147" s="35" t="s">
        <v>585</v>
      </c>
      <c r="O147" s="35"/>
      <c r="P147" s="35"/>
    </row>
    <row r="148" spans="1:16" ht="54" customHeight="1" x14ac:dyDescent="0.2">
      <c r="A148" s="35">
        <v>147</v>
      </c>
      <c r="B148" s="35" t="s">
        <v>586</v>
      </c>
      <c r="C148" s="35" t="s">
        <v>507</v>
      </c>
      <c r="D148" s="35" t="s">
        <v>18</v>
      </c>
      <c r="E148" s="35" t="s">
        <v>586</v>
      </c>
      <c r="F148" s="35">
        <v>1</v>
      </c>
      <c r="G148" s="35" t="s">
        <v>1442</v>
      </c>
      <c r="H148" s="35" t="s">
        <v>299</v>
      </c>
      <c r="I148" s="35" t="s">
        <v>2880</v>
      </c>
      <c r="J148" s="35" t="s">
        <v>299</v>
      </c>
      <c r="K148" s="35"/>
      <c r="L148" s="88" t="s">
        <v>2835</v>
      </c>
      <c r="M148" s="35" t="s">
        <v>2924</v>
      </c>
      <c r="N148" s="35" t="s">
        <v>588</v>
      </c>
      <c r="O148" s="35"/>
      <c r="P148" s="35"/>
    </row>
    <row r="149" spans="1:16" ht="54" customHeight="1" x14ac:dyDescent="0.2">
      <c r="A149" s="35">
        <v>148</v>
      </c>
      <c r="B149" s="35" t="s">
        <v>589</v>
      </c>
      <c r="C149" s="35" t="s">
        <v>507</v>
      </c>
      <c r="D149" s="35" t="s">
        <v>18</v>
      </c>
      <c r="E149" s="35" t="s">
        <v>589</v>
      </c>
      <c r="F149" s="35">
        <v>1</v>
      </c>
      <c r="G149" s="35" t="s">
        <v>1442</v>
      </c>
      <c r="H149" s="35" t="s">
        <v>299</v>
      </c>
      <c r="I149" s="35" t="s">
        <v>2880</v>
      </c>
      <c r="J149" s="35" t="s">
        <v>299</v>
      </c>
      <c r="K149" s="35"/>
      <c r="L149" s="88" t="s">
        <v>2835</v>
      </c>
      <c r="M149" s="35" t="s">
        <v>2924</v>
      </c>
      <c r="N149" s="35" t="s">
        <v>591</v>
      </c>
      <c r="O149" s="35"/>
      <c r="P149" s="35"/>
    </row>
    <row r="150" spans="1:16" ht="54" customHeight="1" x14ac:dyDescent="0.2">
      <c r="A150" s="35">
        <v>149</v>
      </c>
      <c r="B150" s="35" t="s">
        <v>592</v>
      </c>
      <c r="C150" s="35" t="s">
        <v>507</v>
      </c>
      <c r="D150" s="35" t="s">
        <v>18</v>
      </c>
      <c r="E150" s="35" t="s">
        <v>592</v>
      </c>
      <c r="F150" s="35">
        <v>1</v>
      </c>
      <c r="G150" s="35" t="s">
        <v>1414</v>
      </c>
      <c r="H150" s="35" t="s">
        <v>2926</v>
      </c>
      <c r="I150" s="35" t="s">
        <v>2880</v>
      </c>
      <c r="J150" s="35" t="s">
        <v>64</v>
      </c>
      <c r="K150" s="35"/>
      <c r="L150" s="88" t="s">
        <v>2819</v>
      </c>
      <c r="M150" s="35" t="s">
        <v>2825</v>
      </c>
      <c r="N150" s="35" t="s">
        <v>594</v>
      </c>
      <c r="O150" s="35"/>
      <c r="P150" s="35"/>
    </row>
    <row r="151" spans="1:16" ht="54" customHeight="1" x14ac:dyDescent="0.2">
      <c r="A151" s="35">
        <v>150</v>
      </c>
      <c r="B151" s="35" t="s">
        <v>595</v>
      </c>
      <c r="C151" s="35" t="s">
        <v>507</v>
      </c>
      <c r="D151" s="35" t="s">
        <v>18</v>
      </c>
      <c r="E151" s="35" t="s">
        <v>595</v>
      </c>
      <c r="F151" s="35">
        <v>1</v>
      </c>
      <c r="G151" s="35" t="s">
        <v>1442</v>
      </c>
      <c r="H151" s="35" t="s">
        <v>299</v>
      </c>
      <c r="I151" s="35" t="s">
        <v>2880</v>
      </c>
      <c r="J151" s="35" t="s">
        <v>299</v>
      </c>
      <c r="K151" s="35"/>
      <c r="L151" s="88" t="s">
        <v>2835</v>
      </c>
      <c r="M151" s="35" t="s">
        <v>2924</v>
      </c>
      <c r="N151" s="35" t="s">
        <v>597</v>
      </c>
      <c r="O151" s="35"/>
      <c r="P151" s="35"/>
    </row>
    <row r="152" spans="1:16" ht="54" customHeight="1" x14ac:dyDescent="0.2">
      <c r="A152" s="35">
        <v>151</v>
      </c>
      <c r="B152" s="35" t="s">
        <v>599</v>
      </c>
      <c r="C152" s="35" t="s">
        <v>507</v>
      </c>
      <c r="D152" s="35" t="s">
        <v>18</v>
      </c>
      <c r="E152" s="35" t="s">
        <v>599</v>
      </c>
      <c r="F152" s="35">
        <v>1</v>
      </c>
      <c r="G152" s="35" t="s">
        <v>1442</v>
      </c>
      <c r="H152" s="35" t="s">
        <v>299</v>
      </c>
      <c r="I152" s="35" t="s">
        <v>2880</v>
      </c>
      <c r="J152" s="35" t="s">
        <v>299</v>
      </c>
      <c r="K152" s="35"/>
      <c r="L152" s="88" t="s">
        <v>2835</v>
      </c>
      <c r="M152" s="35" t="s">
        <v>2924</v>
      </c>
      <c r="N152" s="35" t="s">
        <v>601</v>
      </c>
      <c r="O152" s="35"/>
      <c r="P152" s="35"/>
    </row>
    <row r="153" spans="1:16" ht="54" customHeight="1" x14ac:dyDescent="0.2">
      <c r="A153" s="35">
        <v>152</v>
      </c>
      <c r="B153" s="35" t="s">
        <v>602</v>
      </c>
      <c r="C153" s="35" t="s">
        <v>507</v>
      </c>
      <c r="D153" s="35" t="s">
        <v>18</v>
      </c>
      <c r="E153" s="35" t="s">
        <v>602</v>
      </c>
      <c r="F153" s="35">
        <v>1</v>
      </c>
      <c r="G153" s="35" t="s">
        <v>1442</v>
      </c>
      <c r="H153" s="35" t="s">
        <v>299</v>
      </c>
      <c r="I153" s="35" t="s">
        <v>2880</v>
      </c>
      <c r="J153" s="35" t="s">
        <v>299</v>
      </c>
      <c r="K153" s="35"/>
      <c r="L153" s="88" t="s">
        <v>2835</v>
      </c>
      <c r="M153" s="35" t="s">
        <v>2924</v>
      </c>
      <c r="N153" s="35" t="s">
        <v>604</v>
      </c>
      <c r="O153" s="35"/>
      <c r="P153" s="35"/>
    </row>
    <row r="154" spans="1:16" ht="54" customHeight="1" x14ac:dyDescent="0.2">
      <c r="A154" s="35">
        <v>153</v>
      </c>
      <c r="B154" s="35" t="s">
        <v>605</v>
      </c>
      <c r="C154" s="35" t="s">
        <v>507</v>
      </c>
      <c r="D154" s="35" t="s">
        <v>18</v>
      </c>
      <c r="E154" s="35" t="s">
        <v>605</v>
      </c>
      <c r="F154" s="35">
        <v>1</v>
      </c>
      <c r="G154" s="35" t="s">
        <v>1378</v>
      </c>
      <c r="H154" s="35" t="s">
        <v>2930</v>
      </c>
      <c r="I154" s="35" t="s">
        <v>2882</v>
      </c>
      <c r="J154" s="35" t="s">
        <v>41</v>
      </c>
      <c r="K154" s="35" t="s">
        <v>2930</v>
      </c>
      <c r="L154" s="90" t="s">
        <v>2823</v>
      </c>
      <c r="M154" s="35" t="s">
        <v>2824</v>
      </c>
      <c r="N154" s="35" t="s">
        <v>607</v>
      </c>
      <c r="O154" s="35"/>
      <c r="P154" s="35"/>
    </row>
    <row r="155" spans="1:16" ht="54" customHeight="1" x14ac:dyDescent="0.2">
      <c r="A155" s="35">
        <v>154</v>
      </c>
      <c r="B155" s="35" t="s">
        <v>608</v>
      </c>
      <c r="C155" s="35" t="s">
        <v>507</v>
      </c>
      <c r="D155" s="35" t="s">
        <v>18</v>
      </c>
      <c r="E155" s="35" t="s">
        <v>608</v>
      </c>
      <c r="F155" s="35">
        <v>1</v>
      </c>
      <c r="G155" s="35" t="s">
        <v>1483</v>
      </c>
      <c r="H155" s="35" t="s">
        <v>558</v>
      </c>
      <c r="I155" s="35" t="s">
        <v>2880</v>
      </c>
      <c r="J155" s="35" t="s">
        <v>558</v>
      </c>
      <c r="K155" s="35"/>
      <c r="L155" s="88" t="s">
        <v>2835</v>
      </c>
      <c r="M155" s="35" t="s">
        <v>2843</v>
      </c>
      <c r="N155" s="35" t="s">
        <v>610</v>
      </c>
      <c r="O155" s="35"/>
      <c r="P155" s="35"/>
    </row>
    <row r="156" spans="1:16" ht="54" customHeight="1" x14ac:dyDescent="0.2">
      <c r="A156" s="35">
        <v>155</v>
      </c>
      <c r="B156" s="35" t="s">
        <v>611</v>
      </c>
      <c r="C156" s="35" t="s">
        <v>507</v>
      </c>
      <c r="D156" s="35" t="s">
        <v>18</v>
      </c>
      <c r="E156" s="35" t="s">
        <v>611</v>
      </c>
      <c r="F156" s="35">
        <v>2</v>
      </c>
      <c r="G156" s="35" t="s">
        <v>1378</v>
      </c>
      <c r="H156" s="35" t="s">
        <v>2930</v>
      </c>
      <c r="I156" s="35" t="s">
        <v>2882</v>
      </c>
      <c r="J156" s="35" t="s">
        <v>19</v>
      </c>
      <c r="K156" s="35" t="s">
        <v>2930</v>
      </c>
      <c r="L156" s="88" t="s">
        <v>2827</v>
      </c>
      <c r="M156" s="35" t="s">
        <v>2821</v>
      </c>
      <c r="N156" s="35" t="s">
        <v>613</v>
      </c>
      <c r="O156" s="35"/>
      <c r="P156" s="35"/>
    </row>
    <row r="157" spans="1:16" ht="54" customHeight="1" x14ac:dyDescent="0.2">
      <c r="A157" s="35">
        <v>156</v>
      </c>
      <c r="B157" s="35" t="s">
        <v>614</v>
      </c>
      <c r="C157" s="35" t="s">
        <v>507</v>
      </c>
      <c r="D157" s="35" t="s">
        <v>18</v>
      </c>
      <c r="E157" s="35" t="s">
        <v>614</v>
      </c>
      <c r="F157" s="35">
        <v>0</v>
      </c>
      <c r="G157" s="35"/>
      <c r="H157" s="35" t="s">
        <v>2933</v>
      </c>
      <c r="I157" s="35" t="s">
        <v>2886</v>
      </c>
      <c r="J157" s="35" t="s">
        <v>299</v>
      </c>
      <c r="K157" s="35" t="s">
        <v>2933</v>
      </c>
      <c r="L157" s="90" t="s">
        <v>2823</v>
      </c>
      <c r="M157" s="35" t="s">
        <v>2845</v>
      </c>
      <c r="N157" s="35" t="s">
        <v>616</v>
      </c>
      <c r="O157" s="35"/>
      <c r="P157" s="35"/>
    </row>
    <row r="158" spans="1:16" ht="54" customHeight="1" x14ac:dyDescent="0.2">
      <c r="A158" s="35">
        <v>157</v>
      </c>
      <c r="B158" s="35" t="s">
        <v>617</v>
      </c>
      <c r="C158" s="35" t="s">
        <v>507</v>
      </c>
      <c r="D158" s="35" t="s">
        <v>18</v>
      </c>
      <c r="E158" s="35" t="s">
        <v>617</v>
      </c>
      <c r="F158" s="35">
        <v>1</v>
      </c>
      <c r="G158" s="35" t="s">
        <v>1378</v>
      </c>
      <c r="H158" s="35" t="s">
        <v>2926</v>
      </c>
      <c r="I158" s="35" t="s">
        <v>2880</v>
      </c>
      <c r="J158" s="35" t="s">
        <v>64</v>
      </c>
      <c r="K158" s="35"/>
      <c r="L158" s="88" t="s">
        <v>2819</v>
      </c>
      <c r="M158" s="35" t="s">
        <v>2821</v>
      </c>
      <c r="N158" s="35" t="s">
        <v>619</v>
      </c>
      <c r="O158" s="35"/>
      <c r="P158" s="35"/>
    </row>
    <row r="159" spans="1:16" ht="54" customHeight="1" x14ac:dyDescent="0.2">
      <c r="A159" s="35">
        <v>158</v>
      </c>
      <c r="B159" s="35" t="s">
        <v>620</v>
      </c>
      <c r="C159" s="35" t="s">
        <v>507</v>
      </c>
      <c r="D159" s="35" t="s">
        <v>163</v>
      </c>
      <c r="E159" s="35" t="s">
        <v>620</v>
      </c>
      <c r="F159" s="35">
        <v>1</v>
      </c>
      <c r="G159" s="35" t="s">
        <v>1378</v>
      </c>
      <c r="H159" s="35" t="s">
        <v>2934</v>
      </c>
      <c r="I159" s="35" t="s">
        <v>2880</v>
      </c>
      <c r="J159" s="35" t="s">
        <v>40</v>
      </c>
      <c r="K159" s="35"/>
      <c r="L159" s="89" t="s">
        <v>2817</v>
      </c>
      <c r="M159" s="35" t="s">
        <v>2846</v>
      </c>
      <c r="N159" s="35" t="s">
        <v>623</v>
      </c>
      <c r="O159" s="35"/>
      <c r="P159" s="35"/>
    </row>
    <row r="160" spans="1:16" ht="54" customHeight="1" x14ac:dyDescent="0.2">
      <c r="A160" s="35">
        <v>159</v>
      </c>
      <c r="B160" s="35" t="s">
        <v>625</v>
      </c>
      <c r="C160" s="35" t="s">
        <v>507</v>
      </c>
      <c r="D160" s="35" t="s">
        <v>163</v>
      </c>
      <c r="E160" s="35" t="s">
        <v>625</v>
      </c>
      <c r="F160" s="35">
        <v>2</v>
      </c>
      <c r="G160" s="35" t="s">
        <v>1507</v>
      </c>
      <c r="H160" s="35" t="s">
        <v>2935</v>
      </c>
      <c r="I160" s="35" t="s">
        <v>2880</v>
      </c>
      <c r="J160" s="35" t="s">
        <v>412</v>
      </c>
      <c r="K160" s="35"/>
      <c r="L160" s="88" t="s">
        <v>2819</v>
      </c>
      <c r="M160" s="35" t="s">
        <v>2847</v>
      </c>
      <c r="N160" s="35" t="s">
        <v>627</v>
      </c>
      <c r="O160" s="35"/>
      <c r="P160" s="35"/>
    </row>
    <row r="161" spans="1:16" ht="54" customHeight="1" x14ac:dyDescent="0.2">
      <c r="A161" s="35">
        <v>160</v>
      </c>
      <c r="B161" s="35" t="s">
        <v>628</v>
      </c>
      <c r="C161" s="35" t="s">
        <v>507</v>
      </c>
      <c r="D161" s="35" t="s">
        <v>163</v>
      </c>
      <c r="E161" s="35" t="s">
        <v>628</v>
      </c>
      <c r="F161" s="35">
        <v>1</v>
      </c>
      <c r="G161" s="35" t="s">
        <v>1509</v>
      </c>
      <c r="H161" s="35" t="s">
        <v>2930</v>
      </c>
      <c r="I161" s="35" t="s">
        <v>2882</v>
      </c>
      <c r="J161" s="35" t="s">
        <v>41</v>
      </c>
      <c r="K161" s="35" t="s">
        <v>2930</v>
      </c>
      <c r="L161" s="88" t="s">
        <v>2827</v>
      </c>
      <c r="M161" s="35" t="s">
        <v>2936</v>
      </c>
      <c r="N161" s="35" t="s">
        <v>630</v>
      </c>
      <c r="O161" s="35"/>
      <c r="P161" s="35"/>
    </row>
    <row r="162" spans="1:16" ht="54" customHeight="1" x14ac:dyDescent="0.2">
      <c r="A162" s="35">
        <v>161</v>
      </c>
      <c r="B162" s="35" t="s">
        <v>631</v>
      </c>
      <c r="C162" s="35" t="s">
        <v>507</v>
      </c>
      <c r="D162" s="35" t="s">
        <v>163</v>
      </c>
      <c r="E162" s="35" t="s">
        <v>631</v>
      </c>
      <c r="F162" s="35">
        <v>1</v>
      </c>
      <c r="G162" s="35" t="s">
        <v>1477</v>
      </c>
      <c r="H162" s="35" t="s">
        <v>2930</v>
      </c>
      <c r="I162" s="35" t="s">
        <v>2882</v>
      </c>
      <c r="J162" s="35" t="s">
        <v>554</v>
      </c>
      <c r="K162" s="35" t="s">
        <v>2930</v>
      </c>
      <c r="L162" s="88" t="s">
        <v>2819</v>
      </c>
      <c r="M162" s="35" t="s">
        <v>2848</v>
      </c>
      <c r="N162" s="35" t="s">
        <v>633</v>
      </c>
      <c r="O162" s="35"/>
      <c r="P162" s="35"/>
    </row>
    <row r="163" spans="1:16" ht="54" customHeight="1" x14ac:dyDescent="0.2">
      <c r="A163" s="35">
        <v>162</v>
      </c>
      <c r="B163" s="35" t="s">
        <v>634</v>
      </c>
      <c r="C163" s="35" t="s">
        <v>507</v>
      </c>
      <c r="D163" s="35" t="s">
        <v>163</v>
      </c>
      <c r="E163" s="35" t="s">
        <v>634</v>
      </c>
      <c r="F163" s="35">
        <v>1</v>
      </c>
      <c r="G163" s="35" t="s">
        <v>1475</v>
      </c>
      <c r="H163" s="35" t="s">
        <v>558</v>
      </c>
      <c r="I163" s="35" t="s">
        <v>2880</v>
      </c>
      <c r="J163" s="35" t="s">
        <v>558</v>
      </c>
      <c r="K163" s="35"/>
      <c r="L163" s="88" t="s">
        <v>2835</v>
      </c>
      <c r="M163" s="35" t="s">
        <v>2937</v>
      </c>
      <c r="N163" s="35" t="s">
        <v>637</v>
      </c>
      <c r="O163" s="35"/>
      <c r="P163" s="35"/>
    </row>
    <row r="164" spans="1:16" ht="54" customHeight="1" x14ac:dyDescent="0.2">
      <c r="A164" s="35">
        <v>163</v>
      </c>
      <c r="B164" s="35" t="s">
        <v>639</v>
      </c>
      <c r="C164" s="35" t="s">
        <v>507</v>
      </c>
      <c r="D164" s="35" t="s">
        <v>163</v>
      </c>
      <c r="E164" s="35" t="s">
        <v>639</v>
      </c>
      <c r="F164" s="35">
        <v>1</v>
      </c>
      <c r="G164" s="35" t="s">
        <v>1378</v>
      </c>
      <c r="H164" s="35" t="s">
        <v>2930</v>
      </c>
      <c r="I164" s="35" t="s">
        <v>2882</v>
      </c>
      <c r="J164" s="35" t="s">
        <v>19</v>
      </c>
      <c r="K164" s="35" t="s">
        <v>2930</v>
      </c>
      <c r="L164" s="88" t="s">
        <v>2827</v>
      </c>
      <c r="M164" s="35" t="s">
        <v>2821</v>
      </c>
      <c r="N164" s="35" t="s">
        <v>641</v>
      </c>
      <c r="O164" s="35"/>
      <c r="P164" s="35"/>
    </row>
    <row r="165" spans="1:16" ht="54" customHeight="1" x14ac:dyDescent="0.2">
      <c r="A165" s="35">
        <v>164</v>
      </c>
      <c r="B165" s="35" t="s">
        <v>643</v>
      </c>
      <c r="C165" s="35" t="s">
        <v>507</v>
      </c>
      <c r="D165" s="35" t="s">
        <v>163</v>
      </c>
      <c r="E165" s="35" t="s">
        <v>643</v>
      </c>
      <c r="F165" s="35">
        <v>1</v>
      </c>
      <c r="G165" s="35" t="s">
        <v>1378</v>
      </c>
      <c r="H165" s="35" t="s">
        <v>2933</v>
      </c>
      <c r="I165" s="35" t="s">
        <v>2886</v>
      </c>
      <c r="J165" s="35" t="s">
        <v>19</v>
      </c>
      <c r="K165" s="35" t="s">
        <v>2933</v>
      </c>
      <c r="L165" s="88" t="s">
        <v>2827</v>
      </c>
      <c r="M165" s="35" t="s">
        <v>2821</v>
      </c>
      <c r="N165" s="35" t="s">
        <v>645</v>
      </c>
      <c r="O165" s="35"/>
      <c r="P165" s="35"/>
    </row>
    <row r="166" spans="1:16" ht="54" customHeight="1" x14ac:dyDescent="0.2">
      <c r="A166" s="35">
        <v>165</v>
      </c>
      <c r="B166" s="35" t="s">
        <v>646</v>
      </c>
      <c r="C166" s="35" t="s">
        <v>507</v>
      </c>
      <c r="D166" s="35" t="s">
        <v>163</v>
      </c>
      <c r="E166" s="35" t="s">
        <v>646</v>
      </c>
      <c r="F166" s="35">
        <v>1</v>
      </c>
      <c r="G166" s="35" t="s">
        <v>1378</v>
      </c>
      <c r="H166" s="35" t="s">
        <v>2930</v>
      </c>
      <c r="I166" s="35" t="s">
        <v>2882</v>
      </c>
      <c r="J166" s="35" t="s">
        <v>19</v>
      </c>
      <c r="K166" s="35" t="s">
        <v>2930</v>
      </c>
      <c r="L166" s="88" t="s">
        <v>2827</v>
      </c>
      <c r="M166" s="35" t="s">
        <v>2821</v>
      </c>
      <c r="N166" s="35" t="s">
        <v>648</v>
      </c>
      <c r="O166" s="35"/>
      <c r="P166" s="35"/>
    </row>
    <row r="167" spans="1:16" ht="54" customHeight="1" x14ac:dyDescent="0.2">
      <c r="A167" s="35">
        <v>166</v>
      </c>
      <c r="B167" s="35" t="s">
        <v>649</v>
      </c>
      <c r="C167" s="35" t="s">
        <v>507</v>
      </c>
      <c r="D167" s="35" t="s">
        <v>163</v>
      </c>
      <c r="E167" s="35" t="s">
        <v>649</v>
      </c>
      <c r="F167" s="35">
        <v>1</v>
      </c>
      <c r="G167" s="35" t="s">
        <v>1378</v>
      </c>
      <c r="H167" s="35" t="s">
        <v>2938</v>
      </c>
      <c r="I167" s="35" t="s">
        <v>2882</v>
      </c>
      <c r="J167" s="35" t="s">
        <v>19</v>
      </c>
      <c r="K167" s="35" t="s">
        <v>2938</v>
      </c>
      <c r="L167" s="88" t="s">
        <v>2827</v>
      </c>
      <c r="M167" s="35" t="s">
        <v>2821</v>
      </c>
      <c r="N167" s="35" t="s">
        <v>652</v>
      </c>
      <c r="O167" s="35"/>
      <c r="P167" s="35"/>
    </row>
    <row r="168" spans="1:16" ht="54" customHeight="1" x14ac:dyDescent="0.2">
      <c r="A168" s="35">
        <v>167</v>
      </c>
      <c r="B168" s="35" t="s">
        <v>654</v>
      </c>
      <c r="C168" s="35" t="s">
        <v>507</v>
      </c>
      <c r="D168" s="35" t="s">
        <v>163</v>
      </c>
      <c r="E168" s="35" t="s">
        <v>654</v>
      </c>
      <c r="F168" s="35">
        <v>1</v>
      </c>
      <c r="G168" s="35" t="s">
        <v>1483</v>
      </c>
      <c r="H168" s="35" t="s">
        <v>558</v>
      </c>
      <c r="I168" s="35" t="s">
        <v>2880</v>
      </c>
      <c r="J168" s="35" t="s">
        <v>558</v>
      </c>
      <c r="K168" s="35"/>
      <c r="L168" s="88" t="s">
        <v>2835</v>
      </c>
      <c r="M168" s="35" t="s">
        <v>2843</v>
      </c>
      <c r="N168" s="35" t="s">
        <v>656</v>
      </c>
      <c r="O168" s="35"/>
      <c r="P168" s="35"/>
    </row>
    <row r="169" spans="1:16" ht="54" customHeight="1" x14ac:dyDescent="0.2">
      <c r="A169" s="35">
        <v>168</v>
      </c>
      <c r="B169" s="35" t="s">
        <v>658</v>
      </c>
      <c r="C169" s="35" t="s">
        <v>507</v>
      </c>
      <c r="D169" s="35" t="s">
        <v>163</v>
      </c>
      <c r="E169" s="35" t="s">
        <v>658</v>
      </c>
      <c r="F169" s="35">
        <v>1</v>
      </c>
      <c r="G169" s="35" t="s">
        <v>1475</v>
      </c>
      <c r="H169" s="35" t="s">
        <v>558</v>
      </c>
      <c r="I169" s="35" t="s">
        <v>2880</v>
      </c>
      <c r="J169" s="35" t="s">
        <v>558</v>
      </c>
      <c r="K169" s="35"/>
      <c r="L169" s="88" t="s">
        <v>2835</v>
      </c>
      <c r="M169" s="35" t="s">
        <v>2937</v>
      </c>
      <c r="N169" s="35" t="s">
        <v>660</v>
      </c>
      <c r="O169" s="35"/>
      <c r="P169" s="35"/>
    </row>
    <row r="170" spans="1:16" ht="54" customHeight="1" x14ac:dyDescent="0.2">
      <c r="A170" s="35">
        <v>169</v>
      </c>
      <c r="B170" s="35" t="s">
        <v>661</v>
      </c>
      <c r="C170" s="35" t="s">
        <v>507</v>
      </c>
      <c r="D170" s="35" t="s">
        <v>163</v>
      </c>
      <c r="E170" s="35" t="s">
        <v>661</v>
      </c>
      <c r="F170" s="35">
        <v>2</v>
      </c>
      <c r="G170" s="35" t="s">
        <v>1518</v>
      </c>
      <c r="H170" s="35" t="s">
        <v>299</v>
      </c>
      <c r="I170" s="35" t="s">
        <v>2880</v>
      </c>
      <c r="J170" s="35" t="s">
        <v>19</v>
      </c>
      <c r="K170" s="35"/>
      <c r="L170" s="88" t="s">
        <v>2827</v>
      </c>
      <c r="M170" s="35" t="s">
        <v>2849</v>
      </c>
      <c r="N170" s="35" t="s">
        <v>663</v>
      </c>
      <c r="O170" s="35"/>
      <c r="P170" s="35"/>
    </row>
    <row r="171" spans="1:16" ht="54" customHeight="1" x14ac:dyDescent="0.2">
      <c r="A171" s="35">
        <v>170</v>
      </c>
      <c r="B171" s="35" t="s">
        <v>664</v>
      </c>
      <c r="C171" s="35" t="s">
        <v>507</v>
      </c>
      <c r="D171" s="35" t="s">
        <v>163</v>
      </c>
      <c r="E171" s="35" t="s">
        <v>664</v>
      </c>
      <c r="F171" s="35">
        <v>1</v>
      </c>
      <c r="G171" s="35" t="s">
        <v>1378</v>
      </c>
      <c r="H171" s="35" t="s">
        <v>2883</v>
      </c>
      <c r="I171" s="35" t="s">
        <v>2882</v>
      </c>
      <c r="J171" s="35" t="s">
        <v>40</v>
      </c>
      <c r="K171" s="35" t="s">
        <v>2883</v>
      </c>
      <c r="L171" s="89" t="s">
        <v>2817</v>
      </c>
      <c r="M171" s="35" t="s">
        <v>2818</v>
      </c>
      <c r="N171" s="35" t="s">
        <v>667</v>
      </c>
      <c r="O171" s="35"/>
      <c r="P171" s="35"/>
    </row>
    <row r="172" spans="1:16" ht="54" customHeight="1" x14ac:dyDescent="0.2">
      <c r="A172" s="35">
        <v>171</v>
      </c>
      <c r="B172" s="35" t="s">
        <v>669</v>
      </c>
      <c r="C172" s="35" t="s">
        <v>507</v>
      </c>
      <c r="D172" s="35" t="s">
        <v>163</v>
      </c>
      <c r="E172" s="35" t="s">
        <v>669</v>
      </c>
      <c r="F172" s="35">
        <v>2</v>
      </c>
      <c r="G172" s="35" t="s">
        <v>1477</v>
      </c>
      <c r="H172" s="35" t="s">
        <v>2926</v>
      </c>
      <c r="I172" s="35" t="s">
        <v>2880</v>
      </c>
      <c r="J172" s="35" t="s">
        <v>64</v>
      </c>
      <c r="K172" s="35"/>
      <c r="L172" s="88" t="s">
        <v>2819</v>
      </c>
      <c r="M172" s="35" t="s">
        <v>2841</v>
      </c>
      <c r="N172" s="35" t="s">
        <v>672</v>
      </c>
      <c r="O172" s="35"/>
      <c r="P172" s="35"/>
    </row>
    <row r="173" spans="1:16" ht="54" customHeight="1" x14ac:dyDescent="0.2">
      <c r="A173" s="35">
        <v>172</v>
      </c>
      <c r="B173" s="35" t="s">
        <v>674</v>
      </c>
      <c r="C173" s="35" t="s">
        <v>507</v>
      </c>
      <c r="D173" s="35" t="s">
        <v>163</v>
      </c>
      <c r="E173" s="35" t="s">
        <v>2939</v>
      </c>
      <c r="F173" s="35">
        <v>1</v>
      </c>
      <c r="G173" s="35" t="s">
        <v>1414</v>
      </c>
      <c r="H173" s="35" t="s">
        <v>558</v>
      </c>
      <c r="I173" s="35" t="s">
        <v>2880</v>
      </c>
      <c r="J173" s="35" t="s">
        <v>59</v>
      </c>
      <c r="K173" s="35"/>
      <c r="L173" s="88" t="s">
        <v>2835</v>
      </c>
      <c r="M173" s="35" t="s">
        <v>2850</v>
      </c>
      <c r="N173" s="35" t="s">
        <v>676</v>
      </c>
      <c r="O173" s="35"/>
      <c r="P173" s="35"/>
    </row>
    <row r="174" spans="1:16" ht="54" customHeight="1" x14ac:dyDescent="0.2">
      <c r="A174" s="35">
        <v>173</v>
      </c>
      <c r="B174" s="35" t="s">
        <v>678</v>
      </c>
      <c r="C174" s="35" t="s">
        <v>507</v>
      </c>
      <c r="D174" s="35" t="s">
        <v>163</v>
      </c>
      <c r="E174" s="35" t="s">
        <v>678</v>
      </c>
      <c r="F174" s="35">
        <v>1</v>
      </c>
      <c r="G174" s="35" t="s">
        <v>1385</v>
      </c>
      <c r="H174" s="35" t="s">
        <v>558</v>
      </c>
      <c r="I174" s="35" t="s">
        <v>2880</v>
      </c>
      <c r="J174" s="35" t="s">
        <v>40</v>
      </c>
      <c r="K174" s="35"/>
      <c r="L174" s="88" t="s">
        <v>2835</v>
      </c>
      <c r="M174" s="35" t="s">
        <v>2851</v>
      </c>
      <c r="N174" s="35" t="s">
        <v>680</v>
      </c>
      <c r="O174" s="35"/>
      <c r="P174" s="35"/>
    </row>
    <row r="175" spans="1:16" ht="54" customHeight="1" x14ac:dyDescent="0.2">
      <c r="A175" s="35">
        <v>174</v>
      </c>
      <c r="B175" s="35" t="s">
        <v>681</v>
      </c>
      <c r="C175" s="35" t="s">
        <v>507</v>
      </c>
      <c r="D175" s="35" t="s">
        <v>218</v>
      </c>
      <c r="E175" s="35" t="s">
        <v>681</v>
      </c>
      <c r="F175" s="35">
        <v>1</v>
      </c>
      <c r="G175" s="35" t="s">
        <v>1522</v>
      </c>
      <c r="H175" s="35" t="s">
        <v>2930</v>
      </c>
      <c r="I175" s="35" t="s">
        <v>2882</v>
      </c>
      <c r="J175" s="35" t="s">
        <v>554</v>
      </c>
      <c r="K175" s="35" t="s">
        <v>2930</v>
      </c>
      <c r="L175" s="88" t="s">
        <v>2819</v>
      </c>
      <c r="M175" s="35" t="s">
        <v>2852</v>
      </c>
      <c r="N175" s="35" t="s">
        <v>684</v>
      </c>
      <c r="O175" s="35"/>
      <c r="P175" s="35"/>
    </row>
    <row r="176" spans="1:16" ht="54" customHeight="1" x14ac:dyDescent="0.2">
      <c r="A176" s="35">
        <v>175</v>
      </c>
      <c r="B176" s="35" t="s">
        <v>686</v>
      </c>
      <c r="C176" s="35" t="s">
        <v>507</v>
      </c>
      <c r="D176" s="35" t="s">
        <v>218</v>
      </c>
      <c r="E176" s="35" t="s">
        <v>686</v>
      </c>
      <c r="F176" s="35">
        <v>1</v>
      </c>
      <c r="G176" s="35" t="s">
        <v>1475</v>
      </c>
      <c r="H176" s="35" t="s">
        <v>2938</v>
      </c>
      <c r="I176" s="35" t="s">
        <v>2882</v>
      </c>
      <c r="J176" s="35" t="s">
        <v>356</v>
      </c>
      <c r="K176" s="35" t="s">
        <v>2938</v>
      </c>
      <c r="L176" s="88" t="s">
        <v>2819</v>
      </c>
      <c r="M176" s="35" t="s">
        <v>2840</v>
      </c>
      <c r="N176" s="35" t="s">
        <v>689</v>
      </c>
      <c r="O176" s="35"/>
      <c r="P176" s="35"/>
    </row>
    <row r="177" spans="1:16" ht="54" customHeight="1" x14ac:dyDescent="0.2">
      <c r="A177" s="35">
        <v>176</v>
      </c>
      <c r="B177" s="35" t="s">
        <v>691</v>
      </c>
      <c r="C177" s="35" t="s">
        <v>507</v>
      </c>
      <c r="D177" s="35" t="s">
        <v>218</v>
      </c>
      <c r="E177" s="35" t="s">
        <v>691</v>
      </c>
      <c r="F177" s="35">
        <v>1</v>
      </c>
      <c r="G177" s="35" t="s">
        <v>1442</v>
      </c>
      <c r="H177" s="35" t="s">
        <v>2883</v>
      </c>
      <c r="I177" s="35" t="s">
        <v>2882</v>
      </c>
      <c r="J177" s="35" t="s">
        <v>299</v>
      </c>
      <c r="K177" s="35" t="s">
        <v>2883</v>
      </c>
      <c r="L177" s="88" t="s">
        <v>2835</v>
      </c>
      <c r="M177" s="35" t="s">
        <v>2924</v>
      </c>
      <c r="N177" s="35" t="s">
        <v>694</v>
      </c>
      <c r="O177" s="35"/>
      <c r="P177" s="35"/>
    </row>
    <row r="178" spans="1:16" ht="54" customHeight="1" x14ac:dyDescent="0.2">
      <c r="A178" s="35">
        <v>177</v>
      </c>
      <c r="B178" s="35" t="s">
        <v>696</v>
      </c>
      <c r="C178" s="35" t="s">
        <v>507</v>
      </c>
      <c r="D178" s="35" t="s">
        <v>218</v>
      </c>
      <c r="E178" s="35" t="s">
        <v>696</v>
      </c>
      <c r="F178" s="35">
        <v>1</v>
      </c>
      <c r="G178" s="35" t="s">
        <v>1446</v>
      </c>
      <c r="H178" s="35" t="s">
        <v>2922</v>
      </c>
      <c r="I178" s="35" t="s">
        <v>2880</v>
      </c>
      <c r="J178" s="35" t="s">
        <v>79</v>
      </c>
      <c r="K178" s="35"/>
      <c r="L178" s="88" t="s">
        <v>2827</v>
      </c>
      <c r="M178" s="35" t="s">
        <v>2925</v>
      </c>
      <c r="N178" s="35" t="s">
        <v>698</v>
      </c>
      <c r="O178" s="35"/>
      <c r="P178" s="35"/>
    </row>
    <row r="179" spans="1:16" ht="54" customHeight="1" x14ac:dyDescent="0.2">
      <c r="A179" s="35">
        <v>178</v>
      </c>
      <c r="B179" s="35" t="s">
        <v>700</v>
      </c>
      <c r="C179" s="35" t="s">
        <v>507</v>
      </c>
      <c r="D179" s="35" t="s">
        <v>218</v>
      </c>
      <c r="E179" s="35" t="s">
        <v>700</v>
      </c>
      <c r="F179" s="35">
        <v>1</v>
      </c>
      <c r="G179" s="35" t="s">
        <v>1442</v>
      </c>
      <c r="H179" s="35" t="s">
        <v>299</v>
      </c>
      <c r="I179" s="35" t="s">
        <v>2880</v>
      </c>
      <c r="J179" s="35" t="s">
        <v>299</v>
      </c>
      <c r="K179" s="35"/>
      <c r="L179" s="88" t="s">
        <v>2835</v>
      </c>
      <c r="M179" s="35" t="s">
        <v>2924</v>
      </c>
      <c r="N179" s="35" t="s">
        <v>703</v>
      </c>
      <c r="O179" s="35"/>
      <c r="P179" s="35"/>
    </row>
    <row r="180" spans="1:16" ht="54" customHeight="1" x14ac:dyDescent="0.2">
      <c r="A180" s="35">
        <v>179</v>
      </c>
      <c r="B180" s="35" t="s">
        <v>705</v>
      </c>
      <c r="C180" s="35" t="s">
        <v>507</v>
      </c>
      <c r="D180" s="35" t="s">
        <v>218</v>
      </c>
      <c r="E180" s="35" t="s">
        <v>705</v>
      </c>
      <c r="F180" s="35">
        <v>1</v>
      </c>
      <c r="G180" s="35" t="s">
        <v>1378</v>
      </c>
      <c r="H180" s="35" t="s">
        <v>2927</v>
      </c>
      <c r="I180" s="35" t="s">
        <v>2882</v>
      </c>
      <c r="J180" s="35" t="s">
        <v>19</v>
      </c>
      <c r="K180" s="35" t="s">
        <v>2927</v>
      </c>
      <c r="L180" s="88" t="s">
        <v>2827</v>
      </c>
      <c r="M180" s="35" t="s">
        <v>2821</v>
      </c>
      <c r="N180" s="35" t="s">
        <v>707</v>
      </c>
      <c r="O180" s="35"/>
      <c r="P180" s="35"/>
    </row>
    <row r="181" spans="1:16" ht="54" customHeight="1" x14ac:dyDescent="0.2">
      <c r="A181" s="35">
        <v>180</v>
      </c>
      <c r="B181" s="35" t="s">
        <v>708</v>
      </c>
      <c r="C181" s="35" t="s">
        <v>507</v>
      </c>
      <c r="D181" s="35" t="s">
        <v>218</v>
      </c>
      <c r="E181" s="35" t="s">
        <v>708</v>
      </c>
      <c r="F181" s="35">
        <v>1</v>
      </c>
      <c r="G181" s="35" t="s">
        <v>1378</v>
      </c>
      <c r="H181" s="35" t="s">
        <v>2940</v>
      </c>
      <c r="I181" s="35" t="s">
        <v>2882</v>
      </c>
      <c r="J181" s="35" t="s">
        <v>19</v>
      </c>
      <c r="K181" s="35" t="s">
        <v>2940</v>
      </c>
      <c r="L181" s="88" t="s">
        <v>2827</v>
      </c>
      <c r="M181" s="35" t="s">
        <v>2821</v>
      </c>
      <c r="N181" s="35" t="s">
        <v>711</v>
      </c>
      <c r="O181" s="35"/>
      <c r="P181" s="35"/>
    </row>
    <row r="182" spans="1:16" ht="54" customHeight="1" x14ac:dyDescent="0.2">
      <c r="A182" s="35">
        <v>181</v>
      </c>
      <c r="B182" s="35" t="s">
        <v>713</v>
      </c>
      <c r="C182" s="35" t="s">
        <v>507</v>
      </c>
      <c r="D182" s="35" t="s">
        <v>218</v>
      </c>
      <c r="E182" s="35" t="s">
        <v>713</v>
      </c>
      <c r="F182" s="35">
        <v>1</v>
      </c>
      <c r="G182" s="35" t="s">
        <v>1378</v>
      </c>
      <c r="H182" s="35" t="s">
        <v>2933</v>
      </c>
      <c r="I182" s="35" t="s">
        <v>2886</v>
      </c>
      <c r="J182" s="35" t="s">
        <v>19</v>
      </c>
      <c r="K182" s="35" t="s">
        <v>2933</v>
      </c>
      <c r="L182" s="88" t="s">
        <v>2827</v>
      </c>
      <c r="M182" s="35" t="s">
        <v>2821</v>
      </c>
      <c r="N182" s="35" t="s">
        <v>716</v>
      </c>
      <c r="O182" s="35"/>
      <c r="P182" s="35"/>
    </row>
    <row r="183" spans="1:16" ht="54" customHeight="1" x14ac:dyDescent="0.2">
      <c r="A183" s="35">
        <v>182</v>
      </c>
      <c r="B183" s="35" t="s">
        <v>718</v>
      </c>
      <c r="C183" s="35" t="s">
        <v>507</v>
      </c>
      <c r="D183" s="35" t="s">
        <v>244</v>
      </c>
      <c r="E183" s="35" t="s">
        <v>718</v>
      </c>
      <c r="F183" s="35">
        <v>1</v>
      </c>
      <c r="G183" s="35" t="s">
        <v>1378</v>
      </c>
      <c r="H183" s="35" t="s">
        <v>558</v>
      </c>
      <c r="I183" s="35" t="s">
        <v>2880</v>
      </c>
      <c r="J183" s="35" t="s">
        <v>19</v>
      </c>
      <c r="K183" s="35"/>
      <c r="L183" s="88" t="s">
        <v>2827</v>
      </c>
      <c r="M183" s="35" t="s">
        <v>2821</v>
      </c>
      <c r="N183" s="35" t="s">
        <v>721</v>
      </c>
      <c r="O183" s="35"/>
      <c r="P183" s="35"/>
    </row>
    <row r="184" spans="1:16" ht="54" customHeight="1" x14ac:dyDescent="0.2">
      <c r="A184" s="35">
        <v>183</v>
      </c>
      <c r="B184" s="35" t="s">
        <v>723</v>
      </c>
      <c r="C184" s="35" t="s">
        <v>507</v>
      </c>
      <c r="D184" s="35" t="s">
        <v>244</v>
      </c>
      <c r="E184" s="35" t="s">
        <v>723</v>
      </c>
      <c r="F184" s="35">
        <v>0</v>
      </c>
      <c r="G184" s="35"/>
      <c r="H184" s="35" t="s">
        <v>2926</v>
      </c>
      <c r="I184" s="35" t="s">
        <v>2880</v>
      </c>
      <c r="J184" s="35" t="s">
        <v>64</v>
      </c>
      <c r="K184" s="35"/>
      <c r="L184" s="88" t="s">
        <v>2819</v>
      </c>
      <c r="M184" s="35" t="s">
        <v>2839</v>
      </c>
      <c r="N184" s="35" t="s">
        <v>725</v>
      </c>
      <c r="O184" s="35"/>
      <c r="P184" s="35"/>
    </row>
    <row r="185" spans="1:16" ht="54" customHeight="1" x14ac:dyDescent="0.2">
      <c r="A185" s="35">
        <v>184</v>
      </c>
      <c r="B185" s="35" t="s">
        <v>727</v>
      </c>
      <c r="C185" s="35" t="s">
        <v>507</v>
      </c>
      <c r="D185" s="35" t="s">
        <v>244</v>
      </c>
      <c r="E185" s="35" t="s">
        <v>727</v>
      </c>
      <c r="F185" s="35">
        <v>1</v>
      </c>
      <c r="G185" s="35" t="s">
        <v>1475</v>
      </c>
      <c r="H185" s="35" t="s">
        <v>558</v>
      </c>
      <c r="I185" s="35" t="s">
        <v>2880</v>
      </c>
      <c r="J185" s="35" t="s">
        <v>558</v>
      </c>
      <c r="K185" s="35"/>
      <c r="L185" s="88" t="s">
        <v>2835</v>
      </c>
      <c r="M185" s="35" t="s">
        <v>2937</v>
      </c>
      <c r="N185" s="35" t="s">
        <v>729</v>
      </c>
      <c r="O185" s="35"/>
      <c r="P185" s="35"/>
    </row>
    <row r="186" spans="1:16" ht="54" customHeight="1" x14ac:dyDescent="0.2">
      <c r="A186" s="35">
        <v>185</v>
      </c>
      <c r="B186" s="35" t="s">
        <v>731</v>
      </c>
      <c r="C186" s="35" t="s">
        <v>507</v>
      </c>
      <c r="D186" s="35" t="s">
        <v>244</v>
      </c>
      <c r="E186" s="35" t="s">
        <v>731</v>
      </c>
      <c r="F186" s="35">
        <v>1</v>
      </c>
      <c r="G186" s="35" t="s">
        <v>1477</v>
      </c>
      <c r="H186" s="35" t="s">
        <v>2928</v>
      </c>
      <c r="I186" s="35" t="s">
        <v>2882</v>
      </c>
      <c r="J186" s="35" t="s">
        <v>554</v>
      </c>
      <c r="K186" s="35" t="s">
        <v>2928</v>
      </c>
      <c r="L186" s="88" t="s">
        <v>2819</v>
      </c>
      <c r="M186" s="35" t="s">
        <v>2848</v>
      </c>
      <c r="N186" s="35" t="s">
        <v>733</v>
      </c>
      <c r="O186" s="35"/>
      <c r="P186" s="35"/>
    </row>
    <row r="187" spans="1:16" ht="54" customHeight="1" x14ac:dyDescent="0.2">
      <c r="A187" s="35">
        <v>186</v>
      </c>
      <c r="B187" s="35" t="s">
        <v>734</v>
      </c>
      <c r="C187" s="35" t="s">
        <v>507</v>
      </c>
      <c r="D187" s="35" t="s">
        <v>258</v>
      </c>
      <c r="E187" s="35" t="s">
        <v>734</v>
      </c>
      <c r="F187" s="35">
        <v>1</v>
      </c>
      <c r="G187" s="35" t="s">
        <v>1475</v>
      </c>
      <c r="H187" s="35" t="s">
        <v>2930</v>
      </c>
      <c r="I187" s="35" t="s">
        <v>2882</v>
      </c>
      <c r="J187" s="35" t="s">
        <v>356</v>
      </c>
      <c r="K187" s="35" t="s">
        <v>2930</v>
      </c>
      <c r="L187" s="88" t="s">
        <v>2819</v>
      </c>
      <c r="M187" s="35" t="s">
        <v>2840</v>
      </c>
      <c r="N187" s="35" t="s">
        <v>737</v>
      </c>
      <c r="O187" s="35"/>
      <c r="P187" s="35"/>
    </row>
    <row r="188" spans="1:16" ht="54" customHeight="1" x14ac:dyDescent="0.2">
      <c r="A188" s="35">
        <v>187</v>
      </c>
      <c r="B188" s="35" t="s">
        <v>739</v>
      </c>
      <c r="C188" s="35" t="s">
        <v>507</v>
      </c>
      <c r="D188" s="35" t="s">
        <v>258</v>
      </c>
      <c r="E188" s="35" t="s">
        <v>739</v>
      </c>
      <c r="F188" s="35">
        <v>2</v>
      </c>
      <c r="G188" s="35" t="s">
        <v>1378</v>
      </c>
      <c r="H188" s="35" t="s">
        <v>2933</v>
      </c>
      <c r="I188" s="35" t="s">
        <v>2886</v>
      </c>
      <c r="J188" s="35" t="s">
        <v>19</v>
      </c>
      <c r="K188" s="35" t="s">
        <v>2933</v>
      </c>
      <c r="L188" s="88" t="s">
        <v>2827</v>
      </c>
      <c r="M188" s="35" t="s">
        <v>2821</v>
      </c>
      <c r="N188" s="35" t="s">
        <v>742</v>
      </c>
      <c r="O188" s="35"/>
      <c r="P188" s="35"/>
    </row>
    <row r="189" spans="1:16" ht="54" customHeight="1" x14ac:dyDescent="0.2">
      <c r="A189" s="35">
        <v>188</v>
      </c>
      <c r="B189" s="35" t="s">
        <v>1532</v>
      </c>
      <c r="C189" s="35" t="s">
        <v>745</v>
      </c>
      <c r="D189" s="35" t="s">
        <v>18</v>
      </c>
      <c r="E189" s="35" t="s">
        <v>1532</v>
      </c>
      <c r="F189" s="35">
        <v>3</v>
      </c>
      <c r="G189" s="35" t="s">
        <v>1378</v>
      </c>
      <c r="H189" s="35" t="s">
        <v>2938</v>
      </c>
      <c r="I189" s="35" t="s">
        <v>2882</v>
      </c>
      <c r="J189" s="35" t="s">
        <v>19</v>
      </c>
      <c r="K189" s="35" t="s">
        <v>2938</v>
      </c>
      <c r="L189" s="88" t="s">
        <v>2827</v>
      </c>
      <c r="M189" s="35" t="s">
        <v>2821</v>
      </c>
      <c r="N189" s="35" t="s">
        <v>747</v>
      </c>
      <c r="O189" s="35"/>
      <c r="P189" s="35"/>
    </row>
    <row r="190" spans="1:16" ht="54" customHeight="1" x14ac:dyDescent="0.2">
      <c r="A190" s="35">
        <v>189</v>
      </c>
      <c r="B190" s="35" t="s">
        <v>749</v>
      </c>
      <c r="C190" s="35" t="s">
        <v>745</v>
      </c>
      <c r="D190" s="35" t="s">
        <v>18</v>
      </c>
      <c r="E190" s="35" t="s">
        <v>749</v>
      </c>
      <c r="F190" s="35">
        <v>2</v>
      </c>
      <c r="G190" s="35" t="s">
        <v>1378</v>
      </c>
      <c r="H190" s="35" t="s">
        <v>2940</v>
      </c>
      <c r="I190" s="35" t="s">
        <v>2882</v>
      </c>
      <c r="J190" s="35" t="s">
        <v>19</v>
      </c>
      <c r="K190" s="35" t="s">
        <v>2940</v>
      </c>
      <c r="L190" s="88" t="s">
        <v>2827</v>
      </c>
      <c r="M190" s="35" t="s">
        <v>2821</v>
      </c>
      <c r="N190" s="35" t="s">
        <v>751</v>
      </c>
      <c r="O190" s="35"/>
      <c r="P190" s="35"/>
    </row>
    <row r="191" spans="1:16" ht="54" customHeight="1" x14ac:dyDescent="0.2">
      <c r="A191" s="35">
        <v>190</v>
      </c>
      <c r="B191" s="35" t="s">
        <v>753</v>
      </c>
      <c r="C191" s="35" t="s">
        <v>745</v>
      </c>
      <c r="D191" s="35" t="s">
        <v>18</v>
      </c>
      <c r="E191" s="35" t="s">
        <v>753</v>
      </c>
      <c r="F191" s="35">
        <v>3</v>
      </c>
      <c r="G191" s="35" t="s">
        <v>1378</v>
      </c>
      <c r="H191" s="35" t="s">
        <v>2927</v>
      </c>
      <c r="I191" s="35" t="s">
        <v>2882</v>
      </c>
      <c r="J191" s="35" t="s">
        <v>19</v>
      </c>
      <c r="K191" s="35" t="s">
        <v>2927</v>
      </c>
      <c r="L191" s="88" t="s">
        <v>2827</v>
      </c>
      <c r="M191" s="35" t="s">
        <v>2821</v>
      </c>
      <c r="N191" s="35" t="s">
        <v>755</v>
      </c>
      <c r="O191" s="35"/>
      <c r="P191" s="35"/>
    </row>
    <row r="192" spans="1:16" ht="54" customHeight="1" x14ac:dyDescent="0.2">
      <c r="A192" s="35">
        <v>191</v>
      </c>
      <c r="B192" s="35" t="s">
        <v>757</v>
      </c>
      <c r="C192" s="35" t="s">
        <v>745</v>
      </c>
      <c r="D192" s="35" t="s">
        <v>18</v>
      </c>
      <c r="E192" s="35" t="s">
        <v>757</v>
      </c>
      <c r="F192" s="35">
        <v>1</v>
      </c>
      <c r="G192" s="35" t="s">
        <v>1378</v>
      </c>
      <c r="H192" s="35" t="s">
        <v>2922</v>
      </c>
      <c r="I192" s="35" t="s">
        <v>2880</v>
      </c>
      <c r="J192" s="35" t="s">
        <v>79</v>
      </c>
      <c r="K192" s="35"/>
      <c r="L192" s="88" t="s">
        <v>2827</v>
      </c>
      <c r="M192" s="35" t="s">
        <v>2821</v>
      </c>
      <c r="N192" s="35" t="s">
        <v>759</v>
      </c>
      <c r="O192" s="35"/>
      <c r="P192" s="35"/>
    </row>
    <row r="193" spans="1:16" ht="54" customHeight="1" x14ac:dyDescent="0.2">
      <c r="A193" s="35">
        <v>192</v>
      </c>
      <c r="B193" s="35" t="s">
        <v>761</v>
      </c>
      <c r="C193" s="35" t="s">
        <v>745</v>
      </c>
      <c r="D193" s="35" t="s">
        <v>18</v>
      </c>
      <c r="E193" s="35" t="s">
        <v>761</v>
      </c>
      <c r="F193" s="35">
        <v>1</v>
      </c>
      <c r="G193" s="35" t="s">
        <v>1378</v>
      </c>
      <c r="H193" s="35" t="s">
        <v>2941</v>
      </c>
      <c r="I193" s="35" t="s">
        <v>2886</v>
      </c>
      <c r="J193" s="35" t="s">
        <v>19</v>
      </c>
      <c r="K193" s="35" t="s">
        <v>2941</v>
      </c>
      <c r="L193" s="88" t="s">
        <v>2827</v>
      </c>
      <c r="M193" s="35" t="s">
        <v>2821</v>
      </c>
      <c r="N193" s="35" t="s">
        <v>2942</v>
      </c>
      <c r="O193" s="35"/>
      <c r="P193" s="35"/>
    </row>
    <row r="194" spans="1:16" ht="54" customHeight="1" x14ac:dyDescent="0.2">
      <c r="A194" s="35">
        <v>193</v>
      </c>
      <c r="B194" s="35" t="s">
        <v>766</v>
      </c>
      <c r="C194" s="35" t="s">
        <v>745</v>
      </c>
      <c r="D194" s="35" t="s">
        <v>18</v>
      </c>
      <c r="E194" s="35" t="s">
        <v>766</v>
      </c>
      <c r="F194" s="35">
        <v>1</v>
      </c>
      <c r="G194" s="35" t="s">
        <v>1378</v>
      </c>
      <c r="H194" s="35" t="s">
        <v>2927</v>
      </c>
      <c r="I194" s="35" t="s">
        <v>2882</v>
      </c>
      <c r="J194" s="35" t="s">
        <v>19</v>
      </c>
      <c r="K194" s="35" t="s">
        <v>2927</v>
      </c>
      <c r="L194" s="88" t="s">
        <v>2827</v>
      </c>
      <c r="M194" s="35" t="s">
        <v>2821</v>
      </c>
      <c r="N194" s="35" t="s">
        <v>768</v>
      </c>
      <c r="O194" s="35"/>
      <c r="P194" s="35"/>
    </row>
    <row r="195" spans="1:16" ht="54" customHeight="1" x14ac:dyDescent="0.2">
      <c r="A195" s="35">
        <v>194</v>
      </c>
      <c r="B195" s="35" t="s">
        <v>769</v>
      </c>
      <c r="C195" s="35" t="s">
        <v>745</v>
      </c>
      <c r="D195" s="35" t="s">
        <v>18</v>
      </c>
      <c r="E195" s="35" t="s">
        <v>769</v>
      </c>
      <c r="F195" s="35">
        <v>1</v>
      </c>
      <c r="G195" s="35" t="s">
        <v>1378</v>
      </c>
      <c r="H195" s="35" t="s">
        <v>2929</v>
      </c>
      <c r="I195" s="35" t="s">
        <v>2886</v>
      </c>
      <c r="J195" s="35" t="s">
        <v>19</v>
      </c>
      <c r="K195" s="35" t="s">
        <v>2929</v>
      </c>
      <c r="L195" s="88" t="s">
        <v>2827</v>
      </c>
      <c r="M195" s="35" t="s">
        <v>2821</v>
      </c>
      <c r="N195" s="35" t="s">
        <v>772</v>
      </c>
      <c r="O195" s="35"/>
      <c r="P195" s="35"/>
    </row>
    <row r="196" spans="1:16" ht="54" customHeight="1" x14ac:dyDescent="0.2">
      <c r="A196" s="35">
        <v>195</v>
      </c>
      <c r="B196" s="35" t="s">
        <v>774</v>
      </c>
      <c r="C196" s="35" t="s">
        <v>745</v>
      </c>
      <c r="D196" s="35" t="s">
        <v>18</v>
      </c>
      <c r="E196" s="35" t="s">
        <v>774</v>
      </c>
      <c r="F196" s="35">
        <v>1</v>
      </c>
      <c r="G196" s="35" t="s">
        <v>1378</v>
      </c>
      <c r="H196" s="35" t="s">
        <v>2941</v>
      </c>
      <c r="I196" s="35" t="s">
        <v>2886</v>
      </c>
      <c r="J196" s="35" t="s">
        <v>19</v>
      </c>
      <c r="K196" s="35" t="s">
        <v>2941</v>
      </c>
      <c r="L196" s="88" t="s">
        <v>2827</v>
      </c>
      <c r="M196" s="35" t="s">
        <v>2821</v>
      </c>
      <c r="N196" s="35" t="s">
        <v>776</v>
      </c>
      <c r="O196" s="35"/>
      <c r="P196" s="35"/>
    </row>
    <row r="197" spans="1:16" ht="54" customHeight="1" x14ac:dyDescent="0.2">
      <c r="A197" s="35">
        <v>196</v>
      </c>
      <c r="B197" s="35" t="s">
        <v>777</v>
      </c>
      <c r="C197" s="35" t="s">
        <v>745</v>
      </c>
      <c r="D197" s="35" t="s">
        <v>18</v>
      </c>
      <c r="E197" s="35" t="s">
        <v>777</v>
      </c>
      <c r="F197" s="35">
        <v>0</v>
      </c>
      <c r="G197" s="35"/>
      <c r="H197" s="35" t="s">
        <v>2943</v>
      </c>
      <c r="I197" s="35" t="s">
        <v>2886</v>
      </c>
      <c r="J197" s="35" t="s">
        <v>245</v>
      </c>
      <c r="K197" s="35" t="s">
        <v>2943</v>
      </c>
      <c r="L197" s="90" t="s">
        <v>2823</v>
      </c>
      <c r="M197" s="35" t="s">
        <v>2831</v>
      </c>
      <c r="N197" s="35" t="s">
        <v>779</v>
      </c>
      <c r="O197" s="35"/>
      <c r="P197" s="35"/>
    </row>
    <row r="198" spans="1:16" ht="54" customHeight="1" x14ac:dyDescent="0.2">
      <c r="A198" s="35">
        <v>197</v>
      </c>
      <c r="B198" s="35" t="s">
        <v>780</v>
      </c>
      <c r="C198" s="35" t="s">
        <v>745</v>
      </c>
      <c r="D198" s="35" t="s">
        <v>18</v>
      </c>
      <c r="E198" s="35" t="s">
        <v>780</v>
      </c>
      <c r="F198" s="35">
        <v>1</v>
      </c>
      <c r="G198" s="35" t="s">
        <v>1378</v>
      </c>
      <c r="H198" s="35" t="s">
        <v>2943</v>
      </c>
      <c r="I198" s="35" t="s">
        <v>2886</v>
      </c>
      <c r="J198" s="35" t="s">
        <v>19</v>
      </c>
      <c r="K198" s="35" t="s">
        <v>2943</v>
      </c>
      <c r="L198" s="88" t="s">
        <v>2827</v>
      </c>
      <c r="M198" s="35" t="s">
        <v>2821</v>
      </c>
      <c r="N198" s="35" t="s">
        <v>782</v>
      </c>
      <c r="O198" s="35"/>
      <c r="P198" s="35"/>
    </row>
    <row r="199" spans="1:16" ht="54" customHeight="1" x14ac:dyDescent="0.2">
      <c r="A199" s="35">
        <v>198</v>
      </c>
      <c r="B199" s="35" t="s">
        <v>783</v>
      </c>
      <c r="C199" s="35" t="s">
        <v>745</v>
      </c>
      <c r="D199" s="35" t="s">
        <v>18</v>
      </c>
      <c r="E199" s="35" t="s">
        <v>783</v>
      </c>
      <c r="F199" s="35">
        <v>1</v>
      </c>
      <c r="G199" s="35" t="s">
        <v>1378</v>
      </c>
      <c r="H199" s="35" t="s">
        <v>2944</v>
      </c>
      <c r="I199" s="35" t="s">
        <v>2880</v>
      </c>
      <c r="J199" s="35" t="s">
        <v>41</v>
      </c>
      <c r="K199" s="35"/>
      <c r="L199" s="88" t="s">
        <v>2827</v>
      </c>
      <c r="M199" s="35" t="s">
        <v>2821</v>
      </c>
      <c r="N199" s="35" t="s">
        <v>786</v>
      </c>
      <c r="O199" s="35"/>
      <c r="P199" s="35"/>
    </row>
    <row r="200" spans="1:16" ht="54" customHeight="1" x14ac:dyDescent="0.2">
      <c r="A200" s="35">
        <v>199</v>
      </c>
      <c r="B200" s="35" t="s">
        <v>788</v>
      </c>
      <c r="C200" s="35" t="s">
        <v>745</v>
      </c>
      <c r="D200" s="35" t="s">
        <v>18</v>
      </c>
      <c r="E200" s="35" t="s">
        <v>788</v>
      </c>
      <c r="F200" s="35">
        <v>1</v>
      </c>
      <c r="G200" s="35" t="s">
        <v>1378</v>
      </c>
      <c r="H200" s="35" t="s">
        <v>2922</v>
      </c>
      <c r="I200" s="35" t="s">
        <v>2880</v>
      </c>
      <c r="J200" s="35" t="s">
        <v>79</v>
      </c>
      <c r="K200" s="35"/>
      <c r="L200" s="88" t="s">
        <v>2827</v>
      </c>
      <c r="M200" s="35" t="s">
        <v>2821</v>
      </c>
      <c r="N200" s="35" t="s">
        <v>790</v>
      </c>
      <c r="O200" s="35"/>
      <c r="P200" s="35"/>
    </row>
    <row r="201" spans="1:16" ht="54" customHeight="1" x14ac:dyDescent="0.2">
      <c r="A201" s="35">
        <v>200</v>
      </c>
      <c r="B201" s="35" t="s">
        <v>791</v>
      </c>
      <c r="C201" s="35" t="s">
        <v>745</v>
      </c>
      <c r="D201" s="35" t="s">
        <v>18</v>
      </c>
      <c r="E201" s="35" t="s">
        <v>791</v>
      </c>
      <c r="F201" s="35">
        <v>1</v>
      </c>
      <c r="G201" s="35" t="s">
        <v>1437</v>
      </c>
      <c r="H201" s="35" t="s">
        <v>2928</v>
      </c>
      <c r="I201" s="35" t="s">
        <v>2882</v>
      </c>
      <c r="J201" s="35" t="s">
        <v>79</v>
      </c>
      <c r="K201" s="35" t="s">
        <v>2928</v>
      </c>
      <c r="L201" s="88" t="s">
        <v>2835</v>
      </c>
      <c r="M201" s="35" t="s">
        <v>2832</v>
      </c>
      <c r="N201" s="35" t="s">
        <v>793</v>
      </c>
      <c r="O201" s="35"/>
      <c r="P201" s="35"/>
    </row>
    <row r="202" spans="1:16" ht="54" customHeight="1" x14ac:dyDescent="0.2">
      <c r="A202" s="35">
        <v>201</v>
      </c>
      <c r="B202" s="35" t="s">
        <v>795</v>
      </c>
      <c r="C202" s="35" t="s">
        <v>745</v>
      </c>
      <c r="D202" s="35" t="s">
        <v>18</v>
      </c>
      <c r="E202" s="35" t="s">
        <v>795</v>
      </c>
      <c r="F202" s="35">
        <v>1</v>
      </c>
      <c r="G202" s="35" t="s">
        <v>1378</v>
      </c>
      <c r="H202" s="35" t="s">
        <v>2884</v>
      </c>
      <c r="I202" s="35" t="s">
        <v>2882</v>
      </c>
      <c r="J202" s="35" t="s">
        <v>41</v>
      </c>
      <c r="K202" s="35" t="s">
        <v>2884</v>
      </c>
      <c r="L202" s="88" t="s">
        <v>2827</v>
      </c>
      <c r="M202" s="35" t="s">
        <v>2821</v>
      </c>
      <c r="N202" s="35" t="s">
        <v>797</v>
      </c>
      <c r="O202" s="35"/>
      <c r="P202" s="35"/>
    </row>
    <row r="203" spans="1:16" ht="54" customHeight="1" x14ac:dyDescent="0.2">
      <c r="A203" s="35">
        <v>202</v>
      </c>
      <c r="B203" s="35" t="s">
        <v>798</v>
      </c>
      <c r="C203" s="35" t="s">
        <v>745</v>
      </c>
      <c r="D203" s="35" t="s">
        <v>18</v>
      </c>
      <c r="E203" s="35" t="s">
        <v>798</v>
      </c>
      <c r="F203" s="35">
        <v>1</v>
      </c>
      <c r="G203" s="35" t="s">
        <v>1437</v>
      </c>
      <c r="H203" s="35" t="s">
        <v>2881</v>
      </c>
      <c r="I203" s="35" t="s">
        <v>2882</v>
      </c>
      <c r="J203" s="35" t="s">
        <v>79</v>
      </c>
      <c r="K203" s="35" t="s">
        <v>2881</v>
      </c>
      <c r="L203" s="88" t="s">
        <v>2835</v>
      </c>
      <c r="M203" s="35" t="s">
        <v>2832</v>
      </c>
      <c r="N203" s="35" t="s">
        <v>800</v>
      </c>
      <c r="O203" s="35"/>
      <c r="P203" s="35"/>
    </row>
    <row r="204" spans="1:16" ht="54" customHeight="1" x14ac:dyDescent="0.2">
      <c r="A204" s="35">
        <v>203</v>
      </c>
      <c r="B204" s="35" t="s">
        <v>801</v>
      </c>
      <c r="C204" s="35" t="s">
        <v>745</v>
      </c>
      <c r="D204" s="35" t="s">
        <v>18</v>
      </c>
      <c r="E204" s="35" t="s">
        <v>801</v>
      </c>
      <c r="F204" s="35">
        <v>1</v>
      </c>
      <c r="G204" s="35" t="s">
        <v>1378</v>
      </c>
      <c r="H204" s="35" t="s">
        <v>2883</v>
      </c>
      <c r="I204" s="35" t="s">
        <v>2882</v>
      </c>
      <c r="J204" s="35" t="s">
        <v>19</v>
      </c>
      <c r="K204" s="35" t="s">
        <v>2883</v>
      </c>
      <c r="L204" s="88" t="s">
        <v>2827</v>
      </c>
      <c r="M204" s="35" t="s">
        <v>2821</v>
      </c>
      <c r="N204" s="35" t="s">
        <v>803</v>
      </c>
      <c r="O204" s="35"/>
      <c r="P204" s="35"/>
    </row>
    <row r="205" spans="1:16" ht="54" customHeight="1" x14ac:dyDescent="0.2">
      <c r="A205" s="35">
        <v>204</v>
      </c>
      <c r="B205" s="35" t="s">
        <v>805</v>
      </c>
      <c r="C205" s="35" t="s">
        <v>745</v>
      </c>
      <c r="D205" s="35" t="s">
        <v>18</v>
      </c>
      <c r="E205" s="35" t="s">
        <v>805</v>
      </c>
      <c r="F205" s="35">
        <v>1</v>
      </c>
      <c r="G205" s="35" t="s">
        <v>1378</v>
      </c>
      <c r="H205" s="35" t="s">
        <v>2941</v>
      </c>
      <c r="I205" s="35" t="s">
        <v>2886</v>
      </c>
      <c r="J205" s="35" t="s">
        <v>19</v>
      </c>
      <c r="K205" s="35" t="s">
        <v>2941</v>
      </c>
      <c r="L205" s="88" t="s">
        <v>2827</v>
      </c>
      <c r="M205" s="35" t="s">
        <v>2821</v>
      </c>
      <c r="N205" s="35" t="s">
        <v>807</v>
      </c>
      <c r="O205" s="35"/>
      <c r="P205" s="35"/>
    </row>
    <row r="206" spans="1:16" ht="54" customHeight="1" x14ac:dyDescent="0.2">
      <c r="A206" s="35">
        <v>205</v>
      </c>
      <c r="B206" s="35" t="s">
        <v>808</v>
      </c>
      <c r="C206" s="35" t="s">
        <v>745</v>
      </c>
      <c r="D206" s="35" t="s">
        <v>18</v>
      </c>
      <c r="E206" s="35" t="s">
        <v>808</v>
      </c>
      <c r="F206" s="35">
        <v>1</v>
      </c>
      <c r="G206" s="35" t="s">
        <v>1378</v>
      </c>
      <c r="H206" s="35" t="s">
        <v>2929</v>
      </c>
      <c r="I206" s="35" t="s">
        <v>2886</v>
      </c>
      <c r="J206" s="35" t="s">
        <v>19</v>
      </c>
      <c r="K206" s="35" t="s">
        <v>2929</v>
      </c>
      <c r="L206" s="88" t="s">
        <v>2827</v>
      </c>
      <c r="M206" s="35" t="s">
        <v>2821</v>
      </c>
      <c r="N206" s="35" t="s">
        <v>810</v>
      </c>
      <c r="O206" s="35"/>
      <c r="P206" s="35"/>
    </row>
    <row r="207" spans="1:16" ht="54" customHeight="1" x14ac:dyDescent="0.2">
      <c r="A207" s="35">
        <v>206</v>
      </c>
      <c r="B207" s="35" t="s">
        <v>811</v>
      </c>
      <c r="C207" s="35" t="s">
        <v>745</v>
      </c>
      <c r="D207" s="35" t="s">
        <v>18</v>
      </c>
      <c r="E207" s="35" t="s">
        <v>811</v>
      </c>
      <c r="F207" s="35">
        <v>1</v>
      </c>
      <c r="G207" s="35" t="s">
        <v>1378</v>
      </c>
      <c r="H207" s="35" t="s">
        <v>2945</v>
      </c>
      <c r="I207" s="35" t="s">
        <v>2882</v>
      </c>
      <c r="J207" s="35" t="s">
        <v>212</v>
      </c>
      <c r="K207" s="35" t="s">
        <v>2945</v>
      </c>
      <c r="L207" s="88" t="s">
        <v>2827</v>
      </c>
      <c r="M207" s="35" t="s">
        <v>2821</v>
      </c>
      <c r="N207" s="35" t="s">
        <v>813</v>
      </c>
      <c r="O207" s="35"/>
      <c r="P207" s="35"/>
    </row>
    <row r="208" spans="1:16" ht="54" customHeight="1" x14ac:dyDescent="0.2">
      <c r="A208" s="35">
        <v>207</v>
      </c>
      <c r="B208" s="35" t="s">
        <v>814</v>
      </c>
      <c r="C208" s="35" t="s">
        <v>745</v>
      </c>
      <c r="D208" s="35" t="s">
        <v>18</v>
      </c>
      <c r="E208" s="35" t="s">
        <v>814</v>
      </c>
      <c r="F208" s="35">
        <v>1</v>
      </c>
      <c r="G208" s="35" t="s">
        <v>1437</v>
      </c>
      <c r="H208" s="35" t="s">
        <v>2922</v>
      </c>
      <c r="I208" s="35" t="s">
        <v>2880</v>
      </c>
      <c r="J208" s="35" t="s">
        <v>79</v>
      </c>
      <c r="K208" s="35"/>
      <c r="L208" s="88" t="s">
        <v>2835</v>
      </c>
      <c r="M208" s="35" t="s">
        <v>2832</v>
      </c>
      <c r="N208" s="35" t="s">
        <v>816</v>
      </c>
      <c r="O208" s="35"/>
      <c r="P208" s="35"/>
    </row>
    <row r="209" spans="1:16" ht="54" customHeight="1" x14ac:dyDescent="0.2">
      <c r="A209" s="35">
        <v>208</v>
      </c>
      <c r="B209" s="35" t="s">
        <v>817</v>
      </c>
      <c r="C209" s="35" t="s">
        <v>745</v>
      </c>
      <c r="D209" s="35" t="s">
        <v>18</v>
      </c>
      <c r="E209" s="35" t="s">
        <v>817</v>
      </c>
      <c r="F209" s="35">
        <v>1</v>
      </c>
      <c r="G209" s="35" t="s">
        <v>1378</v>
      </c>
      <c r="H209" s="35" t="s">
        <v>2943</v>
      </c>
      <c r="I209" s="35" t="s">
        <v>2886</v>
      </c>
      <c r="J209" s="35" t="s">
        <v>19</v>
      </c>
      <c r="K209" s="35" t="s">
        <v>2943</v>
      </c>
      <c r="L209" s="88" t="s">
        <v>2827</v>
      </c>
      <c r="M209" s="35" t="s">
        <v>2821</v>
      </c>
      <c r="N209" s="35" t="s">
        <v>819</v>
      </c>
      <c r="O209" s="35"/>
      <c r="P209" s="35"/>
    </row>
    <row r="210" spans="1:16" ht="54" customHeight="1" x14ac:dyDescent="0.2">
      <c r="A210" s="35">
        <v>209</v>
      </c>
      <c r="B210" s="35" t="s">
        <v>820</v>
      </c>
      <c r="C210" s="35" t="s">
        <v>745</v>
      </c>
      <c r="D210" s="35" t="s">
        <v>18</v>
      </c>
      <c r="E210" s="35" t="s">
        <v>820</v>
      </c>
      <c r="F210" s="35">
        <v>1</v>
      </c>
      <c r="G210" s="35" t="s">
        <v>1378</v>
      </c>
      <c r="H210" s="35" t="s">
        <v>2943</v>
      </c>
      <c r="I210" s="35" t="s">
        <v>2886</v>
      </c>
      <c r="J210" s="35" t="s">
        <v>19</v>
      </c>
      <c r="K210" s="35" t="s">
        <v>2943</v>
      </c>
      <c r="L210" s="88" t="s">
        <v>2827</v>
      </c>
      <c r="M210" s="35" t="s">
        <v>2821</v>
      </c>
      <c r="N210" s="35" t="s">
        <v>822</v>
      </c>
      <c r="O210" s="35"/>
      <c r="P210" s="35"/>
    </row>
    <row r="211" spans="1:16" ht="54" customHeight="1" x14ac:dyDescent="0.2">
      <c r="A211" s="35">
        <v>210</v>
      </c>
      <c r="B211" s="35" t="s">
        <v>823</v>
      </c>
      <c r="C211" s="35" t="s">
        <v>745</v>
      </c>
      <c r="D211" s="35" t="s">
        <v>18</v>
      </c>
      <c r="E211" s="35" t="s">
        <v>823</v>
      </c>
      <c r="F211" s="35">
        <v>1</v>
      </c>
      <c r="G211" s="35" t="s">
        <v>1378</v>
      </c>
      <c r="H211" s="35" t="s">
        <v>2941</v>
      </c>
      <c r="I211" s="35" t="s">
        <v>2886</v>
      </c>
      <c r="J211" s="35" t="s">
        <v>19</v>
      </c>
      <c r="K211" s="35" t="s">
        <v>2941</v>
      </c>
      <c r="L211" s="88" t="s">
        <v>2827</v>
      </c>
      <c r="M211" s="35" t="s">
        <v>2821</v>
      </c>
      <c r="N211" s="35" t="s">
        <v>825</v>
      </c>
      <c r="O211" s="35"/>
      <c r="P211" s="35"/>
    </row>
    <row r="212" spans="1:16" ht="54" customHeight="1" x14ac:dyDescent="0.2">
      <c r="A212" s="35">
        <v>211</v>
      </c>
      <c r="B212" s="35" t="s">
        <v>826</v>
      </c>
      <c r="C212" s="35" t="s">
        <v>745</v>
      </c>
      <c r="D212" s="35" t="s">
        <v>18</v>
      </c>
      <c r="E212" s="35" t="s">
        <v>826</v>
      </c>
      <c r="F212" s="35">
        <v>1</v>
      </c>
      <c r="G212" s="35" t="s">
        <v>1378</v>
      </c>
      <c r="H212" s="35" t="s">
        <v>2945</v>
      </c>
      <c r="I212" s="35" t="s">
        <v>2882</v>
      </c>
      <c r="J212" s="35" t="s">
        <v>41</v>
      </c>
      <c r="K212" s="35" t="s">
        <v>2945</v>
      </c>
      <c r="L212" s="90" t="s">
        <v>2823</v>
      </c>
      <c r="M212" s="35" t="s">
        <v>2824</v>
      </c>
      <c r="N212" s="35" t="s">
        <v>828</v>
      </c>
      <c r="O212" s="35"/>
      <c r="P212" s="35"/>
    </row>
    <row r="213" spans="1:16" ht="54" customHeight="1" x14ac:dyDescent="0.2">
      <c r="A213" s="35">
        <v>212</v>
      </c>
      <c r="B213" s="35" t="s">
        <v>829</v>
      </c>
      <c r="C213" s="35" t="s">
        <v>745</v>
      </c>
      <c r="D213" s="35" t="s">
        <v>18</v>
      </c>
      <c r="E213" s="35" t="s">
        <v>829</v>
      </c>
      <c r="F213" s="35">
        <v>1</v>
      </c>
      <c r="G213" s="35" t="s">
        <v>1378</v>
      </c>
      <c r="H213" s="35" t="s">
        <v>2943</v>
      </c>
      <c r="I213" s="35" t="s">
        <v>2886</v>
      </c>
      <c r="J213" s="35" t="s">
        <v>19</v>
      </c>
      <c r="K213" s="35" t="s">
        <v>2943</v>
      </c>
      <c r="L213" s="88" t="s">
        <v>2827</v>
      </c>
      <c r="M213" s="35" t="s">
        <v>2821</v>
      </c>
      <c r="N213" s="35" t="s">
        <v>831</v>
      </c>
      <c r="O213" s="35"/>
      <c r="P213" s="35"/>
    </row>
    <row r="214" spans="1:16" ht="54" customHeight="1" x14ac:dyDescent="0.2">
      <c r="A214" s="35">
        <v>213</v>
      </c>
      <c r="B214" s="35" t="s">
        <v>832</v>
      </c>
      <c r="C214" s="35" t="s">
        <v>745</v>
      </c>
      <c r="D214" s="35" t="s">
        <v>18</v>
      </c>
      <c r="E214" s="35" t="s">
        <v>832</v>
      </c>
      <c r="F214" s="35">
        <v>1</v>
      </c>
      <c r="G214" s="35" t="s">
        <v>1378</v>
      </c>
      <c r="H214" s="35" t="s">
        <v>2943</v>
      </c>
      <c r="I214" s="35" t="s">
        <v>2886</v>
      </c>
      <c r="J214" s="35" t="s">
        <v>19</v>
      </c>
      <c r="K214" s="35" t="s">
        <v>2943</v>
      </c>
      <c r="L214" s="88" t="s">
        <v>2827</v>
      </c>
      <c r="M214" s="35" t="s">
        <v>2821</v>
      </c>
      <c r="N214" s="35" t="s">
        <v>834</v>
      </c>
      <c r="O214" s="35"/>
      <c r="P214" s="35"/>
    </row>
    <row r="215" spans="1:16" ht="54" customHeight="1" x14ac:dyDescent="0.2">
      <c r="A215" s="35">
        <v>214</v>
      </c>
      <c r="B215" s="35" t="s">
        <v>835</v>
      </c>
      <c r="C215" s="35" t="s">
        <v>745</v>
      </c>
      <c r="D215" s="35" t="s">
        <v>18</v>
      </c>
      <c r="E215" s="35" t="s">
        <v>835</v>
      </c>
      <c r="F215" s="35">
        <v>1</v>
      </c>
      <c r="G215" s="35" t="s">
        <v>1378</v>
      </c>
      <c r="H215" s="35" t="s">
        <v>2941</v>
      </c>
      <c r="I215" s="35" t="s">
        <v>2886</v>
      </c>
      <c r="J215" s="35" t="s">
        <v>19</v>
      </c>
      <c r="K215" s="35" t="s">
        <v>2941</v>
      </c>
      <c r="L215" s="88" t="s">
        <v>2827</v>
      </c>
      <c r="M215" s="35" t="s">
        <v>2821</v>
      </c>
      <c r="N215" s="35" t="s">
        <v>837</v>
      </c>
      <c r="O215" s="35"/>
      <c r="P215" s="35"/>
    </row>
    <row r="216" spans="1:16" ht="54" customHeight="1" x14ac:dyDescent="0.2">
      <c r="A216" s="35">
        <v>215</v>
      </c>
      <c r="B216" s="35" t="s">
        <v>838</v>
      </c>
      <c r="C216" s="35" t="s">
        <v>745</v>
      </c>
      <c r="D216" s="35" t="s">
        <v>18</v>
      </c>
      <c r="E216" s="35" t="s">
        <v>838</v>
      </c>
      <c r="F216" s="35">
        <v>1</v>
      </c>
      <c r="G216" s="35" t="s">
        <v>1378</v>
      </c>
      <c r="H216" s="35" t="s">
        <v>2943</v>
      </c>
      <c r="I216" s="35" t="s">
        <v>2886</v>
      </c>
      <c r="J216" s="35" t="s">
        <v>19</v>
      </c>
      <c r="K216" s="35" t="s">
        <v>2943</v>
      </c>
      <c r="L216" s="88" t="s">
        <v>2827</v>
      </c>
      <c r="M216" s="35" t="s">
        <v>2821</v>
      </c>
      <c r="N216" s="35" t="s">
        <v>840</v>
      </c>
      <c r="O216" s="35"/>
      <c r="P216" s="35"/>
    </row>
    <row r="217" spans="1:16" ht="54" customHeight="1" x14ac:dyDescent="0.2">
      <c r="A217" s="35">
        <v>216</v>
      </c>
      <c r="B217" s="35" t="s">
        <v>841</v>
      </c>
      <c r="C217" s="35" t="s">
        <v>745</v>
      </c>
      <c r="D217" s="35" t="s">
        <v>18</v>
      </c>
      <c r="E217" s="35" t="s">
        <v>841</v>
      </c>
      <c r="F217" s="35">
        <v>1</v>
      </c>
      <c r="G217" s="35" t="s">
        <v>1378</v>
      </c>
      <c r="H217" s="35" t="s">
        <v>2941</v>
      </c>
      <c r="I217" s="35" t="s">
        <v>2886</v>
      </c>
      <c r="J217" s="35" t="s">
        <v>19</v>
      </c>
      <c r="K217" s="35" t="s">
        <v>2941</v>
      </c>
      <c r="L217" s="88" t="s">
        <v>2827</v>
      </c>
      <c r="M217" s="35" t="s">
        <v>2821</v>
      </c>
      <c r="N217" s="35" t="s">
        <v>843</v>
      </c>
      <c r="O217" s="35"/>
      <c r="P217" s="35"/>
    </row>
    <row r="218" spans="1:16" ht="54" customHeight="1" x14ac:dyDescent="0.2">
      <c r="A218" s="35">
        <v>217</v>
      </c>
      <c r="B218" s="35" t="s">
        <v>844</v>
      </c>
      <c r="C218" s="35" t="s">
        <v>745</v>
      </c>
      <c r="D218" s="35" t="s">
        <v>18</v>
      </c>
      <c r="E218" s="35" t="s">
        <v>844</v>
      </c>
      <c r="F218" s="35">
        <v>1</v>
      </c>
      <c r="G218" s="35" t="s">
        <v>1397</v>
      </c>
      <c r="H218" s="35" t="s">
        <v>2884</v>
      </c>
      <c r="I218" s="35" t="s">
        <v>2882</v>
      </c>
      <c r="J218" s="35" t="s">
        <v>41</v>
      </c>
      <c r="K218" s="35" t="s">
        <v>2884</v>
      </c>
      <c r="L218" s="88" t="s">
        <v>2819</v>
      </c>
      <c r="M218" s="35" t="s">
        <v>2853</v>
      </c>
      <c r="N218" s="35" t="s">
        <v>846</v>
      </c>
      <c r="O218" s="35"/>
      <c r="P218" s="35"/>
    </row>
    <row r="219" spans="1:16" ht="54" customHeight="1" x14ac:dyDescent="0.2">
      <c r="A219" s="35">
        <v>218</v>
      </c>
      <c r="B219" s="35" t="s">
        <v>847</v>
      </c>
      <c r="C219" s="35" t="s">
        <v>745</v>
      </c>
      <c r="D219" s="35" t="s">
        <v>18</v>
      </c>
      <c r="E219" s="35" t="s">
        <v>847</v>
      </c>
      <c r="F219" s="35">
        <v>1</v>
      </c>
      <c r="G219" s="35" t="s">
        <v>1378</v>
      </c>
      <c r="H219" s="35" t="s">
        <v>2884</v>
      </c>
      <c r="I219" s="35" t="s">
        <v>2882</v>
      </c>
      <c r="J219" s="35" t="s">
        <v>41</v>
      </c>
      <c r="K219" s="35" t="s">
        <v>2884</v>
      </c>
      <c r="L219" s="88" t="s">
        <v>2827</v>
      </c>
      <c r="M219" s="35" t="s">
        <v>2821</v>
      </c>
      <c r="N219" s="35" t="s">
        <v>849</v>
      </c>
      <c r="O219" s="35"/>
      <c r="P219" s="35"/>
    </row>
    <row r="220" spans="1:16" ht="54" customHeight="1" x14ac:dyDescent="0.2">
      <c r="A220" s="35">
        <v>219</v>
      </c>
      <c r="B220" s="35" t="s">
        <v>850</v>
      </c>
      <c r="C220" s="35" t="s">
        <v>745</v>
      </c>
      <c r="D220" s="35" t="s">
        <v>18</v>
      </c>
      <c r="E220" s="35" t="s">
        <v>850</v>
      </c>
      <c r="F220" s="35">
        <v>1</v>
      </c>
      <c r="G220" s="35" t="s">
        <v>1559</v>
      </c>
      <c r="H220" s="35" t="s">
        <v>2881</v>
      </c>
      <c r="I220" s="35" t="s">
        <v>2882</v>
      </c>
      <c r="J220" s="35" t="s">
        <v>79</v>
      </c>
      <c r="K220" s="35" t="s">
        <v>2881</v>
      </c>
      <c r="L220" s="88" t="s">
        <v>2835</v>
      </c>
      <c r="M220" s="35" t="s">
        <v>2946</v>
      </c>
      <c r="N220" s="35" t="s">
        <v>852</v>
      </c>
      <c r="O220" s="35"/>
      <c r="P220" s="35"/>
    </row>
    <row r="221" spans="1:16" ht="54" customHeight="1" x14ac:dyDescent="0.2">
      <c r="A221" s="35">
        <v>220</v>
      </c>
      <c r="B221" s="35" t="s">
        <v>853</v>
      </c>
      <c r="C221" s="35" t="s">
        <v>745</v>
      </c>
      <c r="D221" s="35" t="s">
        <v>163</v>
      </c>
      <c r="E221" s="35" t="s">
        <v>853</v>
      </c>
      <c r="F221" s="35">
        <v>1</v>
      </c>
      <c r="G221" s="35" t="s">
        <v>1378</v>
      </c>
      <c r="H221" s="35" t="s">
        <v>2941</v>
      </c>
      <c r="I221" s="35" t="s">
        <v>2886</v>
      </c>
      <c r="J221" s="35" t="s">
        <v>79</v>
      </c>
      <c r="K221" s="35" t="s">
        <v>2941</v>
      </c>
      <c r="L221" s="88" t="s">
        <v>2819</v>
      </c>
      <c r="M221" s="35" t="s">
        <v>2821</v>
      </c>
      <c r="N221" s="35" t="s">
        <v>855</v>
      </c>
      <c r="O221" s="35"/>
      <c r="P221" s="35"/>
    </row>
    <row r="222" spans="1:16" ht="54" customHeight="1" x14ac:dyDescent="0.2">
      <c r="A222" s="35">
        <v>221</v>
      </c>
      <c r="B222" s="35" t="s">
        <v>857</v>
      </c>
      <c r="C222" s="35" t="s">
        <v>745</v>
      </c>
      <c r="D222" s="35" t="s">
        <v>163</v>
      </c>
      <c r="E222" s="35" t="s">
        <v>857</v>
      </c>
      <c r="F222" s="35">
        <v>1</v>
      </c>
      <c r="G222" s="35" t="s">
        <v>1378</v>
      </c>
      <c r="H222" s="35" t="s">
        <v>2941</v>
      </c>
      <c r="I222" s="35" t="s">
        <v>2886</v>
      </c>
      <c r="J222" s="35" t="s">
        <v>19</v>
      </c>
      <c r="K222" s="35" t="s">
        <v>2941</v>
      </c>
      <c r="L222" s="88" t="s">
        <v>2827</v>
      </c>
      <c r="M222" s="35" t="s">
        <v>2821</v>
      </c>
      <c r="N222" s="35" t="s">
        <v>859</v>
      </c>
      <c r="O222" s="35"/>
      <c r="P222" s="35"/>
    </row>
    <row r="223" spans="1:16" ht="54" customHeight="1" x14ac:dyDescent="0.2">
      <c r="A223" s="35">
        <v>222</v>
      </c>
      <c r="B223" s="35" t="s">
        <v>861</v>
      </c>
      <c r="C223" s="35" t="s">
        <v>745</v>
      </c>
      <c r="D223" s="35" t="s">
        <v>163</v>
      </c>
      <c r="E223" s="35" t="s">
        <v>861</v>
      </c>
      <c r="F223" s="35">
        <v>1</v>
      </c>
      <c r="G223" s="35" t="s">
        <v>1378</v>
      </c>
      <c r="H223" s="35" t="s">
        <v>2938</v>
      </c>
      <c r="I223" s="35" t="s">
        <v>2882</v>
      </c>
      <c r="J223" s="35" t="s">
        <v>19</v>
      </c>
      <c r="K223" s="35" t="s">
        <v>2938</v>
      </c>
      <c r="L223" s="88" t="s">
        <v>2827</v>
      </c>
      <c r="M223" s="35" t="s">
        <v>2821</v>
      </c>
      <c r="N223" s="35" t="s">
        <v>863</v>
      </c>
      <c r="O223" s="35"/>
      <c r="P223" s="35"/>
    </row>
    <row r="224" spans="1:16" ht="54" customHeight="1" x14ac:dyDescent="0.2">
      <c r="A224" s="35">
        <v>223</v>
      </c>
      <c r="B224" s="35" t="s">
        <v>865</v>
      </c>
      <c r="C224" s="35" t="s">
        <v>745</v>
      </c>
      <c r="D224" s="35" t="s">
        <v>163</v>
      </c>
      <c r="E224" s="35" t="s">
        <v>865</v>
      </c>
      <c r="F224" s="35">
        <v>1</v>
      </c>
      <c r="G224" s="35" t="s">
        <v>1378</v>
      </c>
      <c r="H224" s="35" t="s">
        <v>2928</v>
      </c>
      <c r="I224" s="35" t="s">
        <v>2882</v>
      </c>
      <c r="J224" s="35" t="s">
        <v>19</v>
      </c>
      <c r="K224" s="35" t="s">
        <v>2928</v>
      </c>
      <c r="L224" s="88" t="s">
        <v>2827</v>
      </c>
      <c r="M224" s="35" t="s">
        <v>2821</v>
      </c>
      <c r="N224" s="35" t="s">
        <v>867</v>
      </c>
      <c r="O224" s="35"/>
      <c r="P224" s="35"/>
    </row>
    <row r="225" spans="1:16" ht="54" customHeight="1" x14ac:dyDescent="0.2">
      <c r="A225" s="35">
        <v>224</v>
      </c>
      <c r="B225" s="35" t="s">
        <v>868</v>
      </c>
      <c r="C225" s="35" t="s">
        <v>745</v>
      </c>
      <c r="D225" s="35" t="s">
        <v>163</v>
      </c>
      <c r="E225" s="35" t="s">
        <v>868</v>
      </c>
      <c r="F225" s="35">
        <v>1</v>
      </c>
      <c r="G225" s="35" t="s">
        <v>1564</v>
      </c>
      <c r="H225" s="35" t="s">
        <v>2943</v>
      </c>
      <c r="I225" s="35" t="s">
        <v>2886</v>
      </c>
      <c r="J225" s="35" t="s">
        <v>412</v>
      </c>
      <c r="K225" s="35" t="s">
        <v>2943</v>
      </c>
      <c r="L225" s="88" t="s">
        <v>2819</v>
      </c>
      <c r="M225" s="35" t="s">
        <v>2854</v>
      </c>
      <c r="N225" s="35" t="s">
        <v>870</v>
      </c>
      <c r="O225" s="35"/>
      <c r="P225" s="35"/>
    </row>
    <row r="226" spans="1:16" ht="54" customHeight="1" x14ac:dyDescent="0.2">
      <c r="A226" s="35">
        <v>225</v>
      </c>
      <c r="B226" s="35" t="s">
        <v>872</v>
      </c>
      <c r="C226" s="35" t="s">
        <v>745</v>
      </c>
      <c r="D226" s="35" t="s">
        <v>163</v>
      </c>
      <c r="E226" s="35" t="s">
        <v>872</v>
      </c>
      <c r="F226" s="35">
        <v>1</v>
      </c>
      <c r="G226" s="35" t="s">
        <v>1509</v>
      </c>
      <c r="H226" s="35" t="s">
        <v>2922</v>
      </c>
      <c r="I226" s="35" t="s">
        <v>2880</v>
      </c>
      <c r="J226" s="35" t="s">
        <v>79</v>
      </c>
      <c r="K226" s="35"/>
      <c r="L226" s="88" t="s">
        <v>2827</v>
      </c>
      <c r="M226" s="35" t="s">
        <v>2936</v>
      </c>
      <c r="N226" s="35" t="s">
        <v>874</v>
      </c>
      <c r="O226" s="35"/>
      <c r="P226" s="35"/>
    </row>
    <row r="227" spans="1:16" ht="54" customHeight="1" x14ac:dyDescent="0.2">
      <c r="A227" s="35">
        <v>226</v>
      </c>
      <c r="B227" s="35" t="s">
        <v>875</v>
      </c>
      <c r="C227" s="35" t="s">
        <v>745</v>
      </c>
      <c r="D227" s="35" t="s">
        <v>163</v>
      </c>
      <c r="E227" s="35" t="s">
        <v>875</v>
      </c>
      <c r="F227" s="35">
        <v>1</v>
      </c>
      <c r="G227" s="35" t="s">
        <v>1564</v>
      </c>
      <c r="H227" s="35" t="s">
        <v>2881</v>
      </c>
      <c r="I227" s="35" t="s">
        <v>2882</v>
      </c>
      <c r="J227" s="35" t="s">
        <v>412</v>
      </c>
      <c r="K227" s="35" t="s">
        <v>2881</v>
      </c>
      <c r="L227" s="88" t="s">
        <v>2819</v>
      </c>
      <c r="M227" s="35" t="s">
        <v>2854</v>
      </c>
      <c r="N227" s="35" t="s">
        <v>878</v>
      </c>
      <c r="O227" s="35"/>
      <c r="P227" s="35"/>
    </row>
    <row r="228" spans="1:16" ht="54" customHeight="1" x14ac:dyDescent="0.2">
      <c r="A228" s="35">
        <v>227</v>
      </c>
      <c r="B228" s="35" t="s">
        <v>880</v>
      </c>
      <c r="C228" s="35" t="s">
        <v>745</v>
      </c>
      <c r="D228" s="35" t="s">
        <v>163</v>
      </c>
      <c r="E228" s="35" t="s">
        <v>880</v>
      </c>
      <c r="F228" s="35">
        <v>1</v>
      </c>
      <c r="G228" s="35" t="s">
        <v>1509</v>
      </c>
      <c r="H228" s="35" t="s">
        <v>2945</v>
      </c>
      <c r="I228" s="35" t="s">
        <v>2882</v>
      </c>
      <c r="J228" s="35" t="s">
        <v>41</v>
      </c>
      <c r="K228" s="35" t="s">
        <v>2945</v>
      </c>
      <c r="L228" s="88" t="s">
        <v>2827</v>
      </c>
      <c r="M228" s="35" t="s">
        <v>2936</v>
      </c>
      <c r="N228" s="35" t="s">
        <v>883</v>
      </c>
      <c r="O228" s="35"/>
      <c r="P228" s="35"/>
    </row>
    <row r="229" spans="1:16" ht="54" customHeight="1" x14ac:dyDescent="0.2">
      <c r="A229" s="35">
        <v>228</v>
      </c>
      <c r="B229" s="35" t="s">
        <v>885</v>
      </c>
      <c r="C229" s="35" t="s">
        <v>745</v>
      </c>
      <c r="D229" s="35" t="s">
        <v>163</v>
      </c>
      <c r="E229" s="35" t="s">
        <v>885</v>
      </c>
      <c r="F229" s="35">
        <v>1</v>
      </c>
      <c r="G229" s="35" t="s">
        <v>1473</v>
      </c>
      <c r="H229" s="35" t="s">
        <v>2943</v>
      </c>
      <c r="I229" s="35" t="s">
        <v>2886</v>
      </c>
      <c r="J229" s="35" t="s">
        <v>356</v>
      </c>
      <c r="K229" s="35" t="s">
        <v>2943</v>
      </c>
      <c r="L229" s="88" t="s">
        <v>2819</v>
      </c>
      <c r="M229" s="35" t="s">
        <v>2855</v>
      </c>
      <c r="N229" s="35" t="s">
        <v>887</v>
      </c>
      <c r="O229" s="35"/>
      <c r="P229" s="35"/>
    </row>
    <row r="230" spans="1:16" ht="54" customHeight="1" x14ac:dyDescent="0.2">
      <c r="A230" s="35">
        <v>229</v>
      </c>
      <c r="B230" s="35" t="s">
        <v>888</v>
      </c>
      <c r="C230" s="35" t="s">
        <v>745</v>
      </c>
      <c r="D230" s="35" t="s">
        <v>163</v>
      </c>
      <c r="E230" s="35" t="s">
        <v>888</v>
      </c>
      <c r="F230" s="35">
        <v>1</v>
      </c>
      <c r="G230" s="35" t="s">
        <v>1414</v>
      </c>
      <c r="H230" s="35" t="s">
        <v>2928</v>
      </c>
      <c r="I230" s="35" t="s">
        <v>2882</v>
      </c>
      <c r="J230" s="35" t="s">
        <v>212</v>
      </c>
      <c r="K230" s="35" t="s">
        <v>2928</v>
      </c>
      <c r="L230" s="88" t="s">
        <v>2827</v>
      </c>
      <c r="M230" s="35" t="s">
        <v>2856</v>
      </c>
      <c r="N230" s="35" t="s">
        <v>890</v>
      </c>
      <c r="O230" s="35"/>
      <c r="P230" s="35"/>
    </row>
    <row r="231" spans="1:16" ht="54" customHeight="1" x14ac:dyDescent="0.2">
      <c r="A231" s="35">
        <v>230</v>
      </c>
      <c r="B231" s="35" t="s">
        <v>892</v>
      </c>
      <c r="C231" s="35" t="s">
        <v>745</v>
      </c>
      <c r="D231" s="35" t="s">
        <v>163</v>
      </c>
      <c r="E231" s="35" t="s">
        <v>892</v>
      </c>
      <c r="F231" s="35">
        <v>1</v>
      </c>
      <c r="G231" s="35" t="s">
        <v>1414</v>
      </c>
      <c r="H231" s="35" t="s">
        <v>2945</v>
      </c>
      <c r="I231" s="35" t="s">
        <v>2882</v>
      </c>
      <c r="J231" s="35" t="s">
        <v>41</v>
      </c>
      <c r="K231" s="35" t="s">
        <v>2945</v>
      </c>
      <c r="L231" s="89" t="s">
        <v>2817</v>
      </c>
      <c r="M231" s="35" t="s">
        <v>2825</v>
      </c>
      <c r="N231" s="35" t="s">
        <v>894</v>
      </c>
      <c r="O231" s="35"/>
      <c r="P231" s="35"/>
    </row>
    <row r="232" spans="1:16" ht="54" customHeight="1" x14ac:dyDescent="0.2">
      <c r="A232" s="35">
        <v>231</v>
      </c>
      <c r="B232" s="35" t="s">
        <v>895</v>
      </c>
      <c r="C232" s="35" t="s">
        <v>745</v>
      </c>
      <c r="D232" s="35" t="s">
        <v>163</v>
      </c>
      <c r="E232" s="35" t="s">
        <v>895</v>
      </c>
      <c r="F232" s="35">
        <v>1</v>
      </c>
      <c r="G232" s="35" t="s">
        <v>1571</v>
      </c>
      <c r="H232" s="35" t="s">
        <v>2944</v>
      </c>
      <c r="I232" s="35" t="s">
        <v>2880</v>
      </c>
      <c r="J232" s="35" t="s">
        <v>41</v>
      </c>
      <c r="K232" s="35"/>
      <c r="L232" s="88" t="s">
        <v>2835</v>
      </c>
      <c r="M232" s="35" t="s">
        <v>2947</v>
      </c>
      <c r="N232" s="35" t="s">
        <v>897</v>
      </c>
      <c r="O232" s="35"/>
      <c r="P232" s="35"/>
    </row>
    <row r="233" spans="1:16" ht="54" customHeight="1" x14ac:dyDescent="0.2">
      <c r="A233" s="35">
        <v>232</v>
      </c>
      <c r="B233" s="35" t="s">
        <v>898</v>
      </c>
      <c r="C233" s="35" t="s">
        <v>745</v>
      </c>
      <c r="D233" s="35" t="s">
        <v>163</v>
      </c>
      <c r="E233" s="35" t="s">
        <v>898</v>
      </c>
      <c r="F233" s="35">
        <v>1</v>
      </c>
      <c r="G233" s="35" t="s">
        <v>1509</v>
      </c>
      <c r="H233" s="35" t="s">
        <v>2922</v>
      </c>
      <c r="I233" s="35" t="s">
        <v>2880</v>
      </c>
      <c r="J233" s="35" t="s">
        <v>79</v>
      </c>
      <c r="K233" s="35"/>
      <c r="L233" s="88" t="s">
        <v>2827</v>
      </c>
      <c r="M233" s="35" t="s">
        <v>2936</v>
      </c>
      <c r="N233" s="35" t="s">
        <v>900</v>
      </c>
      <c r="O233" s="35"/>
      <c r="P233" s="35"/>
    </row>
    <row r="234" spans="1:16" ht="54" customHeight="1" x14ac:dyDescent="0.2">
      <c r="A234" s="35">
        <v>233</v>
      </c>
      <c r="B234" s="35" t="s">
        <v>901</v>
      </c>
      <c r="C234" s="35" t="s">
        <v>745</v>
      </c>
      <c r="D234" s="35" t="s">
        <v>163</v>
      </c>
      <c r="E234" s="35" t="s">
        <v>901</v>
      </c>
      <c r="F234" s="35">
        <v>1</v>
      </c>
      <c r="G234" s="35" t="s">
        <v>1574</v>
      </c>
      <c r="H234" s="35" t="s">
        <v>2941</v>
      </c>
      <c r="I234" s="35" t="s">
        <v>2886</v>
      </c>
      <c r="J234" s="35" t="s">
        <v>41</v>
      </c>
      <c r="K234" s="35" t="s">
        <v>2941</v>
      </c>
      <c r="L234" s="88" t="s">
        <v>2827</v>
      </c>
      <c r="M234" s="35" t="s">
        <v>2948</v>
      </c>
      <c r="N234" s="35" t="s">
        <v>903</v>
      </c>
      <c r="O234" s="35"/>
      <c r="P234" s="35"/>
    </row>
    <row r="235" spans="1:16" ht="54" customHeight="1" x14ac:dyDescent="0.2">
      <c r="A235" s="35">
        <v>234</v>
      </c>
      <c r="B235" s="35" t="s">
        <v>904</v>
      </c>
      <c r="C235" s="35" t="s">
        <v>745</v>
      </c>
      <c r="D235" s="35" t="s">
        <v>163</v>
      </c>
      <c r="E235" s="35" t="s">
        <v>904</v>
      </c>
      <c r="F235" s="35">
        <v>1</v>
      </c>
      <c r="G235" s="35" t="s">
        <v>1477</v>
      </c>
      <c r="H235" s="35" t="s">
        <v>2941</v>
      </c>
      <c r="I235" s="35" t="s">
        <v>2886</v>
      </c>
      <c r="J235" s="35" t="s">
        <v>245</v>
      </c>
      <c r="K235" s="35" t="s">
        <v>2941</v>
      </c>
      <c r="L235" s="88" t="s">
        <v>2835</v>
      </c>
      <c r="M235" s="35" t="s">
        <v>2841</v>
      </c>
      <c r="N235" s="35" t="s">
        <v>1663</v>
      </c>
      <c r="O235" s="35"/>
      <c r="P235" s="35"/>
    </row>
    <row r="236" spans="1:16" ht="54" customHeight="1" x14ac:dyDescent="0.2">
      <c r="A236" s="35">
        <v>235</v>
      </c>
      <c r="B236" s="35" t="s">
        <v>907</v>
      </c>
      <c r="C236" s="35" t="s">
        <v>745</v>
      </c>
      <c r="D236" s="35" t="s">
        <v>163</v>
      </c>
      <c r="E236" s="35" t="s">
        <v>907</v>
      </c>
      <c r="F236" s="35">
        <v>1</v>
      </c>
      <c r="G236" s="35" t="s">
        <v>1509</v>
      </c>
      <c r="H236" s="35" t="s">
        <v>2883</v>
      </c>
      <c r="I236" s="35" t="s">
        <v>2882</v>
      </c>
      <c r="J236" s="35" t="s">
        <v>41</v>
      </c>
      <c r="K236" s="35" t="s">
        <v>2883</v>
      </c>
      <c r="L236" s="88" t="s">
        <v>2827</v>
      </c>
      <c r="M236" s="35" t="s">
        <v>2936</v>
      </c>
      <c r="N236" s="35" t="s">
        <v>909</v>
      </c>
      <c r="O236" s="35"/>
      <c r="P236" s="35"/>
    </row>
    <row r="237" spans="1:16" ht="54" customHeight="1" x14ac:dyDescent="0.2">
      <c r="A237" s="35">
        <v>236</v>
      </c>
      <c r="B237" s="35" t="s">
        <v>911</v>
      </c>
      <c r="C237" s="35" t="s">
        <v>745</v>
      </c>
      <c r="D237" s="35" t="s">
        <v>218</v>
      </c>
      <c r="E237" s="35" t="s">
        <v>911</v>
      </c>
      <c r="F237" s="35">
        <v>1</v>
      </c>
      <c r="G237" s="35" t="s">
        <v>1378</v>
      </c>
      <c r="H237" s="35" t="s">
        <v>2929</v>
      </c>
      <c r="I237" s="35" t="s">
        <v>2886</v>
      </c>
      <c r="J237" s="35" t="s">
        <v>19</v>
      </c>
      <c r="K237" s="35" t="s">
        <v>2929</v>
      </c>
      <c r="L237" s="88" t="s">
        <v>2827</v>
      </c>
      <c r="M237" s="35" t="s">
        <v>2821</v>
      </c>
      <c r="N237" s="35" t="s">
        <v>914</v>
      </c>
      <c r="O237" s="35"/>
      <c r="P237" s="35"/>
    </row>
    <row r="238" spans="1:16" ht="54" customHeight="1" x14ac:dyDescent="0.2">
      <c r="A238" s="35">
        <v>237</v>
      </c>
      <c r="B238" s="35" t="s">
        <v>916</v>
      </c>
      <c r="C238" s="35" t="s">
        <v>745</v>
      </c>
      <c r="D238" s="35" t="s">
        <v>218</v>
      </c>
      <c r="E238" s="35" t="s">
        <v>916</v>
      </c>
      <c r="F238" s="35">
        <v>1</v>
      </c>
      <c r="G238" s="35" t="s">
        <v>1378</v>
      </c>
      <c r="H238" s="35" t="s">
        <v>2929</v>
      </c>
      <c r="I238" s="35" t="s">
        <v>2886</v>
      </c>
      <c r="J238" s="35" t="s">
        <v>19</v>
      </c>
      <c r="K238" s="35" t="s">
        <v>2929</v>
      </c>
      <c r="L238" s="88" t="s">
        <v>2827</v>
      </c>
      <c r="M238" s="35" t="s">
        <v>2821</v>
      </c>
      <c r="N238" s="35" t="s">
        <v>918</v>
      </c>
      <c r="O238" s="35"/>
      <c r="P238" s="35"/>
    </row>
    <row r="239" spans="1:16" ht="54" customHeight="1" x14ac:dyDescent="0.2">
      <c r="A239" s="35">
        <v>238</v>
      </c>
      <c r="B239" s="35" t="s">
        <v>919</v>
      </c>
      <c r="C239" s="35" t="s">
        <v>745</v>
      </c>
      <c r="D239" s="35" t="s">
        <v>218</v>
      </c>
      <c r="E239" s="35" t="s">
        <v>919</v>
      </c>
      <c r="F239" s="35">
        <v>1</v>
      </c>
      <c r="G239" s="35" t="s">
        <v>1460</v>
      </c>
      <c r="H239" s="35" t="s">
        <v>2943</v>
      </c>
      <c r="I239" s="35" t="s">
        <v>2886</v>
      </c>
      <c r="J239" s="35" t="s">
        <v>356</v>
      </c>
      <c r="K239" s="35" t="s">
        <v>2943</v>
      </c>
      <c r="L239" s="88" t="s">
        <v>2819</v>
      </c>
      <c r="M239" s="35" t="s">
        <v>2834</v>
      </c>
      <c r="N239" s="35" t="s">
        <v>922</v>
      </c>
      <c r="O239" s="35"/>
      <c r="P239" s="35"/>
    </row>
    <row r="240" spans="1:16" ht="54" customHeight="1" x14ac:dyDescent="0.2">
      <c r="A240" s="35">
        <v>239</v>
      </c>
      <c r="B240" s="35" t="s">
        <v>924</v>
      </c>
      <c r="C240" s="35" t="s">
        <v>745</v>
      </c>
      <c r="D240" s="35" t="s">
        <v>218</v>
      </c>
      <c r="E240" s="35" t="s">
        <v>924</v>
      </c>
      <c r="F240" s="35">
        <v>1</v>
      </c>
      <c r="G240" s="35" t="s">
        <v>1564</v>
      </c>
      <c r="H240" s="35" t="s">
        <v>2927</v>
      </c>
      <c r="I240" s="35" t="s">
        <v>2882</v>
      </c>
      <c r="J240" s="35" t="s">
        <v>412</v>
      </c>
      <c r="K240" s="35" t="s">
        <v>2927</v>
      </c>
      <c r="L240" s="88" t="s">
        <v>2819</v>
      </c>
      <c r="M240" s="35" t="s">
        <v>2854</v>
      </c>
      <c r="N240" s="35" t="s">
        <v>926</v>
      </c>
      <c r="O240" s="35"/>
      <c r="P240" s="35"/>
    </row>
    <row r="241" spans="1:16" ht="54" customHeight="1" x14ac:dyDescent="0.2">
      <c r="A241" s="35">
        <v>240</v>
      </c>
      <c r="B241" s="35" t="s">
        <v>928</v>
      </c>
      <c r="C241" s="35" t="s">
        <v>745</v>
      </c>
      <c r="D241" s="35" t="s">
        <v>218</v>
      </c>
      <c r="E241" s="35" t="s">
        <v>928</v>
      </c>
      <c r="F241" s="35">
        <v>1</v>
      </c>
      <c r="G241" s="35" t="s">
        <v>1378</v>
      </c>
      <c r="H241" s="35" t="s">
        <v>2929</v>
      </c>
      <c r="I241" s="35" t="s">
        <v>2886</v>
      </c>
      <c r="J241" s="35" t="s">
        <v>19</v>
      </c>
      <c r="K241" s="35" t="s">
        <v>2929</v>
      </c>
      <c r="L241" s="88" t="s">
        <v>2827</v>
      </c>
      <c r="M241" s="35" t="s">
        <v>2821</v>
      </c>
      <c r="N241" s="35" t="s">
        <v>930</v>
      </c>
      <c r="O241" s="35"/>
      <c r="P241" s="35"/>
    </row>
    <row r="242" spans="1:16" ht="54" customHeight="1" x14ac:dyDescent="0.2">
      <c r="A242" s="35">
        <v>241</v>
      </c>
      <c r="B242" s="35" t="s">
        <v>931</v>
      </c>
      <c r="C242" s="35" t="s">
        <v>745</v>
      </c>
      <c r="D242" s="35" t="s">
        <v>218</v>
      </c>
      <c r="E242" s="35" t="s">
        <v>931</v>
      </c>
      <c r="F242" s="35">
        <v>1</v>
      </c>
      <c r="G242" s="35" t="s">
        <v>1378</v>
      </c>
      <c r="H242" s="35" t="s">
        <v>2938</v>
      </c>
      <c r="I242" s="35" t="s">
        <v>2882</v>
      </c>
      <c r="J242" s="35" t="s">
        <v>19</v>
      </c>
      <c r="K242" s="35" t="s">
        <v>2938</v>
      </c>
      <c r="L242" s="88" t="s">
        <v>2827</v>
      </c>
      <c r="M242" s="35" t="s">
        <v>2821</v>
      </c>
      <c r="N242" s="35" t="s">
        <v>933</v>
      </c>
      <c r="O242" s="35"/>
      <c r="P242" s="35"/>
    </row>
    <row r="243" spans="1:16" ht="54" customHeight="1" x14ac:dyDescent="0.2">
      <c r="A243" s="35">
        <v>242</v>
      </c>
      <c r="B243" s="35" t="s">
        <v>935</v>
      </c>
      <c r="C243" s="35" t="s">
        <v>745</v>
      </c>
      <c r="D243" s="35" t="s">
        <v>218</v>
      </c>
      <c r="E243" s="35" t="s">
        <v>935</v>
      </c>
      <c r="F243" s="35">
        <v>1</v>
      </c>
      <c r="G243" s="35" t="s">
        <v>1574</v>
      </c>
      <c r="H243" s="35" t="s">
        <v>2881</v>
      </c>
      <c r="I243" s="35" t="s">
        <v>2882</v>
      </c>
      <c r="J243" s="35" t="s">
        <v>245</v>
      </c>
      <c r="K243" s="35" t="s">
        <v>2881</v>
      </c>
      <c r="L243" s="88" t="s">
        <v>2827</v>
      </c>
      <c r="M243" s="35" t="s">
        <v>2948</v>
      </c>
      <c r="N243" s="35" t="s">
        <v>937</v>
      </c>
      <c r="O243" s="35"/>
      <c r="P243" s="35"/>
    </row>
    <row r="244" spans="1:16" ht="54" customHeight="1" x14ac:dyDescent="0.2">
      <c r="A244" s="35">
        <v>243</v>
      </c>
      <c r="B244" s="35" t="s">
        <v>938</v>
      </c>
      <c r="C244" s="35" t="s">
        <v>745</v>
      </c>
      <c r="D244" s="35" t="s">
        <v>218</v>
      </c>
      <c r="E244" s="35" t="s">
        <v>938</v>
      </c>
      <c r="F244" s="35">
        <v>1</v>
      </c>
      <c r="G244" s="35" t="s">
        <v>1483</v>
      </c>
      <c r="H244" s="35" t="s">
        <v>2943</v>
      </c>
      <c r="I244" s="35" t="s">
        <v>2886</v>
      </c>
      <c r="J244" s="35" t="s">
        <v>356</v>
      </c>
      <c r="K244" s="35" t="s">
        <v>2943</v>
      </c>
      <c r="L244" s="88" t="s">
        <v>2819</v>
      </c>
      <c r="M244" s="35" t="s">
        <v>2843</v>
      </c>
      <c r="N244" s="35" t="s">
        <v>941</v>
      </c>
      <c r="O244" s="35"/>
      <c r="P244" s="35"/>
    </row>
    <row r="245" spans="1:16" ht="54" customHeight="1" x14ac:dyDescent="0.2">
      <c r="A245" s="35">
        <v>244</v>
      </c>
      <c r="B245" s="35" t="s">
        <v>943</v>
      </c>
      <c r="C245" s="35" t="s">
        <v>745</v>
      </c>
      <c r="D245" s="35" t="s">
        <v>244</v>
      </c>
      <c r="E245" s="35" t="s">
        <v>943</v>
      </c>
      <c r="F245" s="35">
        <v>2</v>
      </c>
      <c r="G245" s="35" t="s">
        <v>1583</v>
      </c>
      <c r="H245" s="35" t="s">
        <v>2941</v>
      </c>
      <c r="I245" s="35" t="s">
        <v>2886</v>
      </c>
      <c r="J245" s="35" t="s">
        <v>40</v>
      </c>
      <c r="K245" s="35" t="s">
        <v>2941</v>
      </c>
      <c r="L245" s="88" t="s">
        <v>2835</v>
      </c>
      <c r="M245" s="35" t="s">
        <v>2949</v>
      </c>
      <c r="N245" s="35" t="s">
        <v>946</v>
      </c>
      <c r="O245" s="35"/>
      <c r="P245" s="35"/>
    </row>
    <row r="246" spans="1:16" ht="54" customHeight="1" x14ac:dyDescent="0.2">
      <c r="A246" s="35">
        <v>245</v>
      </c>
      <c r="B246" s="35" t="s">
        <v>948</v>
      </c>
      <c r="C246" s="35" t="s">
        <v>745</v>
      </c>
      <c r="D246" s="35" t="s">
        <v>244</v>
      </c>
      <c r="E246" s="35" t="s">
        <v>948</v>
      </c>
      <c r="F246" s="35">
        <v>2</v>
      </c>
      <c r="G246" s="35" t="s">
        <v>1378</v>
      </c>
      <c r="H246" s="35" t="s">
        <v>2943</v>
      </c>
      <c r="I246" s="35" t="s">
        <v>2886</v>
      </c>
      <c r="J246" s="35" t="s">
        <v>19</v>
      </c>
      <c r="K246" s="35" t="s">
        <v>2943</v>
      </c>
      <c r="L246" s="88" t="s">
        <v>2827</v>
      </c>
      <c r="M246" s="35" t="s">
        <v>2821</v>
      </c>
      <c r="N246" s="35" t="s">
        <v>951</v>
      </c>
      <c r="O246" s="35"/>
      <c r="P246" s="35"/>
    </row>
    <row r="247" spans="1:16" ht="54" customHeight="1" x14ac:dyDescent="0.2">
      <c r="A247" s="35">
        <v>246</v>
      </c>
      <c r="B247" s="35" t="s">
        <v>953</v>
      </c>
      <c r="C247" s="35" t="s">
        <v>745</v>
      </c>
      <c r="D247" s="35" t="s">
        <v>244</v>
      </c>
      <c r="E247" s="35" t="s">
        <v>953</v>
      </c>
      <c r="F247" s="35">
        <v>2</v>
      </c>
      <c r="G247" s="35" t="s">
        <v>1397</v>
      </c>
      <c r="H247" s="35" t="s">
        <v>2945</v>
      </c>
      <c r="I247" s="35" t="s">
        <v>2882</v>
      </c>
      <c r="J247" s="35" t="s">
        <v>41</v>
      </c>
      <c r="K247" s="35" t="s">
        <v>2945</v>
      </c>
      <c r="L247" s="88" t="s">
        <v>2819</v>
      </c>
      <c r="M247" s="35" t="s">
        <v>2822</v>
      </c>
      <c r="N247" s="35" t="s">
        <v>956</v>
      </c>
      <c r="O247" s="35"/>
      <c r="P247" s="35"/>
    </row>
    <row r="248" spans="1:16" ht="54" customHeight="1" x14ac:dyDescent="0.2">
      <c r="A248" s="35">
        <v>247</v>
      </c>
      <c r="B248" s="35" t="s">
        <v>958</v>
      </c>
      <c r="C248" s="35" t="s">
        <v>745</v>
      </c>
      <c r="D248" s="35" t="s">
        <v>244</v>
      </c>
      <c r="E248" s="35" t="s">
        <v>958</v>
      </c>
      <c r="F248" s="35">
        <v>2</v>
      </c>
      <c r="G248" s="35" t="s">
        <v>1378</v>
      </c>
      <c r="H248" s="35" t="s">
        <v>2940</v>
      </c>
      <c r="I248" s="35" t="s">
        <v>2882</v>
      </c>
      <c r="J248" s="35" t="s">
        <v>19</v>
      </c>
      <c r="K248" s="35" t="s">
        <v>2940</v>
      </c>
      <c r="L248" s="88" t="s">
        <v>2827</v>
      </c>
      <c r="M248" s="35" t="s">
        <v>2821</v>
      </c>
      <c r="N248" s="35" t="s">
        <v>961</v>
      </c>
      <c r="O248" s="35"/>
      <c r="P248" s="35"/>
    </row>
    <row r="249" spans="1:16" ht="54" customHeight="1" x14ac:dyDescent="0.2">
      <c r="A249" s="35">
        <v>248</v>
      </c>
      <c r="B249" s="35" t="s">
        <v>963</v>
      </c>
      <c r="C249" s="35" t="s">
        <v>745</v>
      </c>
      <c r="D249" s="35" t="s">
        <v>258</v>
      </c>
      <c r="E249" s="35" t="s">
        <v>963</v>
      </c>
      <c r="F249" s="35">
        <v>1</v>
      </c>
      <c r="G249" s="35" t="s">
        <v>1414</v>
      </c>
      <c r="H249" s="35" t="s">
        <v>2941</v>
      </c>
      <c r="I249" s="35" t="s">
        <v>2886</v>
      </c>
      <c r="J249" s="35" t="s">
        <v>212</v>
      </c>
      <c r="K249" s="35" t="s">
        <v>2941</v>
      </c>
      <c r="L249" s="88" t="s">
        <v>2827</v>
      </c>
      <c r="M249" s="35" t="s">
        <v>2825</v>
      </c>
      <c r="N249" s="35" t="s">
        <v>966</v>
      </c>
      <c r="O249" s="35"/>
      <c r="P249" s="35"/>
    </row>
    <row r="250" spans="1:16" ht="54" customHeight="1" x14ac:dyDescent="0.2">
      <c r="A250" s="35">
        <v>249</v>
      </c>
      <c r="B250" s="35" t="s">
        <v>968</v>
      </c>
      <c r="C250" s="35" t="s">
        <v>745</v>
      </c>
      <c r="D250" s="35" t="s">
        <v>258</v>
      </c>
      <c r="E250" s="35" t="s">
        <v>968</v>
      </c>
      <c r="F250" s="35">
        <v>0</v>
      </c>
      <c r="G250" s="35"/>
      <c r="H250" s="35" t="s">
        <v>2941</v>
      </c>
      <c r="I250" s="35" t="s">
        <v>2886</v>
      </c>
      <c r="J250" s="35" t="s">
        <v>41</v>
      </c>
      <c r="K250" s="35" t="s">
        <v>2941</v>
      </c>
      <c r="L250" s="90" t="s">
        <v>2823</v>
      </c>
      <c r="M250" s="35" t="s">
        <v>2857</v>
      </c>
      <c r="N250" s="35" t="s">
        <v>970</v>
      </c>
      <c r="O250" s="35"/>
      <c r="P250" s="35"/>
    </row>
    <row r="251" spans="1:16" ht="54" customHeight="1" x14ac:dyDescent="0.2">
      <c r="A251" s="35">
        <v>250</v>
      </c>
      <c r="B251" s="35" t="s">
        <v>972</v>
      </c>
      <c r="C251" s="35" t="s">
        <v>973</v>
      </c>
      <c r="D251" s="35" t="s">
        <v>18</v>
      </c>
      <c r="E251" s="35" t="s">
        <v>972</v>
      </c>
      <c r="F251" s="35">
        <v>1</v>
      </c>
      <c r="G251" s="35" t="s">
        <v>1378</v>
      </c>
      <c r="H251" s="35" t="s">
        <v>2950</v>
      </c>
      <c r="I251" s="35" t="s">
        <v>2886</v>
      </c>
      <c r="J251" s="35" t="s">
        <v>19</v>
      </c>
      <c r="K251" s="35" t="s">
        <v>2950</v>
      </c>
      <c r="L251" s="88" t="s">
        <v>2827</v>
      </c>
      <c r="M251" s="35" t="s">
        <v>2821</v>
      </c>
      <c r="N251" s="35" t="s">
        <v>975</v>
      </c>
      <c r="O251" s="35"/>
      <c r="P251" s="35"/>
    </row>
    <row r="252" spans="1:16" ht="54" customHeight="1" x14ac:dyDescent="0.2">
      <c r="A252" s="35">
        <v>251</v>
      </c>
      <c r="B252" s="35" t="s">
        <v>977</v>
      </c>
      <c r="C252" s="35" t="s">
        <v>973</v>
      </c>
      <c r="D252" s="35" t="s">
        <v>18</v>
      </c>
      <c r="E252" s="35" t="s">
        <v>977</v>
      </c>
      <c r="F252" s="35">
        <v>1</v>
      </c>
      <c r="G252" s="35" t="s">
        <v>1378</v>
      </c>
      <c r="H252" s="35" t="s">
        <v>2938</v>
      </c>
      <c r="I252" s="35" t="s">
        <v>2882</v>
      </c>
      <c r="J252" s="35" t="s">
        <v>19</v>
      </c>
      <c r="K252" s="35" t="s">
        <v>2938</v>
      </c>
      <c r="L252" s="88" t="s">
        <v>2827</v>
      </c>
      <c r="M252" s="35" t="s">
        <v>2821</v>
      </c>
      <c r="N252" s="35" t="s">
        <v>979</v>
      </c>
      <c r="O252" s="35"/>
      <c r="P252" s="35"/>
    </row>
    <row r="253" spans="1:16" ht="54" customHeight="1" x14ac:dyDescent="0.2">
      <c r="A253" s="35">
        <v>252</v>
      </c>
      <c r="B253" s="35" t="s">
        <v>981</v>
      </c>
      <c r="C253" s="35" t="s">
        <v>973</v>
      </c>
      <c r="D253" s="35" t="s">
        <v>18</v>
      </c>
      <c r="E253" s="35" t="s">
        <v>981</v>
      </c>
      <c r="F253" s="35">
        <v>1</v>
      </c>
      <c r="G253" s="35" t="s">
        <v>1378</v>
      </c>
      <c r="H253" s="35" t="s">
        <v>19</v>
      </c>
      <c r="I253" s="35" t="s">
        <v>2880</v>
      </c>
      <c r="J253" s="35" t="s">
        <v>19</v>
      </c>
      <c r="K253" s="35"/>
      <c r="L253" s="88" t="s">
        <v>2827</v>
      </c>
      <c r="M253" s="35" t="s">
        <v>2821</v>
      </c>
      <c r="N253" s="35" t="s">
        <v>984</v>
      </c>
      <c r="O253" s="35"/>
      <c r="P253" s="35"/>
    </row>
    <row r="254" spans="1:16" ht="54" customHeight="1" x14ac:dyDescent="0.2">
      <c r="A254" s="35">
        <v>253</v>
      </c>
      <c r="B254" s="35" t="s">
        <v>986</v>
      </c>
      <c r="C254" s="35" t="s">
        <v>973</v>
      </c>
      <c r="D254" s="35" t="s">
        <v>18</v>
      </c>
      <c r="E254" s="35" t="s">
        <v>986</v>
      </c>
      <c r="F254" s="35">
        <v>1</v>
      </c>
      <c r="G254" s="35" t="s">
        <v>1589</v>
      </c>
      <c r="H254" s="35" t="s">
        <v>19</v>
      </c>
      <c r="I254" s="35" t="s">
        <v>2880</v>
      </c>
      <c r="J254" s="35" t="s">
        <v>513</v>
      </c>
      <c r="K254" s="35"/>
      <c r="L254" s="88" t="s">
        <v>2835</v>
      </c>
      <c r="M254" s="35" t="s">
        <v>2951</v>
      </c>
      <c r="N254" s="35" t="s">
        <v>988</v>
      </c>
      <c r="O254" s="35"/>
      <c r="P254" s="35"/>
    </row>
    <row r="255" spans="1:16" ht="54" customHeight="1" x14ac:dyDescent="0.2">
      <c r="A255" s="35">
        <v>254</v>
      </c>
      <c r="B255" s="35" t="s">
        <v>989</v>
      </c>
      <c r="C255" s="35" t="s">
        <v>973</v>
      </c>
      <c r="D255" s="35" t="s">
        <v>18</v>
      </c>
      <c r="E255" s="35" t="s">
        <v>989</v>
      </c>
      <c r="F255" s="35">
        <v>1</v>
      </c>
      <c r="G255" s="35" t="s">
        <v>1378</v>
      </c>
      <c r="H255" s="35" t="s">
        <v>19</v>
      </c>
      <c r="I255" s="35" t="s">
        <v>2880</v>
      </c>
      <c r="J255" s="35" t="s">
        <v>19</v>
      </c>
      <c r="K255" s="35"/>
      <c r="L255" s="88" t="s">
        <v>2827</v>
      </c>
      <c r="M255" s="35" t="s">
        <v>2821</v>
      </c>
      <c r="N255" s="35" t="s">
        <v>991</v>
      </c>
      <c r="O255" s="35"/>
      <c r="P255" s="35"/>
    </row>
    <row r="256" spans="1:16" ht="54" customHeight="1" x14ac:dyDescent="0.2">
      <c r="A256" s="35">
        <v>255</v>
      </c>
      <c r="B256" s="35" t="s">
        <v>992</v>
      </c>
      <c r="C256" s="35" t="s">
        <v>973</v>
      </c>
      <c r="D256" s="35" t="s">
        <v>18</v>
      </c>
      <c r="E256" s="35" t="s">
        <v>992</v>
      </c>
      <c r="F256" s="35">
        <v>1</v>
      </c>
      <c r="G256" s="35" t="s">
        <v>1378</v>
      </c>
      <c r="H256" s="35" t="s">
        <v>2945</v>
      </c>
      <c r="I256" s="35" t="s">
        <v>2882</v>
      </c>
      <c r="J256" s="35" t="s">
        <v>19</v>
      </c>
      <c r="K256" s="35" t="s">
        <v>2945</v>
      </c>
      <c r="L256" s="88" t="s">
        <v>2827</v>
      </c>
      <c r="M256" s="35" t="s">
        <v>2821</v>
      </c>
      <c r="N256" s="35" t="s">
        <v>994</v>
      </c>
      <c r="O256" s="35"/>
      <c r="P256" s="35"/>
    </row>
    <row r="257" spans="1:16" ht="54" customHeight="1" x14ac:dyDescent="0.2">
      <c r="A257" s="35">
        <v>256</v>
      </c>
      <c r="B257" s="35" t="s">
        <v>996</v>
      </c>
      <c r="C257" s="35" t="s">
        <v>973</v>
      </c>
      <c r="D257" s="35" t="s">
        <v>18</v>
      </c>
      <c r="E257" s="35" t="s">
        <v>996</v>
      </c>
      <c r="F257" s="35">
        <v>1</v>
      </c>
      <c r="G257" s="35" t="s">
        <v>1378</v>
      </c>
      <c r="H257" s="35" t="s">
        <v>2883</v>
      </c>
      <c r="I257" s="35" t="s">
        <v>2882</v>
      </c>
      <c r="J257" s="35" t="s">
        <v>19</v>
      </c>
      <c r="K257" s="35" t="s">
        <v>2883</v>
      </c>
      <c r="L257" s="88" t="s">
        <v>2827</v>
      </c>
      <c r="M257" s="35" t="s">
        <v>2821</v>
      </c>
      <c r="N257" s="35" t="s">
        <v>998</v>
      </c>
      <c r="O257" s="35"/>
      <c r="P257" s="35"/>
    </row>
    <row r="258" spans="1:16" ht="54" customHeight="1" x14ac:dyDescent="0.2">
      <c r="A258" s="35">
        <v>257</v>
      </c>
      <c r="B258" s="35" t="s">
        <v>1000</v>
      </c>
      <c r="C258" s="35" t="s">
        <v>973</v>
      </c>
      <c r="D258" s="35" t="s">
        <v>18</v>
      </c>
      <c r="E258" s="35" t="s">
        <v>1000</v>
      </c>
      <c r="F258" s="35">
        <v>1</v>
      </c>
      <c r="G258" s="35" t="s">
        <v>1378</v>
      </c>
      <c r="H258" s="35" t="s">
        <v>19</v>
      </c>
      <c r="I258" s="35" t="s">
        <v>2880</v>
      </c>
      <c r="J258" s="35" t="s">
        <v>19</v>
      </c>
      <c r="K258" s="35"/>
      <c r="L258" s="88" t="s">
        <v>2827</v>
      </c>
      <c r="M258" s="35" t="s">
        <v>2821</v>
      </c>
      <c r="N258" s="35" t="s">
        <v>1002</v>
      </c>
      <c r="O258" s="35"/>
      <c r="P258" s="35"/>
    </row>
    <row r="259" spans="1:16" ht="54" customHeight="1" x14ac:dyDescent="0.2">
      <c r="A259" s="35">
        <v>258</v>
      </c>
      <c r="B259" s="35" t="s">
        <v>1003</v>
      </c>
      <c r="C259" s="35" t="s">
        <v>973</v>
      </c>
      <c r="D259" s="35" t="s">
        <v>18</v>
      </c>
      <c r="E259" s="35" t="s">
        <v>1003</v>
      </c>
      <c r="F259" s="35">
        <v>1</v>
      </c>
      <c r="G259" s="35" t="s">
        <v>1378</v>
      </c>
      <c r="H259" s="35" t="s">
        <v>2928</v>
      </c>
      <c r="I259" s="35" t="s">
        <v>2882</v>
      </c>
      <c r="J259" s="35" t="s">
        <v>19</v>
      </c>
      <c r="K259" s="35" t="s">
        <v>2928</v>
      </c>
      <c r="L259" s="88" t="s">
        <v>2827</v>
      </c>
      <c r="M259" s="35" t="s">
        <v>2821</v>
      </c>
      <c r="N259" s="35" t="s">
        <v>1005</v>
      </c>
      <c r="O259" s="35"/>
      <c r="P259" s="35"/>
    </row>
    <row r="260" spans="1:16" ht="54" customHeight="1" x14ac:dyDescent="0.2">
      <c r="A260" s="35">
        <v>259</v>
      </c>
      <c r="B260" s="35" t="s">
        <v>1007</v>
      </c>
      <c r="C260" s="35" t="s">
        <v>973</v>
      </c>
      <c r="D260" s="35" t="s">
        <v>18</v>
      </c>
      <c r="E260" s="35" t="s">
        <v>1007</v>
      </c>
      <c r="F260" s="35">
        <v>1</v>
      </c>
      <c r="G260" s="35" t="s">
        <v>1378</v>
      </c>
      <c r="H260" s="35" t="s">
        <v>2927</v>
      </c>
      <c r="I260" s="35" t="s">
        <v>2882</v>
      </c>
      <c r="J260" s="35" t="s">
        <v>40</v>
      </c>
      <c r="K260" s="35" t="s">
        <v>2927</v>
      </c>
      <c r="L260" s="89" t="s">
        <v>2817</v>
      </c>
      <c r="M260" s="35" t="s">
        <v>2818</v>
      </c>
      <c r="N260" s="35" t="s">
        <v>1009</v>
      </c>
      <c r="O260" s="35"/>
      <c r="P260" s="35"/>
    </row>
    <row r="261" spans="1:16" ht="54" customHeight="1" x14ac:dyDescent="0.2">
      <c r="A261" s="35">
        <v>260</v>
      </c>
      <c r="B261" s="35" t="s">
        <v>1011</v>
      </c>
      <c r="C261" s="35" t="s">
        <v>973</v>
      </c>
      <c r="D261" s="35" t="s">
        <v>18</v>
      </c>
      <c r="E261" s="35" t="s">
        <v>1011</v>
      </c>
      <c r="F261" s="35">
        <v>1</v>
      </c>
      <c r="G261" s="35" t="s">
        <v>1385</v>
      </c>
      <c r="H261" s="35" t="s">
        <v>40</v>
      </c>
      <c r="I261" s="35" t="s">
        <v>2880</v>
      </c>
      <c r="J261" s="35" t="s">
        <v>40</v>
      </c>
      <c r="K261" s="35"/>
      <c r="L261" s="88" t="s">
        <v>2819</v>
      </c>
      <c r="M261" s="35" t="s">
        <v>2820</v>
      </c>
      <c r="N261" s="35" t="s">
        <v>1013</v>
      </c>
      <c r="O261" s="35"/>
      <c r="P261" s="35"/>
    </row>
    <row r="262" spans="1:16" ht="54" customHeight="1" x14ac:dyDescent="0.2">
      <c r="A262" s="35">
        <v>261</v>
      </c>
      <c r="B262" s="35" t="s">
        <v>1014</v>
      </c>
      <c r="C262" s="35" t="s">
        <v>973</v>
      </c>
      <c r="D262" s="35" t="s">
        <v>18</v>
      </c>
      <c r="E262" s="35" t="s">
        <v>1014</v>
      </c>
      <c r="F262" s="35">
        <v>1</v>
      </c>
      <c r="G262" s="35" t="s">
        <v>1378</v>
      </c>
      <c r="H262" s="35" t="s">
        <v>2926</v>
      </c>
      <c r="I262" s="35" t="s">
        <v>2880</v>
      </c>
      <c r="J262" s="35" t="s">
        <v>64</v>
      </c>
      <c r="K262" s="35"/>
      <c r="L262" s="88" t="s">
        <v>2819</v>
      </c>
      <c r="M262" s="35" t="s">
        <v>2821</v>
      </c>
      <c r="N262" s="35" t="s">
        <v>1016</v>
      </c>
      <c r="O262" s="35"/>
      <c r="P262" s="35"/>
    </row>
    <row r="263" spans="1:16" ht="54" customHeight="1" x14ac:dyDescent="0.2">
      <c r="A263" s="35">
        <v>262</v>
      </c>
      <c r="B263" s="35" t="s">
        <v>1017</v>
      </c>
      <c r="C263" s="35" t="s">
        <v>973</v>
      </c>
      <c r="D263" s="35" t="s">
        <v>18</v>
      </c>
      <c r="E263" s="35" t="s">
        <v>1017</v>
      </c>
      <c r="F263" s="35">
        <v>1</v>
      </c>
      <c r="G263" s="35" t="s">
        <v>1378</v>
      </c>
      <c r="H263" s="35" t="s">
        <v>2927</v>
      </c>
      <c r="I263" s="35" t="s">
        <v>2882</v>
      </c>
      <c r="J263" s="35" t="s">
        <v>19</v>
      </c>
      <c r="K263" s="35" t="s">
        <v>2927</v>
      </c>
      <c r="L263" s="88" t="s">
        <v>2827</v>
      </c>
      <c r="M263" s="35" t="s">
        <v>2821</v>
      </c>
      <c r="N263" s="35" t="s">
        <v>1019</v>
      </c>
      <c r="O263" s="35"/>
      <c r="P263" s="35"/>
    </row>
    <row r="264" spans="1:16" ht="54" customHeight="1" x14ac:dyDescent="0.2">
      <c r="A264" s="35">
        <v>263</v>
      </c>
      <c r="B264" s="35" t="s">
        <v>1020</v>
      </c>
      <c r="C264" s="35" t="s">
        <v>973</v>
      </c>
      <c r="D264" s="35" t="s">
        <v>18</v>
      </c>
      <c r="E264" s="35" t="s">
        <v>1020</v>
      </c>
      <c r="F264" s="35">
        <v>1</v>
      </c>
      <c r="G264" s="35" t="s">
        <v>1378</v>
      </c>
      <c r="H264" s="35" t="s">
        <v>2950</v>
      </c>
      <c r="I264" s="35" t="s">
        <v>2886</v>
      </c>
      <c r="J264" s="35" t="s">
        <v>19</v>
      </c>
      <c r="K264" s="35" t="s">
        <v>2950</v>
      </c>
      <c r="L264" s="88" t="s">
        <v>2827</v>
      </c>
      <c r="M264" s="35" t="s">
        <v>2821</v>
      </c>
      <c r="N264" s="35" t="s">
        <v>1022</v>
      </c>
      <c r="O264" s="35"/>
      <c r="P264" s="35"/>
    </row>
    <row r="265" spans="1:16" ht="54" customHeight="1" x14ac:dyDescent="0.2">
      <c r="A265" s="35">
        <v>264</v>
      </c>
      <c r="B265" s="35" t="s">
        <v>411</v>
      </c>
      <c r="C265" s="35" t="s">
        <v>973</v>
      </c>
      <c r="D265" s="35" t="s">
        <v>18</v>
      </c>
      <c r="E265" s="35" t="s">
        <v>411</v>
      </c>
      <c r="F265" s="35">
        <v>0</v>
      </c>
      <c r="G265" s="35"/>
      <c r="H265" s="35" t="s">
        <v>19</v>
      </c>
      <c r="I265" s="35" t="s">
        <v>2880</v>
      </c>
      <c r="J265" s="35" t="s">
        <v>412</v>
      </c>
      <c r="K265" s="35"/>
      <c r="L265" s="88" t="s">
        <v>2819</v>
      </c>
      <c r="M265" s="35" t="s">
        <v>2858</v>
      </c>
      <c r="N265" s="35" t="s">
        <v>1025</v>
      </c>
      <c r="O265" s="35"/>
      <c r="P265" s="35"/>
    </row>
    <row r="266" spans="1:16" ht="54" customHeight="1" x14ac:dyDescent="0.2">
      <c r="A266" s="35">
        <v>265</v>
      </c>
      <c r="B266" s="35" t="s">
        <v>1027</v>
      </c>
      <c r="C266" s="35" t="s">
        <v>973</v>
      </c>
      <c r="D266" s="35" t="s">
        <v>18</v>
      </c>
      <c r="E266" s="35" t="s">
        <v>1027</v>
      </c>
      <c r="F266" s="35">
        <v>1</v>
      </c>
      <c r="G266" s="35" t="s">
        <v>1378</v>
      </c>
      <c r="H266" s="35" t="s">
        <v>2950</v>
      </c>
      <c r="I266" s="35" t="s">
        <v>2886</v>
      </c>
      <c r="J266" s="35" t="s">
        <v>19</v>
      </c>
      <c r="K266" s="35" t="s">
        <v>2950</v>
      </c>
      <c r="L266" s="88" t="s">
        <v>2827</v>
      </c>
      <c r="M266" s="35" t="s">
        <v>2821</v>
      </c>
      <c r="N266" s="35" t="s">
        <v>1029</v>
      </c>
      <c r="O266" s="35"/>
      <c r="P266" s="35"/>
    </row>
    <row r="267" spans="1:16" ht="54" customHeight="1" x14ac:dyDescent="0.2">
      <c r="A267" s="35">
        <v>266</v>
      </c>
      <c r="B267" s="35" t="s">
        <v>1030</v>
      </c>
      <c r="C267" s="35" t="s">
        <v>973</v>
      </c>
      <c r="D267" s="35" t="s">
        <v>18</v>
      </c>
      <c r="E267" s="35" t="s">
        <v>1030</v>
      </c>
      <c r="F267" s="35">
        <v>1</v>
      </c>
      <c r="G267" s="35" t="s">
        <v>1599</v>
      </c>
      <c r="H267" s="35" t="s">
        <v>19</v>
      </c>
      <c r="I267" s="35" t="s">
        <v>2880</v>
      </c>
      <c r="J267" s="35" t="s">
        <v>513</v>
      </c>
      <c r="K267" s="35"/>
      <c r="L267" s="88" t="s">
        <v>2835</v>
      </c>
      <c r="M267" s="35" t="s">
        <v>2952</v>
      </c>
      <c r="N267" s="35" t="s">
        <v>1032</v>
      </c>
      <c r="O267" s="35"/>
      <c r="P267" s="35"/>
    </row>
    <row r="268" spans="1:16" ht="54" customHeight="1" x14ac:dyDescent="0.2">
      <c r="A268" s="35">
        <v>267</v>
      </c>
      <c r="B268" s="35" t="s">
        <v>1033</v>
      </c>
      <c r="C268" s="35" t="s">
        <v>973</v>
      </c>
      <c r="D268" s="35" t="s">
        <v>18</v>
      </c>
      <c r="E268" s="35" t="s">
        <v>1033</v>
      </c>
      <c r="F268" s="35">
        <v>1</v>
      </c>
      <c r="G268" s="35" t="s">
        <v>1483</v>
      </c>
      <c r="H268" s="35" t="s">
        <v>558</v>
      </c>
      <c r="I268" s="35" t="s">
        <v>2880</v>
      </c>
      <c r="J268" s="35" t="s">
        <v>356</v>
      </c>
      <c r="K268" s="35"/>
      <c r="L268" s="88" t="s">
        <v>2819</v>
      </c>
      <c r="M268" s="35" t="s">
        <v>2859</v>
      </c>
      <c r="N268" s="35" t="s">
        <v>1035</v>
      </c>
      <c r="O268" s="35"/>
      <c r="P268" s="35"/>
    </row>
    <row r="269" spans="1:16" ht="54" customHeight="1" x14ac:dyDescent="0.2">
      <c r="A269" s="35">
        <v>268</v>
      </c>
      <c r="B269" s="35" t="s">
        <v>1036</v>
      </c>
      <c r="C269" s="35" t="s">
        <v>973</v>
      </c>
      <c r="D269" s="35" t="s">
        <v>18</v>
      </c>
      <c r="E269" s="35" t="s">
        <v>1036</v>
      </c>
      <c r="F269" s="35">
        <v>1</v>
      </c>
      <c r="G269" s="35" t="s">
        <v>1378</v>
      </c>
      <c r="H269" s="35" t="s">
        <v>2950</v>
      </c>
      <c r="I269" s="35" t="s">
        <v>2886</v>
      </c>
      <c r="J269" s="35" t="s">
        <v>19</v>
      </c>
      <c r="K269" s="35" t="s">
        <v>2950</v>
      </c>
      <c r="L269" s="88" t="s">
        <v>2827</v>
      </c>
      <c r="M269" s="35" t="s">
        <v>2821</v>
      </c>
      <c r="N269" s="35" t="s">
        <v>1038</v>
      </c>
      <c r="O269" s="35"/>
      <c r="P269" s="35"/>
    </row>
    <row r="270" spans="1:16" ht="54" customHeight="1" x14ac:dyDescent="0.2">
      <c r="A270" s="35">
        <v>269</v>
      </c>
      <c r="B270" s="35" t="s">
        <v>1039</v>
      </c>
      <c r="C270" s="35" t="s">
        <v>973</v>
      </c>
      <c r="D270" s="35" t="s">
        <v>18</v>
      </c>
      <c r="E270" s="35" t="s">
        <v>1039</v>
      </c>
      <c r="F270" s="35">
        <v>1</v>
      </c>
      <c r="G270" s="35" t="s">
        <v>1378</v>
      </c>
      <c r="H270" s="35" t="s">
        <v>2927</v>
      </c>
      <c r="I270" s="35" t="s">
        <v>2882</v>
      </c>
      <c r="J270" s="35" t="s">
        <v>19</v>
      </c>
      <c r="K270" s="35" t="s">
        <v>2927</v>
      </c>
      <c r="L270" s="88" t="s">
        <v>2827</v>
      </c>
      <c r="M270" s="35" t="s">
        <v>2821</v>
      </c>
      <c r="N270" s="35" t="s">
        <v>1041</v>
      </c>
      <c r="O270" s="35"/>
      <c r="P270" s="35"/>
    </row>
    <row r="271" spans="1:16" ht="54" customHeight="1" x14ac:dyDescent="0.2">
      <c r="A271" s="35">
        <v>270</v>
      </c>
      <c r="B271" s="35" t="s">
        <v>1042</v>
      </c>
      <c r="C271" s="35" t="s">
        <v>973</v>
      </c>
      <c r="D271" s="35" t="s">
        <v>18</v>
      </c>
      <c r="E271" s="35" t="s">
        <v>1042</v>
      </c>
      <c r="F271" s="35">
        <v>1</v>
      </c>
      <c r="G271" s="35" t="s">
        <v>1378</v>
      </c>
      <c r="H271" s="35" t="s">
        <v>2938</v>
      </c>
      <c r="I271" s="35" t="s">
        <v>2882</v>
      </c>
      <c r="J271" s="35" t="s">
        <v>19</v>
      </c>
      <c r="K271" s="35" t="s">
        <v>2938</v>
      </c>
      <c r="L271" s="88" t="s">
        <v>2827</v>
      </c>
      <c r="M271" s="35" t="s">
        <v>2821</v>
      </c>
      <c r="N271" s="35" t="s">
        <v>1044</v>
      </c>
      <c r="O271" s="35"/>
      <c r="P271" s="35"/>
    </row>
    <row r="272" spans="1:16" ht="54" customHeight="1" x14ac:dyDescent="0.2">
      <c r="A272" s="35">
        <v>271</v>
      </c>
      <c r="B272" s="35" t="s">
        <v>1045</v>
      </c>
      <c r="C272" s="35" t="s">
        <v>973</v>
      </c>
      <c r="D272" s="35" t="s">
        <v>18</v>
      </c>
      <c r="E272" s="35" t="s">
        <v>1045</v>
      </c>
      <c r="F272" s="35">
        <v>1</v>
      </c>
      <c r="G272" s="35" t="s">
        <v>1378</v>
      </c>
      <c r="H272" s="35" t="s">
        <v>19</v>
      </c>
      <c r="I272" s="35" t="s">
        <v>2880</v>
      </c>
      <c r="J272" s="35" t="s">
        <v>19</v>
      </c>
      <c r="K272" s="35"/>
      <c r="L272" s="88" t="s">
        <v>2827</v>
      </c>
      <c r="M272" s="35" t="s">
        <v>2821</v>
      </c>
      <c r="N272" s="35" t="s">
        <v>1047</v>
      </c>
      <c r="O272" s="35"/>
      <c r="P272" s="35"/>
    </row>
    <row r="273" spans="1:16" ht="54" customHeight="1" x14ac:dyDescent="0.2">
      <c r="A273" s="35">
        <v>272</v>
      </c>
      <c r="B273" s="35" t="s">
        <v>1048</v>
      </c>
      <c r="C273" s="35" t="s">
        <v>973</v>
      </c>
      <c r="D273" s="35" t="s">
        <v>18</v>
      </c>
      <c r="E273" s="35" t="s">
        <v>1048</v>
      </c>
      <c r="F273" s="35">
        <v>1</v>
      </c>
      <c r="G273" s="35" t="s">
        <v>1606</v>
      </c>
      <c r="H273" s="35" t="s">
        <v>2950</v>
      </c>
      <c r="I273" s="35" t="s">
        <v>2886</v>
      </c>
      <c r="J273" s="35" t="s">
        <v>513</v>
      </c>
      <c r="K273" s="35" t="s">
        <v>2950</v>
      </c>
      <c r="L273" s="88" t="s">
        <v>2835</v>
      </c>
      <c r="M273" s="35" t="s">
        <v>2953</v>
      </c>
      <c r="N273" s="35" t="s">
        <v>1050</v>
      </c>
      <c r="O273" s="35"/>
      <c r="P273" s="35"/>
    </row>
    <row r="274" spans="1:16" ht="54" customHeight="1" x14ac:dyDescent="0.2">
      <c r="A274" s="35">
        <v>273</v>
      </c>
      <c r="B274" s="35" t="s">
        <v>1051</v>
      </c>
      <c r="C274" s="35" t="s">
        <v>973</v>
      </c>
      <c r="D274" s="35" t="s">
        <v>18</v>
      </c>
      <c r="E274" s="35" t="s">
        <v>1051</v>
      </c>
      <c r="F274" s="35">
        <v>1</v>
      </c>
      <c r="G274" s="35" t="s">
        <v>1414</v>
      </c>
      <c r="H274" s="35" t="s">
        <v>2883</v>
      </c>
      <c r="I274" s="35" t="s">
        <v>2882</v>
      </c>
      <c r="J274" s="35" t="s">
        <v>59</v>
      </c>
      <c r="K274" s="35" t="s">
        <v>2883</v>
      </c>
      <c r="L274" s="88" t="s">
        <v>2835</v>
      </c>
      <c r="M274" s="35" t="s">
        <v>2825</v>
      </c>
      <c r="N274" s="35" t="s">
        <v>1053</v>
      </c>
      <c r="O274" s="35"/>
      <c r="P274" s="35"/>
    </row>
    <row r="275" spans="1:16" ht="54" customHeight="1" x14ac:dyDescent="0.2">
      <c r="A275" s="35">
        <v>274</v>
      </c>
      <c r="B275" s="35" t="s">
        <v>1054</v>
      </c>
      <c r="C275" s="35" t="s">
        <v>973</v>
      </c>
      <c r="D275" s="35" t="s">
        <v>18</v>
      </c>
      <c r="E275" s="35" t="s">
        <v>1054</v>
      </c>
      <c r="F275" s="35">
        <v>1</v>
      </c>
      <c r="G275" s="35" t="s">
        <v>1483</v>
      </c>
      <c r="H275" s="35" t="s">
        <v>558</v>
      </c>
      <c r="I275" s="35" t="s">
        <v>2880</v>
      </c>
      <c r="J275" s="35" t="s">
        <v>558</v>
      </c>
      <c r="K275" s="35"/>
      <c r="L275" s="88" t="s">
        <v>2835</v>
      </c>
      <c r="M275" s="35" t="s">
        <v>2843</v>
      </c>
      <c r="N275" s="35" t="s">
        <v>1056</v>
      </c>
      <c r="O275" s="35"/>
      <c r="P275" s="35"/>
    </row>
    <row r="276" spans="1:16" ht="54" customHeight="1" x14ac:dyDescent="0.2">
      <c r="A276" s="35">
        <v>275</v>
      </c>
      <c r="B276" s="35" t="s">
        <v>1057</v>
      </c>
      <c r="C276" s="35" t="s">
        <v>973</v>
      </c>
      <c r="D276" s="35" t="s">
        <v>18</v>
      </c>
      <c r="E276" s="35" t="s">
        <v>1057</v>
      </c>
      <c r="F276" s="35">
        <v>1</v>
      </c>
      <c r="G276" s="35" t="s">
        <v>1378</v>
      </c>
      <c r="H276" s="35" t="s">
        <v>19</v>
      </c>
      <c r="I276" s="35" t="s">
        <v>2880</v>
      </c>
      <c r="J276" s="35" t="s">
        <v>19</v>
      </c>
      <c r="K276" s="35"/>
      <c r="L276" s="88" t="s">
        <v>2827</v>
      </c>
      <c r="M276" s="35" t="s">
        <v>2821</v>
      </c>
      <c r="N276" s="35" t="s">
        <v>1059</v>
      </c>
      <c r="O276" s="35"/>
      <c r="P276" s="35"/>
    </row>
    <row r="277" spans="1:16" ht="54" customHeight="1" x14ac:dyDescent="0.2">
      <c r="A277" s="35">
        <v>276</v>
      </c>
      <c r="B277" s="35" t="s">
        <v>1060</v>
      </c>
      <c r="C277" s="35" t="s">
        <v>973</v>
      </c>
      <c r="D277" s="35" t="s">
        <v>18</v>
      </c>
      <c r="E277" s="35" t="s">
        <v>1060</v>
      </c>
      <c r="F277" s="35">
        <v>1</v>
      </c>
      <c r="G277" s="35" t="s">
        <v>1378</v>
      </c>
      <c r="H277" s="35" t="s">
        <v>2950</v>
      </c>
      <c r="I277" s="35" t="s">
        <v>2886</v>
      </c>
      <c r="J277" s="35" t="s">
        <v>19</v>
      </c>
      <c r="K277" s="35" t="s">
        <v>2950</v>
      </c>
      <c r="L277" s="88" t="s">
        <v>2827</v>
      </c>
      <c r="M277" s="35" t="s">
        <v>2821</v>
      </c>
      <c r="N277" s="35" t="s">
        <v>1062</v>
      </c>
      <c r="O277" s="35"/>
      <c r="P277" s="35"/>
    </row>
    <row r="278" spans="1:16" ht="54" customHeight="1" x14ac:dyDescent="0.2">
      <c r="A278" s="35">
        <v>277</v>
      </c>
      <c r="B278" s="35" t="s">
        <v>1063</v>
      </c>
      <c r="C278" s="35" t="s">
        <v>973</v>
      </c>
      <c r="D278" s="35" t="s">
        <v>18</v>
      </c>
      <c r="E278" s="35" t="s">
        <v>1063</v>
      </c>
      <c r="F278" s="35">
        <v>1</v>
      </c>
      <c r="G278" s="35" t="s">
        <v>1378</v>
      </c>
      <c r="H278" s="35" t="s">
        <v>2927</v>
      </c>
      <c r="I278" s="35" t="s">
        <v>2882</v>
      </c>
      <c r="J278" s="35" t="s">
        <v>19</v>
      </c>
      <c r="K278" s="35" t="s">
        <v>2927</v>
      </c>
      <c r="L278" s="88" t="s">
        <v>2827</v>
      </c>
      <c r="M278" s="35" t="s">
        <v>2821</v>
      </c>
      <c r="N278" s="35" t="s">
        <v>1065</v>
      </c>
      <c r="O278" s="35"/>
      <c r="P278" s="35"/>
    </row>
    <row r="279" spans="1:16" ht="54" customHeight="1" x14ac:dyDescent="0.2">
      <c r="A279" s="35">
        <v>278</v>
      </c>
      <c r="B279" s="35" t="s">
        <v>1066</v>
      </c>
      <c r="C279" s="35" t="s">
        <v>973</v>
      </c>
      <c r="D279" s="35" t="s">
        <v>18</v>
      </c>
      <c r="E279" s="35" t="s">
        <v>1066</v>
      </c>
      <c r="F279" s="35">
        <v>1</v>
      </c>
      <c r="G279" s="35" t="s">
        <v>1473</v>
      </c>
      <c r="H279" s="35" t="s">
        <v>2883</v>
      </c>
      <c r="I279" s="35" t="s">
        <v>2882</v>
      </c>
      <c r="J279" s="35" t="s">
        <v>513</v>
      </c>
      <c r="K279" s="35" t="s">
        <v>2883</v>
      </c>
      <c r="L279" s="88" t="s">
        <v>2835</v>
      </c>
      <c r="M279" s="35" t="s">
        <v>2932</v>
      </c>
      <c r="N279" s="35" t="s">
        <v>1068</v>
      </c>
      <c r="O279" s="35"/>
      <c r="P279" s="35"/>
    </row>
    <row r="280" spans="1:16" ht="54" customHeight="1" x14ac:dyDescent="0.2">
      <c r="A280" s="35">
        <v>279</v>
      </c>
      <c r="B280" s="35" t="s">
        <v>1069</v>
      </c>
      <c r="C280" s="35" t="s">
        <v>973</v>
      </c>
      <c r="D280" s="35" t="s">
        <v>18</v>
      </c>
      <c r="E280" s="35" t="s">
        <v>1069</v>
      </c>
      <c r="F280" s="35">
        <v>1</v>
      </c>
      <c r="G280" s="35" t="s">
        <v>1385</v>
      </c>
      <c r="H280" s="35" t="s">
        <v>19</v>
      </c>
      <c r="I280" s="35" t="s">
        <v>2880</v>
      </c>
      <c r="J280" s="35" t="s">
        <v>40</v>
      </c>
      <c r="K280" s="35"/>
      <c r="L280" s="88" t="s">
        <v>2835</v>
      </c>
      <c r="M280" s="35" t="s">
        <v>2820</v>
      </c>
      <c r="N280" s="35" t="s">
        <v>1071</v>
      </c>
      <c r="O280" s="35"/>
      <c r="P280" s="35"/>
    </row>
    <row r="281" spans="1:16" ht="54" customHeight="1" x14ac:dyDescent="0.2">
      <c r="A281" s="35">
        <v>280</v>
      </c>
      <c r="B281" s="35" t="s">
        <v>1072</v>
      </c>
      <c r="C281" s="35" t="s">
        <v>973</v>
      </c>
      <c r="D281" s="35" t="s">
        <v>18</v>
      </c>
      <c r="E281" s="35" t="s">
        <v>1072</v>
      </c>
      <c r="F281" s="35">
        <v>1</v>
      </c>
      <c r="G281" s="35" t="s">
        <v>1378</v>
      </c>
      <c r="H281" s="35" t="s">
        <v>2927</v>
      </c>
      <c r="I281" s="35" t="s">
        <v>2882</v>
      </c>
      <c r="J281" s="35" t="s">
        <v>41</v>
      </c>
      <c r="K281" s="35" t="s">
        <v>2927</v>
      </c>
      <c r="L281" s="90" t="s">
        <v>2823</v>
      </c>
      <c r="M281" s="35" t="s">
        <v>2824</v>
      </c>
      <c r="N281" s="35" t="s">
        <v>1074</v>
      </c>
      <c r="O281" s="35"/>
      <c r="P281" s="35"/>
    </row>
    <row r="282" spans="1:16" ht="54" customHeight="1" x14ac:dyDescent="0.2">
      <c r="A282" s="35">
        <v>281</v>
      </c>
      <c r="B282" s="35" t="s">
        <v>1075</v>
      </c>
      <c r="C282" s="35" t="s">
        <v>973</v>
      </c>
      <c r="D282" s="35" t="s">
        <v>18</v>
      </c>
      <c r="E282" s="35" t="s">
        <v>1075</v>
      </c>
      <c r="F282" s="35">
        <v>1</v>
      </c>
      <c r="G282" s="35" t="s">
        <v>1378</v>
      </c>
      <c r="H282" s="35" t="s">
        <v>2950</v>
      </c>
      <c r="I282" s="35" t="s">
        <v>2886</v>
      </c>
      <c r="J282" s="35" t="s">
        <v>19</v>
      </c>
      <c r="K282" s="35" t="s">
        <v>2950</v>
      </c>
      <c r="L282" s="88" t="s">
        <v>2827</v>
      </c>
      <c r="M282" s="35" t="s">
        <v>2821</v>
      </c>
      <c r="N282" s="35" t="s">
        <v>1077</v>
      </c>
      <c r="O282" s="35"/>
      <c r="P282" s="35"/>
    </row>
    <row r="283" spans="1:16" ht="54" customHeight="1" x14ac:dyDescent="0.2">
      <c r="A283" s="35">
        <v>282</v>
      </c>
      <c r="B283" s="35" t="s">
        <v>1078</v>
      </c>
      <c r="C283" s="35" t="s">
        <v>973</v>
      </c>
      <c r="D283" s="35" t="s">
        <v>163</v>
      </c>
      <c r="E283" s="35" t="s">
        <v>1078</v>
      </c>
      <c r="F283" s="35">
        <v>0</v>
      </c>
      <c r="G283" s="35"/>
      <c r="H283" s="35" t="s">
        <v>2938</v>
      </c>
      <c r="I283" s="35" t="s">
        <v>2882</v>
      </c>
      <c r="J283" s="35" t="s">
        <v>513</v>
      </c>
      <c r="K283" s="35" t="s">
        <v>2938</v>
      </c>
      <c r="L283" s="89" t="s">
        <v>2817</v>
      </c>
      <c r="M283" s="35" t="s">
        <v>2860</v>
      </c>
      <c r="N283" s="35" t="s">
        <v>1080</v>
      </c>
      <c r="O283" s="35"/>
      <c r="P283" s="35"/>
    </row>
    <row r="284" spans="1:16" ht="54" customHeight="1" x14ac:dyDescent="0.2">
      <c r="A284" s="35">
        <v>283</v>
      </c>
      <c r="B284" s="35" t="s">
        <v>1082</v>
      </c>
      <c r="C284" s="35" t="s">
        <v>973</v>
      </c>
      <c r="D284" s="35" t="s">
        <v>163</v>
      </c>
      <c r="E284" s="35" t="s">
        <v>1082</v>
      </c>
      <c r="F284" s="35">
        <v>0</v>
      </c>
      <c r="G284" s="35"/>
      <c r="H284" s="35" t="s">
        <v>2927</v>
      </c>
      <c r="I284" s="35" t="s">
        <v>2882</v>
      </c>
      <c r="J284" s="35" t="s">
        <v>513</v>
      </c>
      <c r="K284" s="35" t="s">
        <v>2927</v>
      </c>
      <c r="L284" s="89" t="s">
        <v>2817</v>
      </c>
      <c r="M284" s="35" t="s">
        <v>2860</v>
      </c>
      <c r="N284" s="35" t="s">
        <v>1084</v>
      </c>
      <c r="O284" s="35"/>
      <c r="P284" s="35"/>
    </row>
    <row r="285" spans="1:16" ht="54" customHeight="1" x14ac:dyDescent="0.2">
      <c r="A285" s="35">
        <v>284</v>
      </c>
      <c r="B285" s="35" t="s">
        <v>1086</v>
      </c>
      <c r="C285" s="35" t="s">
        <v>973</v>
      </c>
      <c r="D285" s="35" t="s">
        <v>163</v>
      </c>
      <c r="E285" s="35" t="s">
        <v>1086</v>
      </c>
      <c r="F285" s="35">
        <v>0</v>
      </c>
      <c r="G285" s="35"/>
      <c r="H285" s="35" t="s">
        <v>19</v>
      </c>
      <c r="I285" s="35" t="s">
        <v>2880</v>
      </c>
      <c r="J285" s="35" t="s">
        <v>513</v>
      </c>
      <c r="K285" s="35"/>
      <c r="L285" s="89" t="s">
        <v>2817</v>
      </c>
      <c r="M285" s="35" t="s">
        <v>2860</v>
      </c>
      <c r="N285" s="35" t="s">
        <v>1088</v>
      </c>
      <c r="O285" s="35"/>
      <c r="P285" s="35"/>
    </row>
    <row r="286" spans="1:16" ht="54" customHeight="1" x14ac:dyDescent="0.2">
      <c r="A286" s="35">
        <v>285</v>
      </c>
      <c r="B286" s="35" t="s">
        <v>1090</v>
      </c>
      <c r="C286" s="35" t="s">
        <v>973</v>
      </c>
      <c r="D286" s="35" t="s">
        <v>163</v>
      </c>
      <c r="E286" s="35" t="s">
        <v>1090</v>
      </c>
      <c r="F286" s="35">
        <v>0</v>
      </c>
      <c r="G286" s="35"/>
      <c r="H286" s="35" t="s">
        <v>2927</v>
      </c>
      <c r="I286" s="35" t="s">
        <v>2882</v>
      </c>
      <c r="J286" s="35" t="s">
        <v>245</v>
      </c>
      <c r="K286" s="35" t="s">
        <v>2927</v>
      </c>
      <c r="L286" s="90" t="s">
        <v>2823</v>
      </c>
      <c r="M286" s="35" t="s">
        <v>2831</v>
      </c>
      <c r="N286" s="35" t="s">
        <v>1092</v>
      </c>
      <c r="O286" s="35"/>
      <c r="P286" s="35"/>
    </row>
    <row r="287" spans="1:16" ht="54" customHeight="1" x14ac:dyDescent="0.2">
      <c r="A287" s="35">
        <v>286</v>
      </c>
      <c r="B287" s="35" t="s">
        <v>1093</v>
      </c>
      <c r="C287" s="35" t="s">
        <v>973</v>
      </c>
      <c r="D287" s="35" t="s">
        <v>163</v>
      </c>
      <c r="E287" s="35" t="s">
        <v>1093</v>
      </c>
      <c r="F287" s="35">
        <v>0</v>
      </c>
      <c r="G287" s="35"/>
      <c r="H287" s="35" t="s">
        <v>2950</v>
      </c>
      <c r="I287" s="35" t="s">
        <v>2886</v>
      </c>
      <c r="J287" s="35" t="s">
        <v>554</v>
      </c>
      <c r="K287" s="35" t="s">
        <v>2950</v>
      </c>
      <c r="L287" s="88" t="s">
        <v>2819</v>
      </c>
      <c r="M287" s="35" t="s">
        <v>2861</v>
      </c>
      <c r="N287" s="35" t="s">
        <v>1095</v>
      </c>
      <c r="O287" s="35"/>
      <c r="P287" s="35"/>
    </row>
    <row r="288" spans="1:16" ht="54" customHeight="1" x14ac:dyDescent="0.2">
      <c r="A288" s="35">
        <v>287</v>
      </c>
      <c r="B288" s="35" t="s">
        <v>1097</v>
      </c>
      <c r="C288" s="35" t="s">
        <v>973</v>
      </c>
      <c r="D288" s="35" t="s">
        <v>163</v>
      </c>
      <c r="E288" s="35" t="s">
        <v>1097</v>
      </c>
      <c r="F288" s="35">
        <v>0</v>
      </c>
      <c r="G288" s="35"/>
      <c r="H288" s="35" t="s">
        <v>2945</v>
      </c>
      <c r="I288" s="35" t="s">
        <v>2882</v>
      </c>
      <c r="J288" s="35" t="s">
        <v>412</v>
      </c>
      <c r="K288" s="35" t="s">
        <v>2945</v>
      </c>
      <c r="L288" s="88" t="s">
        <v>2819</v>
      </c>
      <c r="M288" s="35" t="s">
        <v>2858</v>
      </c>
      <c r="N288" s="35" t="s">
        <v>1099</v>
      </c>
      <c r="O288" s="35"/>
      <c r="P288" s="35"/>
    </row>
    <row r="289" spans="1:16" ht="54" customHeight="1" x14ac:dyDescent="0.2">
      <c r="A289" s="35">
        <v>288</v>
      </c>
      <c r="B289" s="35" t="s">
        <v>1101</v>
      </c>
      <c r="C289" s="35" t="s">
        <v>973</v>
      </c>
      <c r="D289" s="35" t="s">
        <v>163</v>
      </c>
      <c r="E289" s="35" t="s">
        <v>1101</v>
      </c>
      <c r="F289" s="35">
        <v>0</v>
      </c>
      <c r="G289" s="35"/>
      <c r="H289" s="35" t="s">
        <v>2881</v>
      </c>
      <c r="I289" s="35" t="s">
        <v>2882</v>
      </c>
      <c r="J289" s="35" t="s">
        <v>64</v>
      </c>
      <c r="K289" s="35" t="s">
        <v>2881</v>
      </c>
      <c r="L289" s="88" t="s">
        <v>2827</v>
      </c>
      <c r="M289" s="35" t="s">
        <v>2839</v>
      </c>
      <c r="N289" s="35" t="s">
        <v>1103</v>
      </c>
      <c r="O289" s="35"/>
      <c r="P289" s="35"/>
    </row>
    <row r="290" spans="1:16" ht="54" customHeight="1" x14ac:dyDescent="0.2">
      <c r="A290" s="35">
        <v>289</v>
      </c>
      <c r="B290" s="35" t="s">
        <v>1105</v>
      </c>
      <c r="C290" s="35" t="s">
        <v>973</v>
      </c>
      <c r="D290" s="35" t="s">
        <v>163</v>
      </c>
      <c r="E290" s="35" t="s">
        <v>1105</v>
      </c>
      <c r="F290" s="35">
        <v>0</v>
      </c>
      <c r="G290" s="35"/>
      <c r="H290" s="35" t="s">
        <v>2950</v>
      </c>
      <c r="I290" s="35" t="s">
        <v>2886</v>
      </c>
      <c r="J290" s="35" t="s">
        <v>245</v>
      </c>
      <c r="K290" s="35" t="s">
        <v>2950</v>
      </c>
      <c r="L290" s="90" t="s">
        <v>2823</v>
      </c>
      <c r="M290" s="35" t="s">
        <v>2831</v>
      </c>
      <c r="N290" s="35" t="s">
        <v>1108</v>
      </c>
      <c r="O290" s="35"/>
      <c r="P290" s="35"/>
    </row>
    <row r="291" spans="1:16" ht="54" customHeight="1" x14ac:dyDescent="0.2">
      <c r="A291" s="35">
        <v>290</v>
      </c>
      <c r="B291" s="35" t="s">
        <v>1110</v>
      </c>
      <c r="C291" s="35" t="s">
        <v>973</v>
      </c>
      <c r="D291" s="35" t="s">
        <v>163</v>
      </c>
      <c r="E291" s="35" t="s">
        <v>1110</v>
      </c>
      <c r="F291" s="35">
        <v>0</v>
      </c>
      <c r="G291" s="35"/>
      <c r="H291" s="35" t="s">
        <v>2928</v>
      </c>
      <c r="I291" s="35" t="s">
        <v>2882</v>
      </c>
      <c r="J291" s="35" t="s">
        <v>245</v>
      </c>
      <c r="K291" s="35" t="s">
        <v>2928</v>
      </c>
      <c r="L291" s="89" t="s">
        <v>2817</v>
      </c>
      <c r="M291" s="35" t="s">
        <v>2831</v>
      </c>
      <c r="N291" s="35" t="s">
        <v>1112</v>
      </c>
      <c r="O291" s="35"/>
      <c r="P291" s="35"/>
    </row>
    <row r="292" spans="1:16" ht="54" customHeight="1" x14ac:dyDescent="0.2">
      <c r="A292" s="35">
        <v>291</v>
      </c>
      <c r="B292" s="35" t="s">
        <v>1114</v>
      </c>
      <c r="C292" s="35" t="s">
        <v>973</v>
      </c>
      <c r="D292" s="35" t="s">
        <v>163</v>
      </c>
      <c r="E292" s="35" t="s">
        <v>1114</v>
      </c>
      <c r="F292" s="35">
        <v>0</v>
      </c>
      <c r="G292" s="35"/>
      <c r="H292" s="35" t="s">
        <v>2945</v>
      </c>
      <c r="I292" s="35" t="s">
        <v>2882</v>
      </c>
      <c r="J292" s="35" t="s">
        <v>41</v>
      </c>
      <c r="K292" s="35" t="s">
        <v>2945</v>
      </c>
      <c r="L292" s="88" t="s">
        <v>2827</v>
      </c>
      <c r="M292" s="35" t="s">
        <v>2839</v>
      </c>
      <c r="N292" s="35" t="s">
        <v>1116</v>
      </c>
      <c r="O292" s="35"/>
      <c r="P292" s="35"/>
    </row>
    <row r="293" spans="1:16" ht="54" customHeight="1" x14ac:dyDescent="0.2">
      <c r="A293" s="35">
        <v>292</v>
      </c>
      <c r="B293" s="35" t="s">
        <v>1118</v>
      </c>
      <c r="C293" s="35" t="s">
        <v>973</v>
      </c>
      <c r="D293" s="35" t="s">
        <v>163</v>
      </c>
      <c r="E293" s="35" t="s">
        <v>1118</v>
      </c>
      <c r="F293" s="35">
        <v>0</v>
      </c>
      <c r="G293" s="35"/>
      <c r="H293" s="35" t="s">
        <v>558</v>
      </c>
      <c r="I293" s="35" t="s">
        <v>2880</v>
      </c>
      <c r="J293" s="35" t="s">
        <v>356</v>
      </c>
      <c r="K293" s="35"/>
      <c r="L293" s="88" t="s">
        <v>2819</v>
      </c>
      <c r="M293" s="35" t="s">
        <v>2862</v>
      </c>
      <c r="N293" s="35" t="s">
        <v>1120</v>
      </c>
      <c r="O293" s="35"/>
      <c r="P293" s="35"/>
    </row>
    <row r="294" spans="1:16" ht="54" customHeight="1" x14ac:dyDescent="0.2">
      <c r="A294" s="35">
        <v>293</v>
      </c>
      <c r="B294" s="35" t="s">
        <v>1121</v>
      </c>
      <c r="C294" s="35" t="s">
        <v>973</v>
      </c>
      <c r="D294" s="35" t="s">
        <v>163</v>
      </c>
      <c r="E294" s="35" t="s">
        <v>1121</v>
      </c>
      <c r="F294" s="35">
        <v>0</v>
      </c>
      <c r="G294" s="35"/>
      <c r="H294" s="35" t="s">
        <v>2927</v>
      </c>
      <c r="I294" s="35" t="s">
        <v>2882</v>
      </c>
      <c r="J294" s="35" t="s">
        <v>513</v>
      </c>
      <c r="K294" s="35" t="s">
        <v>2927</v>
      </c>
      <c r="L294" s="89" t="s">
        <v>2817</v>
      </c>
      <c r="M294" s="35" t="s">
        <v>2860</v>
      </c>
      <c r="N294" s="35" t="s">
        <v>1123</v>
      </c>
      <c r="O294" s="35"/>
      <c r="P294" s="35"/>
    </row>
    <row r="295" spans="1:16" ht="54" customHeight="1" x14ac:dyDescent="0.2">
      <c r="A295" s="35">
        <v>294</v>
      </c>
      <c r="B295" s="35" t="s">
        <v>1124</v>
      </c>
      <c r="C295" s="35" t="s">
        <v>973</v>
      </c>
      <c r="D295" s="35" t="s">
        <v>163</v>
      </c>
      <c r="E295" s="35" t="s">
        <v>1124</v>
      </c>
      <c r="F295" s="35">
        <v>0</v>
      </c>
      <c r="G295" s="35"/>
      <c r="H295" s="35" t="s">
        <v>2945</v>
      </c>
      <c r="I295" s="35" t="s">
        <v>2882</v>
      </c>
      <c r="J295" s="35" t="s">
        <v>41</v>
      </c>
      <c r="K295" s="35" t="s">
        <v>2945</v>
      </c>
      <c r="L295" s="88" t="s">
        <v>2827</v>
      </c>
      <c r="M295" s="35" t="s">
        <v>2839</v>
      </c>
      <c r="N295" s="35" t="s">
        <v>1126</v>
      </c>
      <c r="O295" s="35"/>
      <c r="P295" s="35"/>
    </row>
    <row r="296" spans="1:16" ht="54" customHeight="1" x14ac:dyDescent="0.2">
      <c r="A296" s="35">
        <v>295</v>
      </c>
      <c r="B296" s="35" t="s">
        <v>1127</v>
      </c>
      <c r="C296" s="35" t="s">
        <v>973</v>
      </c>
      <c r="D296" s="35" t="s">
        <v>163</v>
      </c>
      <c r="E296" s="35" t="s">
        <v>1127</v>
      </c>
      <c r="F296" s="35">
        <v>0</v>
      </c>
      <c r="G296" s="35"/>
      <c r="H296" s="35" t="s">
        <v>2938</v>
      </c>
      <c r="I296" s="35" t="s">
        <v>2882</v>
      </c>
      <c r="J296" s="35" t="s">
        <v>554</v>
      </c>
      <c r="K296" s="35" t="s">
        <v>2938</v>
      </c>
      <c r="L296" s="90" t="s">
        <v>2823</v>
      </c>
      <c r="M296" s="35" t="s">
        <v>2861</v>
      </c>
      <c r="N296" s="35" t="s">
        <v>1129</v>
      </c>
      <c r="O296" s="35"/>
      <c r="P296" s="35"/>
    </row>
    <row r="297" spans="1:16" ht="54" customHeight="1" x14ac:dyDescent="0.2">
      <c r="A297" s="35">
        <v>296</v>
      </c>
      <c r="B297" s="35" t="s">
        <v>1130</v>
      </c>
      <c r="C297" s="35" t="s">
        <v>973</v>
      </c>
      <c r="D297" s="35" t="s">
        <v>163</v>
      </c>
      <c r="E297" s="35" t="s">
        <v>1130</v>
      </c>
      <c r="F297" s="35">
        <v>0</v>
      </c>
      <c r="G297" s="35"/>
      <c r="H297" s="35" t="s">
        <v>2950</v>
      </c>
      <c r="I297" s="35" t="s">
        <v>2886</v>
      </c>
      <c r="J297" s="35" t="s">
        <v>245</v>
      </c>
      <c r="K297" s="35" t="s">
        <v>2950</v>
      </c>
      <c r="L297" s="90" t="s">
        <v>2823</v>
      </c>
      <c r="M297" s="35" t="s">
        <v>2831</v>
      </c>
      <c r="N297" s="35" t="s">
        <v>1132</v>
      </c>
      <c r="O297" s="35"/>
      <c r="P297" s="35"/>
    </row>
    <row r="298" spans="1:16" ht="54" customHeight="1" x14ac:dyDescent="0.2">
      <c r="A298" s="35">
        <v>297</v>
      </c>
      <c r="B298" s="35" t="s">
        <v>1133</v>
      </c>
      <c r="C298" s="35" t="s">
        <v>973</v>
      </c>
      <c r="D298" s="35" t="s">
        <v>163</v>
      </c>
      <c r="E298" s="35" t="s">
        <v>1133</v>
      </c>
      <c r="F298" s="35">
        <v>0</v>
      </c>
      <c r="G298" s="35"/>
      <c r="H298" s="35" t="s">
        <v>19</v>
      </c>
      <c r="I298" s="35" t="s">
        <v>2880</v>
      </c>
      <c r="J298" s="35" t="s">
        <v>212</v>
      </c>
      <c r="K298" s="35"/>
      <c r="L298" s="89" t="s">
        <v>2817</v>
      </c>
      <c r="M298" s="35" t="s">
        <v>2863</v>
      </c>
      <c r="N298" s="35" t="s">
        <v>1135</v>
      </c>
      <c r="O298" s="35"/>
      <c r="P298" s="35"/>
    </row>
    <row r="299" spans="1:16" ht="54" customHeight="1" x14ac:dyDescent="0.2">
      <c r="A299" s="35">
        <v>298</v>
      </c>
      <c r="B299" s="35" t="s">
        <v>1136</v>
      </c>
      <c r="C299" s="35" t="s">
        <v>973</v>
      </c>
      <c r="D299" s="35" t="s">
        <v>218</v>
      </c>
      <c r="E299" s="35" t="s">
        <v>1136</v>
      </c>
      <c r="F299" s="35">
        <v>0</v>
      </c>
      <c r="G299" s="35"/>
      <c r="H299" s="35" t="s">
        <v>2950</v>
      </c>
      <c r="I299" s="35" t="s">
        <v>2886</v>
      </c>
      <c r="J299" s="35" t="s">
        <v>554</v>
      </c>
      <c r="K299" s="35" t="s">
        <v>2950</v>
      </c>
      <c r="L299" s="90" t="s">
        <v>2823</v>
      </c>
      <c r="M299" s="35" t="s">
        <v>2864</v>
      </c>
      <c r="N299" s="35" t="s">
        <v>1138</v>
      </c>
      <c r="O299" s="35"/>
      <c r="P299" s="35"/>
    </row>
    <row r="300" spans="1:16" ht="54" customHeight="1" x14ac:dyDescent="0.2">
      <c r="A300" s="35">
        <v>299</v>
      </c>
      <c r="B300" s="35" t="s">
        <v>1140</v>
      </c>
      <c r="C300" s="35" t="s">
        <v>973</v>
      </c>
      <c r="D300" s="35" t="s">
        <v>218</v>
      </c>
      <c r="E300" s="35" t="s">
        <v>1140</v>
      </c>
      <c r="F300" s="35">
        <v>0</v>
      </c>
      <c r="G300" s="35"/>
      <c r="H300" s="35" t="s">
        <v>2883</v>
      </c>
      <c r="I300" s="35" t="s">
        <v>2882</v>
      </c>
      <c r="J300" s="35" t="s">
        <v>554</v>
      </c>
      <c r="K300" s="35" t="s">
        <v>2883</v>
      </c>
      <c r="L300" s="90" t="s">
        <v>2823</v>
      </c>
      <c r="M300" s="35" t="s">
        <v>2861</v>
      </c>
      <c r="N300" s="35" t="s">
        <v>1142</v>
      </c>
      <c r="O300" s="35"/>
      <c r="P300" s="35"/>
    </row>
    <row r="301" spans="1:16" ht="54" customHeight="1" x14ac:dyDescent="0.2">
      <c r="A301" s="35">
        <v>300</v>
      </c>
      <c r="B301" s="35" t="s">
        <v>1144</v>
      </c>
      <c r="C301" s="35" t="s">
        <v>973</v>
      </c>
      <c r="D301" s="35" t="s">
        <v>218</v>
      </c>
      <c r="E301" s="35" t="s">
        <v>1144</v>
      </c>
      <c r="F301" s="35">
        <v>0</v>
      </c>
      <c r="G301" s="35"/>
      <c r="H301" s="35" t="s">
        <v>19</v>
      </c>
      <c r="I301" s="35" t="s">
        <v>2880</v>
      </c>
      <c r="J301" s="35" t="s">
        <v>59</v>
      </c>
      <c r="K301" s="35"/>
      <c r="L301" s="90" t="s">
        <v>2823</v>
      </c>
      <c r="M301" s="35" t="s">
        <v>2865</v>
      </c>
      <c r="N301" s="35" t="s">
        <v>1147</v>
      </c>
      <c r="O301" s="35"/>
      <c r="P301" s="35"/>
    </row>
    <row r="302" spans="1:16" ht="54" customHeight="1" x14ac:dyDescent="0.2">
      <c r="A302" s="35">
        <v>301</v>
      </c>
      <c r="B302" s="35" t="s">
        <v>1149</v>
      </c>
      <c r="C302" s="35" t="s">
        <v>973</v>
      </c>
      <c r="D302" s="35" t="s">
        <v>218</v>
      </c>
      <c r="E302" s="35" t="s">
        <v>1149</v>
      </c>
      <c r="F302" s="35">
        <v>0</v>
      </c>
      <c r="G302" s="35"/>
      <c r="H302" s="35" t="s">
        <v>2950</v>
      </c>
      <c r="I302" s="35" t="s">
        <v>2886</v>
      </c>
      <c r="J302" s="35" t="s">
        <v>554</v>
      </c>
      <c r="K302" s="35" t="s">
        <v>2950</v>
      </c>
      <c r="L302" s="88" t="s">
        <v>2819</v>
      </c>
      <c r="M302" s="35" t="s">
        <v>2861</v>
      </c>
      <c r="N302" s="35" t="s">
        <v>1151</v>
      </c>
      <c r="O302" s="35"/>
      <c r="P302" s="35"/>
    </row>
    <row r="303" spans="1:16" ht="54" customHeight="1" x14ac:dyDescent="0.2">
      <c r="A303" s="35">
        <v>302</v>
      </c>
      <c r="B303" s="35" t="s">
        <v>1153</v>
      </c>
      <c r="C303" s="35" t="s">
        <v>973</v>
      </c>
      <c r="D303" s="35" t="s">
        <v>218</v>
      </c>
      <c r="E303" s="35" t="s">
        <v>1153</v>
      </c>
      <c r="F303" s="35">
        <v>0</v>
      </c>
      <c r="G303" s="35"/>
      <c r="H303" s="35" t="s">
        <v>2927</v>
      </c>
      <c r="I303" s="35" t="s">
        <v>2882</v>
      </c>
      <c r="J303" s="35" t="s">
        <v>513</v>
      </c>
      <c r="K303" s="35" t="s">
        <v>2927</v>
      </c>
      <c r="L303" s="88" t="s">
        <v>2827</v>
      </c>
      <c r="M303" s="35" t="s">
        <v>2839</v>
      </c>
      <c r="N303" s="35" t="s">
        <v>1155</v>
      </c>
      <c r="O303" s="35"/>
      <c r="P303" s="35"/>
    </row>
    <row r="304" spans="1:16" ht="54" customHeight="1" x14ac:dyDescent="0.2">
      <c r="A304" s="35">
        <v>303</v>
      </c>
      <c r="B304" s="35" t="s">
        <v>1157</v>
      </c>
      <c r="C304" s="35" t="s">
        <v>973</v>
      </c>
      <c r="D304" s="35" t="s">
        <v>218</v>
      </c>
      <c r="E304" s="35" t="s">
        <v>1157</v>
      </c>
      <c r="F304" s="35">
        <v>0</v>
      </c>
      <c r="G304" s="35"/>
      <c r="H304" s="35" t="s">
        <v>2938</v>
      </c>
      <c r="I304" s="35" t="s">
        <v>2882</v>
      </c>
      <c r="J304" s="35" t="s">
        <v>245</v>
      </c>
      <c r="K304" s="35" t="s">
        <v>2938</v>
      </c>
      <c r="L304" s="90" t="s">
        <v>2823</v>
      </c>
      <c r="M304" s="35" t="s">
        <v>2831</v>
      </c>
      <c r="N304" s="35" t="s">
        <v>1159</v>
      </c>
      <c r="O304" s="35"/>
      <c r="P304" s="35"/>
    </row>
    <row r="305" spans="1:16" ht="54" customHeight="1" x14ac:dyDescent="0.2">
      <c r="A305" s="35">
        <v>304</v>
      </c>
      <c r="B305" s="35" t="s">
        <v>1161</v>
      </c>
      <c r="C305" s="35" t="s">
        <v>973</v>
      </c>
      <c r="D305" s="35" t="s">
        <v>218</v>
      </c>
      <c r="E305" s="35" t="s">
        <v>1161</v>
      </c>
      <c r="F305" s="35">
        <v>0</v>
      </c>
      <c r="G305" s="35"/>
      <c r="H305" s="35" t="s">
        <v>2950</v>
      </c>
      <c r="I305" s="35" t="s">
        <v>2886</v>
      </c>
      <c r="J305" s="35" t="s">
        <v>554</v>
      </c>
      <c r="K305" s="35" t="s">
        <v>2950</v>
      </c>
      <c r="L305" s="88" t="s">
        <v>2819</v>
      </c>
      <c r="M305" s="35" t="s">
        <v>2861</v>
      </c>
      <c r="N305" s="35" t="s">
        <v>1163</v>
      </c>
      <c r="O305" s="35"/>
      <c r="P305" s="35"/>
    </row>
    <row r="306" spans="1:16" ht="54" customHeight="1" x14ac:dyDescent="0.2">
      <c r="A306" s="35">
        <v>305</v>
      </c>
      <c r="B306" s="35" t="s">
        <v>1164</v>
      </c>
      <c r="C306" s="35" t="s">
        <v>973</v>
      </c>
      <c r="D306" s="35" t="s">
        <v>218</v>
      </c>
      <c r="E306" s="35" t="s">
        <v>1164</v>
      </c>
      <c r="F306" s="35">
        <v>0</v>
      </c>
      <c r="G306" s="35"/>
      <c r="H306" s="35" t="s">
        <v>2922</v>
      </c>
      <c r="I306" s="35" t="s">
        <v>2880</v>
      </c>
      <c r="J306" s="35" t="s">
        <v>79</v>
      </c>
      <c r="K306" s="35"/>
      <c r="L306" s="88" t="s">
        <v>2827</v>
      </c>
      <c r="M306" s="35" t="s">
        <v>2839</v>
      </c>
      <c r="N306" s="35" t="s">
        <v>1166</v>
      </c>
      <c r="O306" s="35"/>
      <c r="P306" s="35"/>
    </row>
    <row r="307" spans="1:16" ht="54" customHeight="1" x14ac:dyDescent="0.2">
      <c r="A307" s="35">
        <v>306</v>
      </c>
      <c r="B307" s="35" t="s">
        <v>1167</v>
      </c>
      <c r="C307" s="35" t="s">
        <v>973</v>
      </c>
      <c r="D307" s="35" t="s">
        <v>244</v>
      </c>
      <c r="E307" s="35" t="s">
        <v>1167</v>
      </c>
      <c r="F307" s="35">
        <v>0</v>
      </c>
      <c r="G307" s="35"/>
      <c r="H307" s="35" t="s">
        <v>2883</v>
      </c>
      <c r="I307" s="35" t="s">
        <v>2882</v>
      </c>
      <c r="J307" s="35" t="s">
        <v>59</v>
      </c>
      <c r="K307" s="35" t="s">
        <v>2883</v>
      </c>
      <c r="L307" s="88" t="s">
        <v>2827</v>
      </c>
      <c r="M307" s="35" t="s">
        <v>2839</v>
      </c>
      <c r="N307" s="35" t="s">
        <v>1170</v>
      </c>
      <c r="O307" s="35"/>
      <c r="P307" s="35"/>
    </row>
    <row r="308" spans="1:16" ht="54" customHeight="1" x14ac:dyDescent="0.2">
      <c r="A308" s="35">
        <v>307</v>
      </c>
      <c r="B308" s="35" t="s">
        <v>1172</v>
      </c>
      <c r="C308" s="35" t="s">
        <v>973</v>
      </c>
      <c r="D308" s="35" t="s">
        <v>244</v>
      </c>
      <c r="E308" s="35" t="s">
        <v>1172</v>
      </c>
      <c r="F308" s="35">
        <v>0</v>
      </c>
      <c r="G308" s="35"/>
      <c r="H308" s="35" t="s">
        <v>2928</v>
      </c>
      <c r="I308" s="35" t="s">
        <v>2882</v>
      </c>
      <c r="J308" s="35" t="s">
        <v>245</v>
      </c>
      <c r="K308" s="35" t="s">
        <v>2928</v>
      </c>
      <c r="L308" s="89" t="s">
        <v>2817</v>
      </c>
      <c r="M308" s="35" t="s">
        <v>2831</v>
      </c>
      <c r="N308" s="35" t="s">
        <v>1174</v>
      </c>
      <c r="O308" s="35"/>
      <c r="P308" s="35"/>
    </row>
    <row r="309" spans="1:16" ht="54" customHeight="1" x14ac:dyDescent="0.2">
      <c r="A309" s="35">
        <v>308</v>
      </c>
      <c r="B309" s="35" t="s">
        <v>1176</v>
      </c>
      <c r="C309" s="35" t="s">
        <v>973</v>
      </c>
      <c r="D309" s="35" t="s">
        <v>244</v>
      </c>
      <c r="E309" s="35" t="s">
        <v>1176</v>
      </c>
      <c r="F309" s="35">
        <v>0</v>
      </c>
      <c r="G309" s="35"/>
      <c r="H309" s="35" t="s">
        <v>2950</v>
      </c>
      <c r="I309" s="35" t="s">
        <v>2886</v>
      </c>
      <c r="J309" s="35" t="s">
        <v>554</v>
      </c>
      <c r="K309" s="35" t="s">
        <v>2950</v>
      </c>
      <c r="L309" s="88" t="s">
        <v>2819</v>
      </c>
      <c r="M309" s="35" t="s">
        <v>2861</v>
      </c>
      <c r="N309" s="35" t="s">
        <v>1179</v>
      </c>
      <c r="O309" s="35"/>
      <c r="P309" s="35"/>
    </row>
    <row r="310" spans="1:16" ht="54" customHeight="1" x14ac:dyDescent="0.2">
      <c r="A310" s="35">
        <v>309</v>
      </c>
      <c r="B310" s="35" t="s">
        <v>1181</v>
      </c>
      <c r="C310" s="35" t="s">
        <v>973</v>
      </c>
      <c r="D310" s="35" t="s">
        <v>244</v>
      </c>
      <c r="E310" s="35" t="s">
        <v>1181</v>
      </c>
      <c r="F310" s="35">
        <v>0</v>
      </c>
      <c r="G310" s="35"/>
      <c r="H310" s="35" t="s">
        <v>2922</v>
      </c>
      <c r="I310" s="35" t="s">
        <v>2880</v>
      </c>
      <c r="J310" s="35" t="s">
        <v>79</v>
      </c>
      <c r="K310" s="35"/>
      <c r="L310" s="88" t="s">
        <v>2827</v>
      </c>
      <c r="M310" s="35" t="s">
        <v>2839</v>
      </c>
      <c r="N310" s="35" t="s">
        <v>1183</v>
      </c>
      <c r="O310" s="35"/>
      <c r="P310" s="35"/>
    </row>
    <row r="311" spans="1:16" ht="54" customHeight="1" x14ac:dyDescent="0.2">
      <c r="A311" s="35">
        <v>310</v>
      </c>
      <c r="B311" s="35" t="s">
        <v>1185</v>
      </c>
      <c r="C311" s="35" t="s">
        <v>973</v>
      </c>
      <c r="D311" s="35" t="s">
        <v>258</v>
      </c>
      <c r="E311" s="35" t="s">
        <v>1185</v>
      </c>
      <c r="F311" s="35">
        <v>0</v>
      </c>
      <c r="G311" s="35"/>
      <c r="H311" s="35" t="s">
        <v>19</v>
      </c>
      <c r="I311" s="35" t="s">
        <v>2880</v>
      </c>
      <c r="J311" s="35" t="s">
        <v>212</v>
      </c>
      <c r="K311" s="35"/>
      <c r="L311" s="88" t="s">
        <v>2827</v>
      </c>
      <c r="M311" s="35" t="s">
        <v>2839</v>
      </c>
      <c r="N311" s="35" t="s">
        <v>1188</v>
      </c>
      <c r="O311" s="35"/>
      <c r="P311" s="35"/>
    </row>
    <row r="312" spans="1:16" ht="54" customHeight="1" x14ac:dyDescent="0.2">
      <c r="A312" s="35">
        <v>311</v>
      </c>
      <c r="B312" s="35" t="s">
        <v>1190</v>
      </c>
      <c r="C312" s="35" t="s">
        <v>973</v>
      </c>
      <c r="D312" s="35" t="s">
        <v>258</v>
      </c>
      <c r="E312" s="35" t="s">
        <v>1190</v>
      </c>
      <c r="F312" s="35">
        <v>0</v>
      </c>
      <c r="G312" s="35"/>
      <c r="H312" s="35" t="s">
        <v>2928</v>
      </c>
      <c r="I312" s="35" t="s">
        <v>2882</v>
      </c>
      <c r="J312" s="35" t="s">
        <v>41</v>
      </c>
      <c r="K312" s="35" t="s">
        <v>2928</v>
      </c>
      <c r="L312" s="89" t="s">
        <v>2817</v>
      </c>
      <c r="M312" s="35" t="s">
        <v>2839</v>
      </c>
      <c r="N312" s="35" t="s">
        <v>1192</v>
      </c>
      <c r="O312" s="35"/>
      <c r="P312" s="35"/>
    </row>
  </sheetData>
  <pageMargins left="0.75" right="0.75" top="1" bottom="1" header="0.511811023622047" footer="0.511811023622047"/>
  <pageSetup paperSize="9" orientation="portrait" horizontalDpi="300" verticalDpi="300"/>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25</vt:i4>
      </vt:variant>
      <vt:variant>
        <vt:lpstr>Adlandırılmış Aralıklar</vt:lpstr>
      </vt:variant>
      <vt:variant>
        <vt:i4>8</vt:i4>
      </vt:variant>
    </vt:vector>
  </HeadingPairs>
  <TitlesOfParts>
    <vt:vector size="33" baseType="lpstr">
      <vt:lpstr>PROJE_OZETI</vt:lpstr>
      <vt:lpstr>V1_Kadro_56</vt:lpstr>
      <vt:lpstr>V1_Uretilecek_14</vt:lpstr>
      <vt:lpstr>V1_Sinif_Nadirlik</vt:lpstr>
      <vt:lpstr>V1_Sinif_Irk</vt:lpstr>
      <vt:lpstr>V1_Irk_Dagilimi</vt:lpstr>
      <vt:lpstr>QA_KONTROL</vt:lpstr>
      <vt:lpstr>KAYNAK_VE_KURALLAR</vt:lpstr>
      <vt:lpstr>Gorsel_Durum_311</vt:lpstr>
      <vt:lpstr>Irk_Sozlugu</vt:lpstr>
      <vt:lpstr>Tum_Karakterler_311</vt:lpstr>
      <vt:lpstr>Destek</vt:lpstr>
      <vt:lpstr>Ninja</vt:lpstr>
      <vt:lpstr>Tank</vt:lpstr>
      <vt:lpstr>Büyücü</vt:lpstr>
      <vt:lpstr>Savaşçı</vt:lpstr>
      <vt:lpstr>Hikaye_Aglari</vt:lpstr>
      <vt:lpstr>Büyücü Yetenekleri</vt:lpstr>
      <vt:lpstr>Destek Yetenekleri</vt:lpstr>
      <vt:lpstr>Savaşçı Yetenekleri</vt:lpstr>
      <vt:lpstr>Suikastçı Yetenekleri</vt:lpstr>
      <vt:lpstr>Tank Yetenekleri</vt:lpstr>
      <vt:lpstr>Denge_Degisiklikleri</vt:lpstr>
      <vt:lpstr>Yeni_Irk_Dagilimi</vt:lpstr>
      <vt:lpstr>Tum_Irk_Kararlari_311</vt:lpstr>
      <vt:lpstr>KAYNAK_VE_KURALLAR!Yazdırma_Alanı</vt:lpstr>
      <vt:lpstr>PROJE_OZETI!Yazdırma_Alanı</vt:lpstr>
      <vt:lpstr>QA_KONTROL!Yazdırma_Alanı</vt:lpstr>
      <vt:lpstr>V1_Irk_Dagilimi!Yazdırma_Alanı</vt:lpstr>
      <vt:lpstr>V1_Kadro_56!Yazdırma_Alanı</vt:lpstr>
      <vt:lpstr>V1_Sinif_Irk!Yazdırma_Alanı</vt:lpstr>
      <vt:lpstr>V1_Sinif_Nadirlik!Yazdırma_Alanı</vt:lpstr>
      <vt:lpstr>V1_Uretilecek_14!Yazdırma_Alanı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Fahri ÖZDEMİR</cp:lastModifiedBy>
  <cp:revision>1</cp:revision>
  <dcterms:created xsi:type="dcterms:W3CDTF">2026-09-07T08:23:29Z</dcterms:created>
  <dcterms:modified xsi:type="dcterms:W3CDTF">2026-10-16T15:16:48Z</dcterms:modified>
  <dc:language>tr-TR</dc:language>
</cp:coreProperties>
</file>